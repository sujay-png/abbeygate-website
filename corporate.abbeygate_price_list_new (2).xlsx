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Abbeygate_Nick\4_Website\Price Lists\"/>
    </mc:Choice>
  </mc:AlternateContent>
  <xr:revisionPtr revIDLastSave="0" documentId="8_{51737C4F-89C1-4918-9B92-47468D19BB10}" xr6:coauthVersionLast="47" xr6:coauthVersionMax="47" xr10:uidLastSave="{00000000-0000-0000-0000-000000000000}"/>
  <bookViews>
    <workbookView xWindow="-108" yWindow="-108" windowWidth="23256" windowHeight="13896" xr2:uid="{00000000-000D-0000-FFFF-FFFF00000000}"/>
  </bookViews>
  <sheets>
    <sheet name="abbeygate_price_list" sheetId="1" r:id="rId1"/>
    <sheet name="product-export-27-8-2026" sheetId="2" r:id="rId2"/>
    <sheet name="Blocking Prices" sheetId="3" r:id="rId3"/>
    <sheet name="Special Matter" sheetId="5" r:id="rId4"/>
    <sheet name="Extras" sheetId="4" r:id="rId5"/>
  </sheets>
  <definedNames>
    <definedName name="_xlnm._FilterDatabase" localSheetId="0" hidden="1">abbeygate_price_list!$A$1:$AK$224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85" i="1" l="1" a="1"/>
  <c r="X85" i="1" s="1"/>
  <c r="X84" i="1" a="1"/>
  <c r="X84" i="1" s="1"/>
  <c r="O49" i="1"/>
  <c r="Y49" i="1" s="1"/>
  <c r="P49" i="1"/>
  <c r="Z49" i="1" s="1"/>
  <c r="Q49" i="1"/>
  <c r="AA49" i="1" s="1"/>
  <c r="R49" i="1"/>
  <c r="AB49" i="1" s="1"/>
  <c r="S49" i="1"/>
  <c r="AC49" i="1" s="1"/>
  <c r="T49" i="1"/>
  <c r="AD49" i="1" s="1"/>
  <c r="U49" i="1"/>
  <c r="AE49" i="1" s="1"/>
  <c r="V49" i="1"/>
  <c r="AF49" i="1" s="1"/>
  <c r="W49" i="1"/>
  <c r="AG49" i="1" s="1"/>
  <c r="AN49" i="1"/>
  <c r="AO49" i="1"/>
  <c r="AP49" i="1"/>
  <c r="AQ49" i="1"/>
  <c r="AR49" i="1"/>
  <c r="AS49" i="1"/>
  <c r="X49" i="1" l="1" a="1"/>
  <c r="X49" i="1" s="1"/>
  <c r="AS224" i="1" l="1"/>
  <c r="AR224" i="1"/>
  <c r="AQ224" i="1"/>
  <c r="AP224" i="1"/>
  <c r="AO224" i="1"/>
  <c r="AN224" i="1"/>
  <c r="AS223" i="1"/>
  <c r="AR223" i="1"/>
  <c r="AQ223" i="1"/>
  <c r="AP223" i="1"/>
  <c r="AO223" i="1"/>
  <c r="AN223" i="1"/>
  <c r="AS222" i="1"/>
  <c r="AR222" i="1"/>
  <c r="AQ222" i="1"/>
  <c r="AP222" i="1"/>
  <c r="AO222" i="1"/>
  <c r="AN222" i="1"/>
  <c r="AS221" i="1"/>
  <c r="AR221" i="1"/>
  <c r="AQ221" i="1"/>
  <c r="AP221" i="1"/>
  <c r="AO221" i="1"/>
  <c r="AN221" i="1"/>
  <c r="AS220" i="1"/>
  <c r="AR220" i="1"/>
  <c r="AQ220" i="1"/>
  <c r="AP220" i="1"/>
  <c r="AO220" i="1"/>
  <c r="AN220" i="1"/>
  <c r="AS219" i="1"/>
  <c r="AR219" i="1"/>
  <c r="AQ219" i="1"/>
  <c r="AP219" i="1"/>
  <c r="AO219" i="1"/>
  <c r="AN219" i="1"/>
  <c r="AS218" i="1"/>
  <c r="AR218" i="1"/>
  <c r="AQ218" i="1"/>
  <c r="AP218" i="1"/>
  <c r="AO218" i="1"/>
  <c r="AN218" i="1"/>
  <c r="AS217" i="1"/>
  <c r="AR217" i="1"/>
  <c r="AQ217" i="1"/>
  <c r="AP217" i="1"/>
  <c r="AO217" i="1"/>
  <c r="AN217" i="1"/>
  <c r="AS216" i="1"/>
  <c r="AR216" i="1"/>
  <c r="AQ216" i="1"/>
  <c r="AP216" i="1"/>
  <c r="AO216" i="1"/>
  <c r="AN216" i="1"/>
  <c r="AS215" i="1"/>
  <c r="AR215" i="1"/>
  <c r="AQ215" i="1"/>
  <c r="AP215" i="1"/>
  <c r="AO215" i="1"/>
  <c r="AN215" i="1"/>
  <c r="AS214" i="1"/>
  <c r="AR214" i="1"/>
  <c r="AQ214" i="1"/>
  <c r="AP214" i="1"/>
  <c r="AO214" i="1"/>
  <c r="AN214" i="1"/>
  <c r="AS213" i="1"/>
  <c r="AR213" i="1"/>
  <c r="AQ213" i="1"/>
  <c r="AP213" i="1"/>
  <c r="AO213" i="1"/>
  <c r="AN213" i="1"/>
  <c r="AS212" i="1"/>
  <c r="AR212" i="1"/>
  <c r="AQ212" i="1"/>
  <c r="AP212" i="1"/>
  <c r="AO212" i="1"/>
  <c r="AN212" i="1"/>
  <c r="AS211" i="1"/>
  <c r="AR211" i="1"/>
  <c r="AQ211" i="1"/>
  <c r="AP211" i="1"/>
  <c r="AO211" i="1"/>
  <c r="AN211" i="1"/>
  <c r="AS210" i="1"/>
  <c r="AR210" i="1"/>
  <c r="AQ210" i="1"/>
  <c r="AP210" i="1"/>
  <c r="AO210" i="1"/>
  <c r="AN210" i="1"/>
  <c r="AS209" i="1"/>
  <c r="AR209" i="1"/>
  <c r="AQ209" i="1"/>
  <c r="AP209" i="1"/>
  <c r="AO209" i="1"/>
  <c r="AN209" i="1"/>
  <c r="AS208" i="1"/>
  <c r="AR208" i="1"/>
  <c r="AQ208" i="1"/>
  <c r="AP208" i="1"/>
  <c r="AO208" i="1"/>
  <c r="AN208" i="1"/>
  <c r="AS207" i="1"/>
  <c r="AR207" i="1"/>
  <c r="AQ207" i="1"/>
  <c r="AP207" i="1"/>
  <c r="AO207" i="1"/>
  <c r="AN207" i="1"/>
  <c r="AS206" i="1"/>
  <c r="AR206" i="1"/>
  <c r="AQ206" i="1"/>
  <c r="AP206" i="1"/>
  <c r="AO206" i="1"/>
  <c r="AN206" i="1"/>
  <c r="AS205" i="1"/>
  <c r="AR205" i="1"/>
  <c r="AQ205" i="1"/>
  <c r="AP205" i="1"/>
  <c r="AO205" i="1"/>
  <c r="AN205" i="1"/>
  <c r="AS204" i="1"/>
  <c r="AR204" i="1"/>
  <c r="AQ204" i="1"/>
  <c r="AP204" i="1"/>
  <c r="AO204" i="1"/>
  <c r="AN204" i="1"/>
  <c r="AS203" i="1"/>
  <c r="AR203" i="1"/>
  <c r="AQ203" i="1"/>
  <c r="AP203" i="1"/>
  <c r="AO203" i="1"/>
  <c r="AN203" i="1"/>
  <c r="AS202" i="1"/>
  <c r="AR202" i="1"/>
  <c r="AQ202" i="1"/>
  <c r="AP202" i="1"/>
  <c r="AO202" i="1"/>
  <c r="AN202" i="1"/>
  <c r="AS201" i="1"/>
  <c r="AR201" i="1"/>
  <c r="AQ201" i="1"/>
  <c r="AP201" i="1"/>
  <c r="AO201" i="1"/>
  <c r="AN201" i="1"/>
  <c r="AS200" i="1"/>
  <c r="AR200" i="1"/>
  <c r="AQ200" i="1"/>
  <c r="AP200" i="1"/>
  <c r="AO200" i="1"/>
  <c r="AN200" i="1"/>
  <c r="AS199" i="1"/>
  <c r="AR199" i="1"/>
  <c r="AQ199" i="1"/>
  <c r="AP199" i="1"/>
  <c r="AO199" i="1"/>
  <c r="AN199" i="1"/>
  <c r="AS198" i="1"/>
  <c r="AR198" i="1"/>
  <c r="AQ198" i="1"/>
  <c r="AP198" i="1"/>
  <c r="AO198" i="1"/>
  <c r="AN198" i="1"/>
  <c r="AS197" i="1"/>
  <c r="AR197" i="1"/>
  <c r="AQ197" i="1"/>
  <c r="AP197" i="1"/>
  <c r="AO197" i="1"/>
  <c r="AN197" i="1"/>
  <c r="AS196" i="1"/>
  <c r="AR196" i="1"/>
  <c r="AQ196" i="1"/>
  <c r="AP196" i="1"/>
  <c r="AO196" i="1"/>
  <c r="AN196" i="1"/>
  <c r="AS195" i="1"/>
  <c r="AR195" i="1"/>
  <c r="AQ195" i="1"/>
  <c r="AP195" i="1"/>
  <c r="AO195" i="1"/>
  <c r="AN195" i="1"/>
  <c r="AS194" i="1"/>
  <c r="AR194" i="1"/>
  <c r="AQ194" i="1"/>
  <c r="AP194" i="1"/>
  <c r="AO194" i="1"/>
  <c r="AN194" i="1"/>
  <c r="AS193" i="1"/>
  <c r="AR193" i="1"/>
  <c r="AQ193" i="1"/>
  <c r="AP193" i="1"/>
  <c r="AO193" i="1"/>
  <c r="AN193" i="1"/>
  <c r="AS192" i="1"/>
  <c r="AR192" i="1"/>
  <c r="AQ192" i="1"/>
  <c r="AP192" i="1"/>
  <c r="AO192" i="1"/>
  <c r="AN192" i="1"/>
  <c r="AS191" i="1"/>
  <c r="AR191" i="1"/>
  <c r="AQ191" i="1"/>
  <c r="AP191" i="1"/>
  <c r="AO191" i="1"/>
  <c r="AN191" i="1"/>
  <c r="AS190" i="1"/>
  <c r="AR190" i="1"/>
  <c r="AQ190" i="1"/>
  <c r="AP190" i="1"/>
  <c r="AO190" i="1"/>
  <c r="AN190" i="1"/>
  <c r="AS189" i="1"/>
  <c r="AR189" i="1"/>
  <c r="AQ189" i="1"/>
  <c r="AP189" i="1"/>
  <c r="AO189" i="1"/>
  <c r="AN189" i="1"/>
  <c r="AS188" i="1"/>
  <c r="AR188" i="1"/>
  <c r="AQ188" i="1"/>
  <c r="AP188" i="1"/>
  <c r="AO188" i="1"/>
  <c r="AN188" i="1"/>
  <c r="AS187" i="1"/>
  <c r="AR187" i="1"/>
  <c r="AQ187" i="1"/>
  <c r="AP187" i="1"/>
  <c r="AO187" i="1"/>
  <c r="AN187" i="1"/>
  <c r="AS186" i="1"/>
  <c r="AR186" i="1"/>
  <c r="AQ186" i="1"/>
  <c r="AP186" i="1"/>
  <c r="AO186" i="1"/>
  <c r="AN186" i="1"/>
  <c r="AS185" i="1"/>
  <c r="AR185" i="1"/>
  <c r="AQ185" i="1"/>
  <c r="AP185" i="1"/>
  <c r="AO185" i="1"/>
  <c r="AN185" i="1"/>
  <c r="AS184" i="1"/>
  <c r="AR184" i="1"/>
  <c r="AQ184" i="1"/>
  <c r="AP184" i="1"/>
  <c r="AO184" i="1"/>
  <c r="AN184" i="1"/>
  <c r="AS183" i="1"/>
  <c r="AR183" i="1"/>
  <c r="AQ183" i="1"/>
  <c r="AP183" i="1"/>
  <c r="AO183" i="1"/>
  <c r="AN183" i="1"/>
  <c r="AS182" i="1"/>
  <c r="AR182" i="1"/>
  <c r="AQ182" i="1"/>
  <c r="AP182" i="1"/>
  <c r="AO182" i="1"/>
  <c r="AN182" i="1"/>
  <c r="AS181" i="1"/>
  <c r="AR181" i="1"/>
  <c r="AQ181" i="1"/>
  <c r="AP181" i="1"/>
  <c r="AO181" i="1"/>
  <c r="AN181" i="1"/>
  <c r="AS180" i="1"/>
  <c r="AR180" i="1"/>
  <c r="AQ180" i="1"/>
  <c r="AP180" i="1"/>
  <c r="AO180" i="1"/>
  <c r="AN180" i="1"/>
  <c r="AS179" i="1"/>
  <c r="AR179" i="1"/>
  <c r="AQ179" i="1"/>
  <c r="AP179" i="1"/>
  <c r="AO179" i="1"/>
  <c r="AN179" i="1"/>
  <c r="AS178" i="1"/>
  <c r="AR178" i="1"/>
  <c r="AQ178" i="1"/>
  <c r="AP178" i="1"/>
  <c r="AO178" i="1"/>
  <c r="AN178" i="1"/>
  <c r="AS177" i="1"/>
  <c r="AR177" i="1"/>
  <c r="AQ177" i="1"/>
  <c r="AP177" i="1"/>
  <c r="AO177" i="1"/>
  <c r="AN177" i="1"/>
  <c r="AS176" i="1"/>
  <c r="AR176" i="1"/>
  <c r="AQ176" i="1"/>
  <c r="AP176" i="1"/>
  <c r="AO176" i="1"/>
  <c r="AN176" i="1"/>
  <c r="AS175" i="1"/>
  <c r="AR175" i="1"/>
  <c r="AQ175" i="1"/>
  <c r="AP175" i="1"/>
  <c r="AO175" i="1"/>
  <c r="AN175" i="1"/>
  <c r="AS174" i="1"/>
  <c r="AR174" i="1"/>
  <c r="AQ174" i="1"/>
  <c r="AP174" i="1"/>
  <c r="AO174" i="1"/>
  <c r="AN174" i="1"/>
  <c r="AS173" i="1"/>
  <c r="AR173" i="1"/>
  <c r="AQ173" i="1"/>
  <c r="AP173" i="1"/>
  <c r="AO173" i="1"/>
  <c r="AN173" i="1"/>
  <c r="AS172" i="1"/>
  <c r="AR172" i="1"/>
  <c r="AQ172" i="1"/>
  <c r="AP172" i="1"/>
  <c r="AO172" i="1"/>
  <c r="AN172" i="1"/>
  <c r="AS171" i="1"/>
  <c r="AR171" i="1"/>
  <c r="AQ171" i="1"/>
  <c r="AP171" i="1"/>
  <c r="AO171" i="1"/>
  <c r="AN171" i="1"/>
  <c r="AS170" i="1"/>
  <c r="AR170" i="1"/>
  <c r="AQ170" i="1"/>
  <c r="AP170" i="1"/>
  <c r="AO170" i="1"/>
  <c r="AN170" i="1"/>
  <c r="AS169" i="1"/>
  <c r="AR169" i="1"/>
  <c r="AQ169" i="1"/>
  <c r="AP169" i="1"/>
  <c r="AO169" i="1"/>
  <c r="AN169" i="1"/>
  <c r="AS168" i="1"/>
  <c r="AR168" i="1"/>
  <c r="AQ168" i="1"/>
  <c r="AP168" i="1"/>
  <c r="AO168" i="1"/>
  <c r="AN168" i="1"/>
  <c r="AS167" i="1"/>
  <c r="AR167" i="1"/>
  <c r="AQ167" i="1"/>
  <c r="AP167" i="1"/>
  <c r="AO167" i="1"/>
  <c r="AN167" i="1"/>
  <c r="AS166" i="1"/>
  <c r="AR166" i="1"/>
  <c r="AQ166" i="1"/>
  <c r="AP166" i="1"/>
  <c r="AO166" i="1"/>
  <c r="AN166" i="1"/>
  <c r="AS165" i="1"/>
  <c r="AR165" i="1"/>
  <c r="AQ165" i="1"/>
  <c r="AP165" i="1"/>
  <c r="AO165" i="1"/>
  <c r="AN165" i="1"/>
  <c r="AS164" i="1"/>
  <c r="AR164" i="1"/>
  <c r="AQ164" i="1"/>
  <c r="AP164" i="1"/>
  <c r="AO164" i="1"/>
  <c r="AN164" i="1"/>
  <c r="AS163" i="1"/>
  <c r="AR163" i="1"/>
  <c r="AQ163" i="1"/>
  <c r="AP163" i="1"/>
  <c r="AO163" i="1"/>
  <c r="AN163" i="1"/>
  <c r="AS162" i="1"/>
  <c r="AR162" i="1"/>
  <c r="AQ162" i="1"/>
  <c r="AP162" i="1"/>
  <c r="AO162" i="1"/>
  <c r="AN162" i="1"/>
  <c r="AS161" i="1"/>
  <c r="AR161" i="1"/>
  <c r="AQ161" i="1"/>
  <c r="AP161" i="1"/>
  <c r="AO161" i="1"/>
  <c r="AN161" i="1"/>
  <c r="AS160" i="1"/>
  <c r="AR160" i="1"/>
  <c r="AQ160" i="1"/>
  <c r="AP160" i="1"/>
  <c r="AO160" i="1"/>
  <c r="AN160" i="1"/>
  <c r="AS159" i="1"/>
  <c r="AR159" i="1"/>
  <c r="AQ159" i="1"/>
  <c r="AP159" i="1"/>
  <c r="AO159" i="1"/>
  <c r="AN159" i="1"/>
  <c r="AS158" i="1"/>
  <c r="AR158" i="1"/>
  <c r="AQ158" i="1"/>
  <c r="AP158" i="1"/>
  <c r="AO158" i="1"/>
  <c r="AN158" i="1"/>
  <c r="AS157" i="1"/>
  <c r="AR157" i="1"/>
  <c r="AQ157" i="1"/>
  <c r="AP157" i="1"/>
  <c r="AO157" i="1"/>
  <c r="AN157" i="1"/>
  <c r="AS156" i="1"/>
  <c r="AR156" i="1"/>
  <c r="AQ156" i="1"/>
  <c r="AP156" i="1"/>
  <c r="AO156" i="1"/>
  <c r="AN156" i="1"/>
  <c r="AS155" i="1"/>
  <c r="AR155" i="1"/>
  <c r="AQ155" i="1"/>
  <c r="AP155" i="1"/>
  <c r="AO155" i="1"/>
  <c r="AN155" i="1"/>
  <c r="AS154" i="1"/>
  <c r="AR154" i="1"/>
  <c r="AQ154" i="1"/>
  <c r="AP154" i="1"/>
  <c r="AO154" i="1"/>
  <c r="AN154" i="1"/>
  <c r="AS153" i="1"/>
  <c r="AR153" i="1"/>
  <c r="AQ153" i="1"/>
  <c r="AP153" i="1"/>
  <c r="AO153" i="1"/>
  <c r="AN153" i="1"/>
  <c r="AS152" i="1"/>
  <c r="AR152" i="1"/>
  <c r="AQ152" i="1"/>
  <c r="AP152" i="1"/>
  <c r="AO152" i="1"/>
  <c r="AN152" i="1"/>
  <c r="AS151" i="1"/>
  <c r="AR151" i="1"/>
  <c r="AQ151" i="1"/>
  <c r="AP151" i="1"/>
  <c r="AO151" i="1"/>
  <c r="AN151" i="1"/>
  <c r="AS150" i="1"/>
  <c r="AR150" i="1"/>
  <c r="AQ150" i="1"/>
  <c r="AP150" i="1"/>
  <c r="AO150" i="1"/>
  <c r="AN150" i="1"/>
  <c r="AS149" i="1"/>
  <c r="AR149" i="1"/>
  <c r="AQ149" i="1"/>
  <c r="AP149" i="1"/>
  <c r="AO149" i="1"/>
  <c r="AN149" i="1"/>
  <c r="AS148" i="1"/>
  <c r="AR148" i="1"/>
  <c r="AQ148" i="1"/>
  <c r="AP148" i="1"/>
  <c r="AO148" i="1"/>
  <c r="AN148" i="1"/>
  <c r="AS147" i="1"/>
  <c r="AR147" i="1"/>
  <c r="AQ147" i="1"/>
  <c r="AP147" i="1"/>
  <c r="AO147" i="1"/>
  <c r="AN147" i="1"/>
  <c r="AS146" i="1"/>
  <c r="AR146" i="1"/>
  <c r="AQ146" i="1"/>
  <c r="AP146" i="1"/>
  <c r="AO146" i="1"/>
  <c r="AN146" i="1"/>
  <c r="AS145" i="1"/>
  <c r="AR145" i="1"/>
  <c r="AQ145" i="1"/>
  <c r="AP145" i="1"/>
  <c r="AO145" i="1"/>
  <c r="AN145" i="1"/>
  <c r="AS144" i="1"/>
  <c r="AR144" i="1"/>
  <c r="AQ144" i="1"/>
  <c r="AP144" i="1"/>
  <c r="AO144" i="1"/>
  <c r="AN144" i="1"/>
  <c r="AS143" i="1"/>
  <c r="AR143" i="1"/>
  <c r="AQ143" i="1"/>
  <c r="AP143" i="1"/>
  <c r="AO143" i="1"/>
  <c r="AN143" i="1"/>
  <c r="AS142" i="1"/>
  <c r="AR142" i="1"/>
  <c r="AQ142" i="1"/>
  <c r="AP142" i="1"/>
  <c r="AO142" i="1"/>
  <c r="AN142" i="1"/>
  <c r="AS141" i="1"/>
  <c r="AR141" i="1"/>
  <c r="AQ141" i="1"/>
  <c r="AP141" i="1"/>
  <c r="AO141" i="1"/>
  <c r="AN141" i="1"/>
  <c r="AS140" i="1"/>
  <c r="AR140" i="1"/>
  <c r="AQ140" i="1"/>
  <c r="AP140" i="1"/>
  <c r="AO140" i="1"/>
  <c r="AN140" i="1"/>
  <c r="AS139" i="1"/>
  <c r="AR139" i="1"/>
  <c r="AQ139" i="1"/>
  <c r="AP139" i="1"/>
  <c r="AO139" i="1"/>
  <c r="AN139" i="1"/>
  <c r="AS138" i="1"/>
  <c r="AR138" i="1"/>
  <c r="AQ138" i="1"/>
  <c r="AP138" i="1"/>
  <c r="AO138" i="1"/>
  <c r="AN138" i="1"/>
  <c r="AS137" i="1"/>
  <c r="AR137" i="1"/>
  <c r="AQ137" i="1"/>
  <c r="AP137" i="1"/>
  <c r="AO137" i="1"/>
  <c r="AN137" i="1"/>
  <c r="AS136" i="1"/>
  <c r="AR136" i="1"/>
  <c r="AQ136" i="1"/>
  <c r="AP136" i="1"/>
  <c r="AO136" i="1"/>
  <c r="AN136" i="1"/>
  <c r="AS135" i="1"/>
  <c r="AR135" i="1"/>
  <c r="AQ135" i="1"/>
  <c r="AP135" i="1"/>
  <c r="AO135" i="1"/>
  <c r="AN135" i="1"/>
  <c r="AS134" i="1"/>
  <c r="AR134" i="1"/>
  <c r="AQ134" i="1"/>
  <c r="AP134" i="1"/>
  <c r="AO134" i="1"/>
  <c r="AN134" i="1"/>
  <c r="AS133" i="1"/>
  <c r="AR133" i="1"/>
  <c r="AQ133" i="1"/>
  <c r="AP133" i="1"/>
  <c r="AO133" i="1"/>
  <c r="AN133" i="1"/>
  <c r="AS132" i="1"/>
  <c r="AR132" i="1"/>
  <c r="AQ132" i="1"/>
  <c r="AP132" i="1"/>
  <c r="AO132" i="1"/>
  <c r="AN132" i="1"/>
  <c r="AS131" i="1"/>
  <c r="AR131" i="1"/>
  <c r="AQ131" i="1"/>
  <c r="AP131" i="1"/>
  <c r="AO131" i="1"/>
  <c r="AN131" i="1"/>
  <c r="AS130" i="1"/>
  <c r="AR130" i="1"/>
  <c r="AQ130" i="1"/>
  <c r="AP130" i="1"/>
  <c r="AO130" i="1"/>
  <c r="AN130" i="1"/>
  <c r="AS129" i="1"/>
  <c r="AR129" i="1"/>
  <c r="AQ129" i="1"/>
  <c r="AP129" i="1"/>
  <c r="AO129" i="1"/>
  <c r="AN129" i="1"/>
  <c r="AS128" i="1"/>
  <c r="AR128" i="1"/>
  <c r="AQ128" i="1"/>
  <c r="AP128" i="1"/>
  <c r="AO128" i="1"/>
  <c r="AN128" i="1"/>
  <c r="AS127" i="1"/>
  <c r="AR127" i="1"/>
  <c r="AQ127" i="1"/>
  <c r="AP127" i="1"/>
  <c r="AO127" i="1"/>
  <c r="AN127" i="1"/>
  <c r="AS126" i="1"/>
  <c r="AR126" i="1"/>
  <c r="AQ126" i="1"/>
  <c r="AP126" i="1"/>
  <c r="AO126" i="1"/>
  <c r="AN126" i="1"/>
  <c r="AS125" i="1"/>
  <c r="AR125" i="1"/>
  <c r="AQ125" i="1"/>
  <c r="AP125" i="1"/>
  <c r="AO125" i="1"/>
  <c r="AN125" i="1"/>
  <c r="AS124" i="1"/>
  <c r="AR124" i="1"/>
  <c r="AQ124" i="1"/>
  <c r="AP124" i="1"/>
  <c r="AO124" i="1"/>
  <c r="AN124" i="1"/>
  <c r="AS123" i="1"/>
  <c r="AR123" i="1"/>
  <c r="AQ123" i="1"/>
  <c r="AP123" i="1"/>
  <c r="AO123" i="1"/>
  <c r="AN123" i="1"/>
  <c r="AS122" i="1"/>
  <c r="AR122" i="1"/>
  <c r="AQ122" i="1"/>
  <c r="AP122" i="1"/>
  <c r="AO122" i="1"/>
  <c r="AN122" i="1"/>
  <c r="AS121" i="1"/>
  <c r="AR121" i="1"/>
  <c r="AQ121" i="1"/>
  <c r="AP121" i="1"/>
  <c r="AO121" i="1"/>
  <c r="AN121" i="1"/>
  <c r="AS120" i="1"/>
  <c r="AR120" i="1"/>
  <c r="AQ120" i="1"/>
  <c r="AP120" i="1"/>
  <c r="AO120" i="1"/>
  <c r="AN120" i="1"/>
  <c r="AS119" i="1"/>
  <c r="AR119" i="1"/>
  <c r="AQ119" i="1"/>
  <c r="AP119" i="1"/>
  <c r="AO119" i="1"/>
  <c r="AN119" i="1"/>
  <c r="AS118" i="1"/>
  <c r="AR118" i="1"/>
  <c r="AQ118" i="1"/>
  <c r="AP118" i="1"/>
  <c r="AO118" i="1"/>
  <c r="AN118" i="1"/>
  <c r="AS117" i="1"/>
  <c r="AR117" i="1"/>
  <c r="AQ117" i="1"/>
  <c r="AP117" i="1"/>
  <c r="AO117" i="1"/>
  <c r="AN117" i="1"/>
  <c r="AS116" i="1"/>
  <c r="AR116" i="1"/>
  <c r="AQ116" i="1"/>
  <c r="AP116" i="1"/>
  <c r="AO116" i="1"/>
  <c r="AN116" i="1"/>
  <c r="AS115" i="1"/>
  <c r="AR115" i="1"/>
  <c r="AQ115" i="1"/>
  <c r="AP115" i="1"/>
  <c r="AO115" i="1"/>
  <c r="AN115" i="1"/>
  <c r="AS114" i="1"/>
  <c r="AR114" i="1"/>
  <c r="AQ114" i="1"/>
  <c r="AP114" i="1"/>
  <c r="AO114" i="1"/>
  <c r="AN114" i="1"/>
  <c r="AS113" i="1"/>
  <c r="AR113" i="1"/>
  <c r="AQ113" i="1"/>
  <c r="AP113" i="1"/>
  <c r="AO113" i="1"/>
  <c r="AN113" i="1"/>
  <c r="AS112" i="1"/>
  <c r="AR112" i="1"/>
  <c r="AQ112" i="1"/>
  <c r="AP112" i="1"/>
  <c r="AO112" i="1"/>
  <c r="AN112" i="1"/>
  <c r="AS111" i="1"/>
  <c r="AR111" i="1"/>
  <c r="AQ111" i="1"/>
  <c r="AP111" i="1"/>
  <c r="AO111" i="1"/>
  <c r="AN111" i="1"/>
  <c r="AS110" i="1"/>
  <c r="AR110" i="1"/>
  <c r="AQ110" i="1"/>
  <c r="AP110" i="1"/>
  <c r="AO110" i="1"/>
  <c r="AN110" i="1"/>
  <c r="AS109" i="1"/>
  <c r="AR109" i="1"/>
  <c r="AQ109" i="1"/>
  <c r="AP109" i="1"/>
  <c r="AO109" i="1"/>
  <c r="AN109" i="1"/>
  <c r="AS108" i="1"/>
  <c r="AR108" i="1"/>
  <c r="AQ108" i="1"/>
  <c r="AP108" i="1"/>
  <c r="AO108" i="1"/>
  <c r="AN108" i="1"/>
  <c r="AS107" i="1"/>
  <c r="AR107" i="1"/>
  <c r="AQ107" i="1"/>
  <c r="AP107" i="1"/>
  <c r="AO107" i="1"/>
  <c r="AN107" i="1"/>
  <c r="AS106" i="1"/>
  <c r="AR106" i="1"/>
  <c r="AQ106" i="1"/>
  <c r="AP106" i="1"/>
  <c r="AO106" i="1"/>
  <c r="AN106" i="1"/>
  <c r="AS105" i="1"/>
  <c r="AR105" i="1"/>
  <c r="AQ105" i="1"/>
  <c r="AP105" i="1"/>
  <c r="AO105" i="1"/>
  <c r="AN105" i="1"/>
  <c r="AS104" i="1"/>
  <c r="AR104" i="1"/>
  <c r="AQ104" i="1"/>
  <c r="AP104" i="1"/>
  <c r="AO104" i="1"/>
  <c r="AN104" i="1"/>
  <c r="AS103" i="1"/>
  <c r="AR103" i="1"/>
  <c r="AQ103" i="1"/>
  <c r="AP103" i="1"/>
  <c r="AO103" i="1"/>
  <c r="AN103" i="1"/>
  <c r="AS102" i="1"/>
  <c r="AR102" i="1"/>
  <c r="AQ102" i="1"/>
  <c r="AP102" i="1"/>
  <c r="AO102" i="1"/>
  <c r="AN102" i="1"/>
  <c r="AS101" i="1"/>
  <c r="AR101" i="1"/>
  <c r="AQ101" i="1"/>
  <c r="AP101" i="1"/>
  <c r="AO101" i="1"/>
  <c r="AN101" i="1"/>
  <c r="AS100" i="1"/>
  <c r="AR100" i="1"/>
  <c r="AQ100" i="1"/>
  <c r="AP100" i="1"/>
  <c r="AO100" i="1"/>
  <c r="AN100" i="1"/>
  <c r="AS99" i="1"/>
  <c r="AR99" i="1"/>
  <c r="AQ99" i="1"/>
  <c r="AP99" i="1"/>
  <c r="AO99" i="1"/>
  <c r="AN99" i="1"/>
  <c r="AS98" i="1"/>
  <c r="AR98" i="1"/>
  <c r="AQ98" i="1"/>
  <c r="AP98" i="1"/>
  <c r="AO98" i="1"/>
  <c r="AN98" i="1"/>
  <c r="AS97" i="1"/>
  <c r="AR97" i="1"/>
  <c r="AQ97" i="1"/>
  <c r="AP97" i="1"/>
  <c r="AO97" i="1"/>
  <c r="AN97" i="1"/>
  <c r="AS96" i="1"/>
  <c r="AR96" i="1"/>
  <c r="AQ96" i="1"/>
  <c r="AP96" i="1"/>
  <c r="AO96" i="1"/>
  <c r="AN96" i="1"/>
  <c r="AS95" i="1"/>
  <c r="AR95" i="1"/>
  <c r="AQ95" i="1"/>
  <c r="AP95" i="1"/>
  <c r="AO95" i="1"/>
  <c r="AN95" i="1"/>
  <c r="AS94" i="1"/>
  <c r="AR94" i="1"/>
  <c r="AQ94" i="1"/>
  <c r="AP94" i="1"/>
  <c r="AO94" i="1"/>
  <c r="AN94" i="1"/>
  <c r="AS93" i="1"/>
  <c r="AR93" i="1"/>
  <c r="AQ93" i="1"/>
  <c r="AP93" i="1"/>
  <c r="AO93" i="1"/>
  <c r="AN93" i="1"/>
  <c r="AS92" i="1"/>
  <c r="AR92" i="1"/>
  <c r="AQ92" i="1"/>
  <c r="AP92" i="1"/>
  <c r="AO92" i="1"/>
  <c r="AN92" i="1"/>
  <c r="AS91" i="1"/>
  <c r="AR91" i="1"/>
  <c r="AQ91" i="1"/>
  <c r="AP91" i="1"/>
  <c r="AO91" i="1"/>
  <c r="AN91" i="1"/>
  <c r="AS90" i="1"/>
  <c r="AR90" i="1"/>
  <c r="AQ90" i="1"/>
  <c r="AP90" i="1"/>
  <c r="AO90" i="1"/>
  <c r="AN90" i="1"/>
  <c r="AS89" i="1"/>
  <c r="AR89" i="1"/>
  <c r="AQ89" i="1"/>
  <c r="AP89" i="1"/>
  <c r="AO89" i="1"/>
  <c r="AN89" i="1"/>
  <c r="AS88" i="1"/>
  <c r="AR88" i="1"/>
  <c r="AQ88" i="1"/>
  <c r="AP88" i="1"/>
  <c r="AO88" i="1"/>
  <c r="AN88" i="1"/>
  <c r="AS87" i="1"/>
  <c r="AR87" i="1"/>
  <c r="AQ87" i="1"/>
  <c r="AP87" i="1"/>
  <c r="AO87" i="1"/>
  <c r="AN87" i="1"/>
  <c r="AS86" i="1"/>
  <c r="AR86" i="1"/>
  <c r="AQ86" i="1"/>
  <c r="AP86" i="1"/>
  <c r="AO86" i="1"/>
  <c r="AN86" i="1"/>
  <c r="AS85" i="1"/>
  <c r="AR85" i="1"/>
  <c r="AQ85" i="1"/>
  <c r="AP85" i="1"/>
  <c r="AO85" i="1"/>
  <c r="AN85" i="1"/>
  <c r="AS84" i="1"/>
  <c r="AR84" i="1"/>
  <c r="AQ84" i="1"/>
  <c r="AP84" i="1"/>
  <c r="AO84" i="1"/>
  <c r="AN84" i="1"/>
  <c r="AS83" i="1"/>
  <c r="AR83" i="1"/>
  <c r="AQ83" i="1"/>
  <c r="AP83" i="1"/>
  <c r="AO83" i="1"/>
  <c r="AN83" i="1"/>
  <c r="AS82" i="1"/>
  <c r="AR82" i="1"/>
  <c r="AQ82" i="1"/>
  <c r="AP82" i="1"/>
  <c r="AO82" i="1"/>
  <c r="AN82" i="1"/>
  <c r="AS81" i="1"/>
  <c r="AR81" i="1"/>
  <c r="AQ81" i="1"/>
  <c r="AP81" i="1"/>
  <c r="AO81" i="1"/>
  <c r="AN81" i="1"/>
  <c r="AS80" i="1"/>
  <c r="AR80" i="1"/>
  <c r="AQ80" i="1"/>
  <c r="AP80" i="1"/>
  <c r="AO80" i="1"/>
  <c r="AN80" i="1"/>
  <c r="AS79" i="1"/>
  <c r="AR79" i="1"/>
  <c r="AQ79" i="1"/>
  <c r="AP79" i="1"/>
  <c r="AO79" i="1"/>
  <c r="AN79" i="1"/>
  <c r="AS78" i="1"/>
  <c r="AR78" i="1"/>
  <c r="AQ78" i="1"/>
  <c r="AP78" i="1"/>
  <c r="AO78" i="1"/>
  <c r="AN78" i="1"/>
  <c r="AS77" i="1"/>
  <c r="AR77" i="1"/>
  <c r="AQ77" i="1"/>
  <c r="AP77" i="1"/>
  <c r="AO77" i="1"/>
  <c r="AN77" i="1"/>
  <c r="AS76" i="1"/>
  <c r="AR76" i="1"/>
  <c r="AQ76" i="1"/>
  <c r="AP76" i="1"/>
  <c r="AO76" i="1"/>
  <c r="AN76" i="1"/>
  <c r="AS75" i="1"/>
  <c r="AR75" i="1"/>
  <c r="AQ75" i="1"/>
  <c r="AP75" i="1"/>
  <c r="AO75" i="1"/>
  <c r="AN75" i="1"/>
  <c r="AS74" i="1"/>
  <c r="AR74" i="1"/>
  <c r="AQ74" i="1"/>
  <c r="AP74" i="1"/>
  <c r="AO74" i="1"/>
  <c r="AN74" i="1"/>
  <c r="AS73" i="1"/>
  <c r="AR73" i="1"/>
  <c r="AQ73" i="1"/>
  <c r="AP73" i="1"/>
  <c r="AO73" i="1"/>
  <c r="AN73" i="1"/>
  <c r="AS72" i="1"/>
  <c r="AR72" i="1"/>
  <c r="AQ72" i="1"/>
  <c r="AP72" i="1"/>
  <c r="AO72" i="1"/>
  <c r="AN72" i="1"/>
  <c r="AS71" i="1"/>
  <c r="AR71" i="1"/>
  <c r="AQ71" i="1"/>
  <c r="AP71" i="1"/>
  <c r="AO71" i="1"/>
  <c r="AN71" i="1"/>
  <c r="AS70" i="1"/>
  <c r="AR70" i="1"/>
  <c r="AQ70" i="1"/>
  <c r="AP70" i="1"/>
  <c r="AO70" i="1"/>
  <c r="AN70" i="1"/>
  <c r="AS69" i="1"/>
  <c r="AR69" i="1"/>
  <c r="AQ69" i="1"/>
  <c r="AP69" i="1"/>
  <c r="AO69" i="1"/>
  <c r="AN69" i="1"/>
  <c r="AS68" i="1"/>
  <c r="AR68" i="1"/>
  <c r="AQ68" i="1"/>
  <c r="AP68" i="1"/>
  <c r="AO68" i="1"/>
  <c r="AN68" i="1"/>
  <c r="AS67" i="1"/>
  <c r="AR67" i="1"/>
  <c r="AQ67" i="1"/>
  <c r="AP67" i="1"/>
  <c r="AO67" i="1"/>
  <c r="AN67" i="1"/>
  <c r="AS66" i="1"/>
  <c r="AR66" i="1"/>
  <c r="AQ66" i="1"/>
  <c r="AP66" i="1"/>
  <c r="AO66" i="1"/>
  <c r="AN66" i="1"/>
  <c r="AS65" i="1"/>
  <c r="AR65" i="1"/>
  <c r="AQ65" i="1"/>
  <c r="AP65" i="1"/>
  <c r="AO65" i="1"/>
  <c r="AN65" i="1"/>
  <c r="AS64" i="1"/>
  <c r="AR64" i="1"/>
  <c r="AQ64" i="1"/>
  <c r="AP64" i="1"/>
  <c r="AO64" i="1"/>
  <c r="AN64" i="1"/>
  <c r="AS63" i="1"/>
  <c r="AR63" i="1"/>
  <c r="AQ63" i="1"/>
  <c r="AP63" i="1"/>
  <c r="AO63" i="1"/>
  <c r="AN63" i="1"/>
  <c r="AS62" i="1"/>
  <c r="AR62" i="1"/>
  <c r="AQ62" i="1"/>
  <c r="AP62" i="1"/>
  <c r="AO62" i="1"/>
  <c r="AN62" i="1"/>
  <c r="AS61" i="1"/>
  <c r="AR61" i="1"/>
  <c r="AQ61" i="1"/>
  <c r="AP61" i="1"/>
  <c r="AO61" i="1"/>
  <c r="AN61" i="1"/>
  <c r="AS60" i="1"/>
  <c r="AR60" i="1"/>
  <c r="AQ60" i="1"/>
  <c r="AP60" i="1"/>
  <c r="AO60" i="1"/>
  <c r="AN60" i="1"/>
  <c r="AS59" i="1"/>
  <c r="AR59" i="1"/>
  <c r="AQ59" i="1"/>
  <c r="AP59" i="1"/>
  <c r="AO59" i="1"/>
  <c r="AN59" i="1"/>
  <c r="AS58" i="1"/>
  <c r="AR58" i="1"/>
  <c r="AQ58" i="1"/>
  <c r="AP58" i="1"/>
  <c r="AO58" i="1"/>
  <c r="AN58" i="1"/>
  <c r="AS57" i="1"/>
  <c r="AR57" i="1"/>
  <c r="AQ57" i="1"/>
  <c r="AP57" i="1"/>
  <c r="AO57" i="1"/>
  <c r="AN57" i="1"/>
  <c r="AS56" i="1"/>
  <c r="AR56" i="1"/>
  <c r="AQ56" i="1"/>
  <c r="AP56" i="1"/>
  <c r="AO56" i="1"/>
  <c r="AN56" i="1"/>
  <c r="AS55" i="1"/>
  <c r="AR55" i="1"/>
  <c r="AQ55" i="1"/>
  <c r="AP55" i="1"/>
  <c r="AO55" i="1"/>
  <c r="AN55" i="1"/>
  <c r="AS54" i="1"/>
  <c r="AR54" i="1"/>
  <c r="AQ54" i="1"/>
  <c r="AP54" i="1"/>
  <c r="AO54" i="1"/>
  <c r="AN54" i="1"/>
  <c r="AS53" i="1"/>
  <c r="AR53" i="1"/>
  <c r="AQ53" i="1"/>
  <c r="AP53" i="1"/>
  <c r="AO53" i="1"/>
  <c r="AN53" i="1"/>
  <c r="AS52" i="1"/>
  <c r="AR52" i="1"/>
  <c r="AQ52" i="1"/>
  <c r="AP52" i="1"/>
  <c r="AO52" i="1"/>
  <c r="AN52" i="1"/>
  <c r="AS51" i="1"/>
  <c r="AR51" i="1"/>
  <c r="AQ51" i="1"/>
  <c r="AP51" i="1"/>
  <c r="AO51" i="1"/>
  <c r="AN51" i="1"/>
  <c r="AS50" i="1"/>
  <c r="AR50" i="1"/>
  <c r="AQ50" i="1"/>
  <c r="AP50" i="1"/>
  <c r="AO50" i="1"/>
  <c r="AN50" i="1"/>
  <c r="AS48" i="1"/>
  <c r="AR48" i="1"/>
  <c r="AQ48" i="1"/>
  <c r="AP48" i="1"/>
  <c r="AO48" i="1"/>
  <c r="AN48" i="1"/>
  <c r="AS47" i="1"/>
  <c r="AR47" i="1"/>
  <c r="AQ47" i="1"/>
  <c r="AP47" i="1"/>
  <c r="AO47" i="1"/>
  <c r="AN47" i="1"/>
  <c r="AS46" i="1"/>
  <c r="AR46" i="1"/>
  <c r="AQ46" i="1"/>
  <c r="AP46" i="1"/>
  <c r="AO46" i="1"/>
  <c r="AN46" i="1"/>
  <c r="AS45" i="1"/>
  <c r="AR45" i="1"/>
  <c r="AQ45" i="1"/>
  <c r="AP45" i="1"/>
  <c r="AO45" i="1"/>
  <c r="AN45" i="1"/>
  <c r="AS44" i="1"/>
  <c r="AR44" i="1"/>
  <c r="AQ44" i="1"/>
  <c r="AP44" i="1"/>
  <c r="AO44" i="1"/>
  <c r="AN44" i="1"/>
  <c r="AS43" i="1"/>
  <c r="AR43" i="1"/>
  <c r="AQ43" i="1"/>
  <c r="AP43" i="1"/>
  <c r="AO43" i="1"/>
  <c r="AN43" i="1"/>
  <c r="AS42" i="1"/>
  <c r="AR42" i="1"/>
  <c r="AQ42" i="1"/>
  <c r="AP42" i="1"/>
  <c r="AO42" i="1"/>
  <c r="AN42" i="1"/>
  <c r="AS41" i="1"/>
  <c r="AR41" i="1"/>
  <c r="AQ41" i="1"/>
  <c r="AP41" i="1"/>
  <c r="AO41" i="1"/>
  <c r="AN41" i="1"/>
  <c r="AS40" i="1"/>
  <c r="AR40" i="1"/>
  <c r="AQ40" i="1"/>
  <c r="AP40" i="1"/>
  <c r="AO40" i="1"/>
  <c r="AN40" i="1"/>
  <c r="AS39" i="1"/>
  <c r="AR39" i="1"/>
  <c r="AQ39" i="1"/>
  <c r="AP39" i="1"/>
  <c r="AO39" i="1"/>
  <c r="AN39" i="1"/>
  <c r="AS38" i="1"/>
  <c r="AR38" i="1"/>
  <c r="AQ38" i="1"/>
  <c r="AP38" i="1"/>
  <c r="AO38" i="1"/>
  <c r="AN38" i="1"/>
  <c r="AS37" i="1"/>
  <c r="AR37" i="1"/>
  <c r="AQ37" i="1"/>
  <c r="AP37" i="1"/>
  <c r="AO37" i="1"/>
  <c r="AN37" i="1"/>
  <c r="AS36" i="1"/>
  <c r="AR36" i="1"/>
  <c r="AQ36" i="1"/>
  <c r="AP36" i="1"/>
  <c r="AO36" i="1"/>
  <c r="AN36" i="1"/>
  <c r="AS35" i="1"/>
  <c r="AR35" i="1"/>
  <c r="AQ35" i="1"/>
  <c r="AP35" i="1"/>
  <c r="AO35" i="1"/>
  <c r="AN35" i="1"/>
  <c r="AS34" i="1"/>
  <c r="AR34" i="1"/>
  <c r="AQ34" i="1"/>
  <c r="AP34" i="1"/>
  <c r="AO34" i="1"/>
  <c r="AN34" i="1"/>
  <c r="AS33" i="1"/>
  <c r="AR33" i="1"/>
  <c r="AQ33" i="1"/>
  <c r="AP33" i="1"/>
  <c r="AO33" i="1"/>
  <c r="AN33" i="1"/>
  <c r="AS32" i="1"/>
  <c r="AR32" i="1"/>
  <c r="AQ32" i="1"/>
  <c r="AP32" i="1"/>
  <c r="AO32" i="1"/>
  <c r="AN32" i="1"/>
  <c r="AS31" i="1"/>
  <c r="AR31" i="1"/>
  <c r="AQ31" i="1"/>
  <c r="AP31" i="1"/>
  <c r="AO31" i="1"/>
  <c r="AN31" i="1"/>
  <c r="AS30" i="1"/>
  <c r="AR30" i="1"/>
  <c r="AQ30" i="1"/>
  <c r="AP30" i="1"/>
  <c r="AO30" i="1"/>
  <c r="AN30" i="1"/>
  <c r="AS29" i="1"/>
  <c r="AR29" i="1"/>
  <c r="AQ29" i="1"/>
  <c r="AP29" i="1"/>
  <c r="AO29" i="1"/>
  <c r="AN29" i="1"/>
  <c r="AS28" i="1"/>
  <c r="AR28" i="1"/>
  <c r="AQ28" i="1"/>
  <c r="AP28" i="1"/>
  <c r="AO28" i="1"/>
  <c r="AN28" i="1"/>
  <c r="AS27" i="1"/>
  <c r="AR27" i="1"/>
  <c r="AQ27" i="1"/>
  <c r="AP27" i="1"/>
  <c r="AO27" i="1"/>
  <c r="AN27" i="1"/>
  <c r="AS26" i="1"/>
  <c r="AR26" i="1"/>
  <c r="AQ26" i="1"/>
  <c r="AP26" i="1"/>
  <c r="AO26" i="1"/>
  <c r="AN26" i="1"/>
  <c r="AS25" i="1"/>
  <c r="AR25" i="1"/>
  <c r="AQ25" i="1"/>
  <c r="AP25" i="1"/>
  <c r="AO25" i="1"/>
  <c r="AN25" i="1"/>
  <c r="AS24" i="1"/>
  <c r="AR24" i="1"/>
  <c r="AQ24" i="1"/>
  <c r="AP24" i="1"/>
  <c r="AO24" i="1"/>
  <c r="AN24" i="1"/>
  <c r="AS23" i="1"/>
  <c r="AR23" i="1"/>
  <c r="AQ23" i="1"/>
  <c r="AP23" i="1"/>
  <c r="AO23" i="1"/>
  <c r="AN23" i="1"/>
  <c r="AS22" i="1"/>
  <c r="AR22" i="1"/>
  <c r="AQ22" i="1"/>
  <c r="AP22" i="1"/>
  <c r="AO22" i="1"/>
  <c r="AN22" i="1"/>
  <c r="AS21" i="1"/>
  <c r="AR21" i="1"/>
  <c r="AQ21" i="1"/>
  <c r="AP21" i="1"/>
  <c r="AO21" i="1"/>
  <c r="AN21" i="1"/>
  <c r="AS20" i="1"/>
  <c r="AR20" i="1"/>
  <c r="AQ20" i="1"/>
  <c r="AP20" i="1"/>
  <c r="AO20" i="1"/>
  <c r="AN20" i="1"/>
  <c r="AS19" i="1"/>
  <c r="AR19" i="1"/>
  <c r="AQ19" i="1"/>
  <c r="AP19" i="1"/>
  <c r="AO19" i="1"/>
  <c r="AN19" i="1"/>
  <c r="AS18" i="1"/>
  <c r="AR18" i="1"/>
  <c r="AQ18" i="1"/>
  <c r="AP18" i="1"/>
  <c r="AO18" i="1"/>
  <c r="AN18" i="1"/>
  <c r="AS17" i="1"/>
  <c r="AR17" i="1"/>
  <c r="AQ17" i="1"/>
  <c r="AP17" i="1"/>
  <c r="AO17" i="1"/>
  <c r="AN17" i="1"/>
  <c r="AS16" i="1"/>
  <c r="AR16" i="1"/>
  <c r="AQ16" i="1"/>
  <c r="AP16" i="1"/>
  <c r="AO16" i="1"/>
  <c r="AN16" i="1"/>
  <c r="AS15" i="1"/>
  <c r="AR15" i="1"/>
  <c r="AQ15" i="1"/>
  <c r="AP15" i="1"/>
  <c r="AO15" i="1"/>
  <c r="AN15" i="1"/>
  <c r="AS14" i="1"/>
  <c r="AR14" i="1"/>
  <c r="AQ14" i="1"/>
  <c r="AP14" i="1"/>
  <c r="AO14" i="1"/>
  <c r="AN14" i="1"/>
  <c r="AS13" i="1"/>
  <c r="AR13" i="1"/>
  <c r="AQ13" i="1"/>
  <c r="AP13" i="1"/>
  <c r="AO13" i="1"/>
  <c r="AN13" i="1"/>
  <c r="AS12" i="1"/>
  <c r="AR12" i="1"/>
  <c r="AQ12" i="1"/>
  <c r="AP12" i="1"/>
  <c r="AO12" i="1"/>
  <c r="AN12" i="1"/>
  <c r="AS11" i="1"/>
  <c r="AR11" i="1"/>
  <c r="AQ11" i="1"/>
  <c r="AP11" i="1"/>
  <c r="AO11" i="1"/>
  <c r="AN11" i="1"/>
  <c r="AS10" i="1"/>
  <c r="AR10" i="1"/>
  <c r="AQ10" i="1"/>
  <c r="AP10" i="1"/>
  <c r="AO10" i="1"/>
  <c r="AN10" i="1"/>
  <c r="AS9" i="1"/>
  <c r="AR9" i="1"/>
  <c r="AQ9" i="1"/>
  <c r="AP9" i="1"/>
  <c r="AO9" i="1"/>
  <c r="AN9" i="1"/>
  <c r="AS8" i="1"/>
  <c r="AR8" i="1"/>
  <c r="AQ8" i="1"/>
  <c r="AP8" i="1"/>
  <c r="AO8" i="1"/>
  <c r="AN8" i="1"/>
  <c r="AS7" i="1"/>
  <c r="AR7" i="1"/>
  <c r="AQ7" i="1"/>
  <c r="AP7" i="1"/>
  <c r="AO7" i="1"/>
  <c r="AN7" i="1"/>
  <c r="AS6" i="1"/>
  <c r="AR6" i="1"/>
  <c r="AQ6" i="1"/>
  <c r="AP6" i="1"/>
  <c r="AO6" i="1"/>
  <c r="AN6" i="1"/>
  <c r="AS5" i="1"/>
  <c r="AR5" i="1"/>
  <c r="AQ5" i="1"/>
  <c r="AP5" i="1"/>
  <c r="AO5" i="1"/>
  <c r="AN5" i="1"/>
  <c r="AS4" i="1"/>
  <c r="AR4" i="1"/>
  <c r="AQ4" i="1"/>
  <c r="AP4" i="1"/>
  <c r="AO4" i="1"/>
  <c r="AN4" i="1"/>
  <c r="AS3" i="1"/>
  <c r="AR3" i="1"/>
  <c r="AQ3" i="1"/>
  <c r="AP3" i="1"/>
  <c r="AO3" i="1"/>
  <c r="AN3" i="1"/>
  <c r="AS2" i="1"/>
  <c r="AR2" i="1"/>
  <c r="AQ2" i="1"/>
  <c r="AP2" i="1"/>
  <c r="AO2" i="1"/>
  <c r="AN2" i="1"/>
  <c r="W224" i="1"/>
  <c r="AG224" i="1" s="1"/>
  <c r="V224" i="1"/>
  <c r="AF224" i="1" s="1"/>
  <c r="U224" i="1"/>
  <c r="AE224" i="1" s="1"/>
  <c r="T224" i="1"/>
  <c r="AD224" i="1" s="1"/>
  <c r="S224" i="1"/>
  <c r="AC224" i="1" s="1"/>
  <c r="R224" i="1"/>
  <c r="AB224" i="1" s="1"/>
  <c r="Q224" i="1"/>
  <c r="AA224" i="1" s="1"/>
  <c r="P224" i="1"/>
  <c r="Z224" i="1" s="1"/>
  <c r="O224" i="1"/>
  <c r="Y224" i="1" s="1"/>
  <c r="W223" i="1"/>
  <c r="AG223" i="1" s="1"/>
  <c r="V223" i="1"/>
  <c r="AF223" i="1" s="1"/>
  <c r="U223" i="1"/>
  <c r="AE223" i="1" s="1"/>
  <c r="T223" i="1"/>
  <c r="AD223" i="1" s="1"/>
  <c r="S223" i="1"/>
  <c r="AC223" i="1" s="1"/>
  <c r="R223" i="1"/>
  <c r="AB223" i="1" s="1"/>
  <c r="Q223" i="1"/>
  <c r="AA223" i="1" s="1"/>
  <c r="P223" i="1"/>
  <c r="Z223" i="1" s="1"/>
  <c r="O223" i="1"/>
  <c r="Y223" i="1" s="1"/>
  <c r="W222" i="1"/>
  <c r="AG222" i="1" s="1"/>
  <c r="V222" i="1"/>
  <c r="AF222" i="1" s="1"/>
  <c r="U222" i="1"/>
  <c r="AE222" i="1" s="1"/>
  <c r="T222" i="1"/>
  <c r="AD222" i="1" s="1"/>
  <c r="S222" i="1"/>
  <c r="AC222" i="1" s="1"/>
  <c r="R222" i="1"/>
  <c r="AB222" i="1" s="1"/>
  <c r="Q222" i="1"/>
  <c r="AA222" i="1" s="1"/>
  <c r="P222" i="1"/>
  <c r="Z222" i="1" s="1"/>
  <c r="O222" i="1"/>
  <c r="Y222" i="1" s="1"/>
  <c r="W221" i="1"/>
  <c r="AG221" i="1" s="1"/>
  <c r="V221" i="1"/>
  <c r="AF221" i="1" s="1"/>
  <c r="U221" i="1"/>
  <c r="AE221" i="1" s="1"/>
  <c r="T221" i="1"/>
  <c r="AD221" i="1" s="1"/>
  <c r="S221" i="1"/>
  <c r="AC221" i="1" s="1"/>
  <c r="R221" i="1"/>
  <c r="AB221" i="1" s="1"/>
  <c r="Q221" i="1"/>
  <c r="AA221" i="1" s="1"/>
  <c r="P221" i="1"/>
  <c r="Z221" i="1" s="1"/>
  <c r="O221" i="1"/>
  <c r="Y221" i="1" s="1"/>
  <c r="W220" i="1"/>
  <c r="AG220" i="1" s="1"/>
  <c r="V220" i="1"/>
  <c r="AF220" i="1" s="1"/>
  <c r="U220" i="1"/>
  <c r="AE220" i="1" s="1"/>
  <c r="T220" i="1"/>
  <c r="AD220" i="1" s="1"/>
  <c r="S220" i="1"/>
  <c r="AC220" i="1" s="1"/>
  <c r="R220" i="1"/>
  <c r="AB220" i="1" s="1"/>
  <c r="Q220" i="1"/>
  <c r="AA220" i="1" s="1"/>
  <c r="P220" i="1"/>
  <c r="Z220" i="1" s="1"/>
  <c r="O220" i="1"/>
  <c r="Y220" i="1" s="1"/>
  <c r="W219" i="1"/>
  <c r="AG219" i="1" s="1"/>
  <c r="V219" i="1"/>
  <c r="AF219" i="1" s="1"/>
  <c r="U219" i="1"/>
  <c r="AE219" i="1" s="1"/>
  <c r="T219" i="1"/>
  <c r="AD219" i="1" s="1"/>
  <c r="S219" i="1"/>
  <c r="AC219" i="1" s="1"/>
  <c r="R219" i="1"/>
  <c r="AB219" i="1" s="1"/>
  <c r="Q219" i="1"/>
  <c r="AA219" i="1" s="1"/>
  <c r="P219" i="1"/>
  <c r="Z219" i="1" s="1"/>
  <c r="O219" i="1"/>
  <c r="Y219" i="1" s="1"/>
  <c r="W218" i="1"/>
  <c r="AG218" i="1" s="1"/>
  <c r="V218" i="1"/>
  <c r="AF218" i="1" s="1"/>
  <c r="U218" i="1"/>
  <c r="AE218" i="1" s="1"/>
  <c r="T218" i="1"/>
  <c r="AD218" i="1" s="1"/>
  <c r="S218" i="1"/>
  <c r="AC218" i="1" s="1"/>
  <c r="R218" i="1"/>
  <c r="AB218" i="1" s="1"/>
  <c r="Q218" i="1"/>
  <c r="AA218" i="1" s="1"/>
  <c r="P218" i="1"/>
  <c r="Z218" i="1" s="1"/>
  <c r="O218" i="1"/>
  <c r="Y218" i="1" s="1"/>
  <c r="W217" i="1"/>
  <c r="AG217" i="1" s="1"/>
  <c r="V217" i="1"/>
  <c r="AF217" i="1" s="1"/>
  <c r="U217" i="1"/>
  <c r="AE217" i="1" s="1"/>
  <c r="T217" i="1"/>
  <c r="AD217" i="1" s="1"/>
  <c r="S217" i="1"/>
  <c r="AC217" i="1" s="1"/>
  <c r="R217" i="1"/>
  <c r="AB217" i="1" s="1"/>
  <c r="Q217" i="1"/>
  <c r="AA217" i="1" s="1"/>
  <c r="P217" i="1"/>
  <c r="Z217" i="1" s="1"/>
  <c r="O217" i="1"/>
  <c r="Y217" i="1" s="1"/>
  <c r="W216" i="1"/>
  <c r="AG216" i="1" s="1"/>
  <c r="V216" i="1"/>
  <c r="AF216" i="1" s="1"/>
  <c r="U216" i="1"/>
  <c r="AE216" i="1" s="1"/>
  <c r="T216" i="1"/>
  <c r="AD216" i="1" s="1"/>
  <c r="S216" i="1"/>
  <c r="AC216" i="1" s="1"/>
  <c r="R216" i="1"/>
  <c r="AB216" i="1" s="1"/>
  <c r="Q216" i="1"/>
  <c r="AA216" i="1" s="1"/>
  <c r="P216" i="1"/>
  <c r="Z216" i="1" s="1"/>
  <c r="O216" i="1"/>
  <c r="Y216" i="1" s="1"/>
  <c r="W215" i="1"/>
  <c r="AG215" i="1" s="1"/>
  <c r="V215" i="1"/>
  <c r="AF215" i="1" s="1"/>
  <c r="U215" i="1"/>
  <c r="AE215" i="1" s="1"/>
  <c r="T215" i="1"/>
  <c r="AD215" i="1" s="1"/>
  <c r="S215" i="1"/>
  <c r="AC215" i="1" s="1"/>
  <c r="R215" i="1"/>
  <c r="AB215" i="1" s="1"/>
  <c r="Q215" i="1"/>
  <c r="AA215" i="1" s="1"/>
  <c r="P215" i="1"/>
  <c r="Z215" i="1" s="1"/>
  <c r="O215" i="1"/>
  <c r="Y215" i="1" s="1"/>
  <c r="W214" i="1"/>
  <c r="AG214" i="1" s="1"/>
  <c r="V214" i="1"/>
  <c r="AF214" i="1" s="1"/>
  <c r="U214" i="1"/>
  <c r="AE214" i="1" s="1"/>
  <c r="T214" i="1"/>
  <c r="AD214" i="1" s="1"/>
  <c r="S214" i="1"/>
  <c r="AC214" i="1" s="1"/>
  <c r="R214" i="1"/>
  <c r="AB214" i="1" s="1"/>
  <c r="Q214" i="1"/>
  <c r="AA214" i="1" s="1"/>
  <c r="P214" i="1"/>
  <c r="Z214" i="1" s="1"/>
  <c r="O214" i="1"/>
  <c r="Y214" i="1" s="1"/>
  <c r="W213" i="1"/>
  <c r="AG213" i="1" s="1"/>
  <c r="V213" i="1"/>
  <c r="AF213" i="1" s="1"/>
  <c r="U213" i="1"/>
  <c r="AE213" i="1" s="1"/>
  <c r="T213" i="1"/>
  <c r="AD213" i="1" s="1"/>
  <c r="S213" i="1"/>
  <c r="AC213" i="1" s="1"/>
  <c r="R213" i="1"/>
  <c r="AB213" i="1" s="1"/>
  <c r="Q213" i="1"/>
  <c r="AA213" i="1" s="1"/>
  <c r="P213" i="1"/>
  <c r="Z213" i="1" s="1"/>
  <c r="O213" i="1"/>
  <c r="Y213" i="1" s="1"/>
  <c r="W212" i="1"/>
  <c r="AG212" i="1" s="1"/>
  <c r="V212" i="1"/>
  <c r="AF212" i="1" s="1"/>
  <c r="U212" i="1"/>
  <c r="AE212" i="1" s="1"/>
  <c r="T212" i="1"/>
  <c r="AD212" i="1" s="1"/>
  <c r="S212" i="1"/>
  <c r="AC212" i="1" s="1"/>
  <c r="R212" i="1"/>
  <c r="AB212" i="1" s="1"/>
  <c r="Q212" i="1"/>
  <c r="AA212" i="1" s="1"/>
  <c r="P212" i="1"/>
  <c r="Z212" i="1" s="1"/>
  <c r="O212" i="1"/>
  <c r="Y212" i="1" s="1"/>
  <c r="W211" i="1"/>
  <c r="AG211" i="1" s="1"/>
  <c r="V211" i="1"/>
  <c r="AF211" i="1" s="1"/>
  <c r="U211" i="1"/>
  <c r="AE211" i="1" s="1"/>
  <c r="T211" i="1"/>
  <c r="AD211" i="1" s="1"/>
  <c r="S211" i="1"/>
  <c r="AC211" i="1" s="1"/>
  <c r="R211" i="1"/>
  <c r="AB211" i="1" s="1"/>
  <c r="Q211" i="1"/>
  <c r="AA211" i="1" s="1"/>
  <c r="P211" i="1"/>
  <c r="Z211" i="1" s="1"/>
  <c r="O211" i="1"/>
  <c r="Y211" i="1" s="1"/>
  <c r="W210" i="1"/>
  <c r="AG210" i="1" s="1"/>
  <c r="V210" i="1"/>
  <c r="AF210" i="1" s="1"/>
  <c r="U210" i="1"/>
  <c r="AE210" i="1" s="1"/>
  <c r="T210" i="1"/>
  <c r="AD210" i="1" s="1"/>
  <c r="S210" i="1"/>
  <c r="AC210" i="1" s="1"/>
  <c r="R210" i="1"/>
  <c r="AB210" i="1" s="1"/>
  <c r="Q210" i="1"/>
  <c r="AA210" i="1" s="1"/>
  <c r="P210" i="1"/>
  <c r="Z210" i="1" s="1"/>
  <c r="O210" i="1"/>
  <c r="Y210" i="1" s="1"/>
  <c r="W209" i="1"/>
  <c r="AG209" i="1" s="1"/>
  <c r="V209" i="1"/>
  <c r="AF209" i="1" s="1"/>
  <c r="U209" i="1"/>
  <c r="AE209" i="1" s="1"/>
  <c r="T209" i="1"/>
  <c r="AD209" i="1" s="1"/>
  <c r="S209" i="1"/>
  <c r="AC209" i="1" s="1"/>
  <c r="R209" i="1"/>
  <c r="AB209" i="1" s="1"/>
  <c r="Q209" i="1"/>
  <c r="AA209" i="1" s="1"/>
  <c r="P209" i="1"/>
  <c r="Z209" i="1" s="1"/>
  <c r="O209" i="1"/>
  <c r="Y209" i="1" s="1"/>
  <c r="W208" i="1"/>
  <c r="AG208" i="1" s="1"/>
  <c r="V208" i="1"/>
  <c r="AF208" i="1" s="1"/>
  <c r="U208" i="1"/>
  <c r="AE208" i="1" s="1"/>
  <c r="T208" i="1"/>
  <c r="AD208" i="1" s="1"/>
  <c r="S208" i="1"/>
  <c r="AC208" i="1" s="1"/>
  <c r="R208" i="1"/>
  <c r="AB208" i="1" s="1"/>
  <c r="Q208" i="1"/>
  <c r="AA208" i="1" s="1"/>
  <c r="P208" i="1"/>
  <c r="Z208" i="1" s="1"/>
  <c r="O208" i="1"/>
  <c r="Y208" i="1" s="1"/>
  <c r="W207" i="1"/>
  <c r="AG207" i="1" s="1"/>
  <c r="V207" i="1"/>
  <c r="AF207" i="1" s="1"/>
  <c r="U207" i="1"/>
  <c r="AE207" i="1" s="1"/>
  <c r="T207" i="1"/>
  <c r="AD207" i="1" s="1"/>
  <c r="S207" i="1"/>
  <c r="AC207" i="1" s="1"/>
  <c r="R207" i="1"/>
  <c r="AB207" i="1" s="1"/>
  <c r="Q207" i="1"/>
  <c r="AA207" i="1" s="1"/>
  <c r="P207" i="1"/>
  <c r="Z207" i="1" s="1"/>
  <c r="O207" i="1"/>
  <c r="Y207" i="1" s="1"/>
  <c r="W206" i="1"/>
  <c r="AG206" i="1" s="1"/>
  <c r="V206" i="1"/>
  <c r="AF206" i="1" s="1"/>
  <c r="U206" i="1"/>
  <c r="AE206" i="1" s="1"/>
  <c r="T206" i="1"/>
  <c r="AD206" i="1" s="1"/>
  <c r="S206" i="1"/>
  <c r="AC206" i="1" s="1"/>
  <c r="R206" i="1"/>
  <c r="AB206" i="1" s="1"/>
  <c r="Q206" i="1"/>
  <c r="AA206" i="1" s="1"/>
  <c r="P206" i="1"/>
  <c r="Z206" i="1" s="1"/>
  <c r="O206" i="1"/>
  <c r="Y206" i="1" s="1"/>
  <c r="W205" i="1"/>
  <c r="AG205" i="1" s="1"/>
  <c r="V205" i="1"/>
  <c r="AF205" i="1" s="1"/>
  <c r="U205" i="1"/>
  <c r="AE205" i="1" s="1"/>
  <c r="T205" i="1"/>
  <c r="AD205" i="1" s="1"/>
  <c r="S205" i="1"/>
  <c r="AC205" i="1" s="1"/>
  <c r="R205" i="1"/>
  <c r="AB205" i="1" s="1"/>
  <c r="Q205" i="1"/>
  <c r="AA205" i="1" s="1"/>
  <c r="P205" i="1"/>
  <c r="Z205" i="1" s="1"/>
  <c r="O205" i="1"/>
  <c r="Y205" i="1" s="1"/>
  <c r="W204" i="1"/>
  <c r="AG204" i="1" s="1"/>
  <c r="V204" i="1"/>
  <c r="AF204" i="1" s="1"/>
  <c r="U204" i="1"/>
  <c r="AE204" i="1" s="1"/>
  <c r="T204" i="1"/>
  <c r="AD204" i="1" s="1"/>
  <c r="S204" i="1"/>
  <c r="AC204" i="1" s="1"/>
  <c r="R204" i="1"/>
  <c r="AB204" i="1" s="1"/>
  <c r="Q204" i="1"/>
  <c r="AA204" i="1" s="1"/>
  <c r="P204" i="1"/>
  <c r="Z204" i="1" s="1"/>
  <c r="O204" i="1"/>
  <c r="Y204" i="1" s="1"/>
  <c r="W203" i="1"/>
  <c r="AG203" i="1" s="1"/>
  <c r="V203" i="1"/>
  <c r="AF203" i="1" s="1"/>
  <c r="U203" i="1"/>
  <c r="AE203" i="1" s="1"/>
  <c r="T203" i="1"/>
  <c r="AD203" i="1" s="1"/>
  <c r="S203" i="1"/>
  <c r="AC203" i="1" s="1"/>
  <c r="R203" i="1"/>
  <c r="AB203" i="1" s="1"/>
  <c r="Q203" i="1"/>
  <c r="AA203" i="1" s="1"/>
  <c r="P203" i="1"/>
  <c r="Z203" i="1" s="1"/>
  <c r="O203" i="1"/>
  <c r="Y203" i="1" s="1"/>
  <c r="W202" i="1"/>
  <c r="AG202" i="1" s="1"/>
  <c r="V202" i="1"/>
  <c r="AF202" i="1" s="1"/>
  <c r="U202" i="1"/>
  <c r="AE202" i="1" s="1"/>
  <c r="T202" i="1"/>
  <c r="AD202" i="1" s="1"/>
  <c r="S202" i="1"/>
  <c r="AC202" i="1" s="1"/>
  <c r="R202" i="1"/>
  <c r="AB202" i="1" s="1"/>
  <c r="Q202" i="1"/>
  <c r="AA202" i="1" s="1"/>
  <c r="P202" i="1"/>
  <c r="Z202" i="1" s="1"/>
  <c r="O202" i="1"/>
  <c r="Y202" i="1" s="1"/>
  <c r="W201" i="1"/>
  <c r="AG201" i="1" s="1"/>
  <c r="V201" i="1"/>
  <c r="AF201" i="1" s="1"/>
  <c r="U201" i="1"/>
  <c r="AE201" i="1" s="1"/>
  <c r="T201" i="1"/>
  <c r="AD201" i="1" s="1"/>
  <c r="S201" i="1"/>
  <c r="AC201" i="1" s="1"/>
  <c r="R201" i="1"/>
  <c r="AB201" i="1" s="1"/>
  <c r="Q201" i="1"/>
  <c r="AA201" i="1" s="1"/>
  <c r="P201" i="1"/>
  <c r="Z201" i="1" s="1"/>
  <c r="O201" i="1"/>
  <c r="Y201" i="1" s="1"/>
  <c r="W200" i="1"/>
  <c r="AG200" i="1" s="1"/>
  <c r="V200" i="1"/>
  <c r="AF200" i="1" s="1"/>
  <c r="U200" i="1"/>
  <c r="AE200" i="1" s="1"/>
  <c r="T200" i="1"/>
  <c r="AD200" i="1" s="1"/>
  <c r="S200" i="1"/>
  <c r="AC200" i="1" s="1"/>
  <c r="R200" i="1"/>
  <c r="AB200" i="1" s="1"/>
  <c r="Q200" i="1"/>
  <c r="AA200" i="1" s="1"/>
  <c r="P200" i="1"/>
  <c r="Z200" i="1" s="1"/>
  <c r="O200" i="1"/>
  <c r="Y200" i="1" s="1"/>
  <c r="W199" i="1"/>
  <c r="AG199" i="1" s="1"/>
  <c r="V199" i="1"/>
  <c r="AF199" i="1" s="1"/>
  <c r="U199" i="1"/>
  <c r="AE199" i="1" s="1"/>
  <c r="T199" i="1"/>
  <c r="AD199" i="1" s="1"/>
  <c r="S199" i="1"/>
  <c r="AC199" i="1" s="1"/>
  <c r="R199" i="1"/>
  <c r="AB199" i="1" s="1"/>
  <c r="Q199" i="1"/>
  <c r="AA199" i="1" s="1"/>
  <c r="P199" i="1"/>
  <c r="Z199" i="1" s="1"/>
  <c r="O199" i="1"/>
  <c r="Y199" i="1" s="1"/>
  <c r="W198" i="1"/>
  <c r="AG198" i="1" s="1"/>
  <c r="V198" i="1"/>
  <c r="AF198" i="1" s="1"/>
  <c r="U198" i="1"/>
  <c r="AE198" i="1" s="1"/>
  <c r="T198" i="1"/>
  <c r="AD198" i="1" s="1"/>
  <c r="S198" i="1"/>
  <c r="AC198" i="1" s="1"/>
  <c r="R198" i="1"/>
  <c r="AB198" i="1" s="1"/>
  <c r="Q198" i="1"/>
  <c r="AA198" i="1" s="1"/>
  <c r="P198" i="1"/>
  <c r="Z198" i="1" s="1"/>
  <c r="O198" i="1"/>
  <c r="Y198" i="1" s="1"/>
  <c r="W197" i="1"/>
  <c r="AG197" i="1" s="1"/>
  <c r="V197" i="1"/>
  <c r="AF197" i="1" s="1"/>
  <c r="U197" i="1"/>
  <c r="AE197" i="1" s="1"/>
  <c r="T197" i="1"/>
  <c r="AD197" i="1" s="1"/>
  <c r="S197" i="1"/>
  <c r="AC197" i="1" s="1"/>
  <c r="R197" i="1"/>
  <c r="AB197" i="1" s="1"/>
  <c r="Q197" i="1"/>
  <c r="AA197" i="1" s="1"/>
  <c r="P197" i="1"/>
  <c r="Z197" i="1" s="1"/>
  <c r="O197" i="1"/>
  <c r="Y197" i="1" s="1"/>
  <c r="W196" i="1"/>
  <c r="AG196" i="1" s="1"/>
  <c r="V196" i="1"/>
  <c r="AF196" i="1" s="1"/>
  <c r="U196" i="1"/>
  <c r="AE196" i="1" s="1"/>
  <c r="T196" i="1"/>
  <c r="AD196" i="1" s="1"/>
  <c r="S196" i="1"/>
  <c r="AC196" i="1" s="1"/>
  <c r="R196" i="1"/>
  <c r="AB196" i="1" s="1"/>
  <c r="Q196" i="1"/>
  <c r="AA196" i="1" s="1"/>
  <c r="P196" i="1"/>
  <c r="Z196" i="1" s="1"/>
  <c r="O196" i="1"/>
  <c r="Y196" i="1" s="1"/>
  <c r="W195" i="1"/>
  <c r="AG195" i="1" s="1"/>
  <c r="V195" i="1"/>
  <c r="AF195" i="1" s="1"/>
  <c r="U195" i="1"/>
  <c r="AE195" i="1" s="1"/>
  <c r="T195" i="1"/>
  <c r="AD195" i="1" s="1"/>
  <c r="S195" i="1"/>
  <c r="AC195" i="1" s="1"/>
  <c r="R195" i="1"/>
  <c r="AB195" i="1" s="1"/>
  <c r="Q195" i="1"/>
  <c r="AA195" i="1" s="1"/>
  <c r="P195" i="1"/>
  <c r="Z195" i="1" s="1"/>
  <c r="O195" i="1"/>
  <c r="Y195" i="1" s="1"/>
  <c r="W194" i="1"/>
  <c r="AG194" i="1" s="1"/>
  <c r="V194" i="1"/>
  <c r="AF194" i="1" s="1"/>
  <c r="U194" i="1"/>
  <c r="AE194" i="1" s="1"/>
  <c r="T194" i="1"/>
  <c r="AD194" i="1" s="1"/>
  <c r="S194" i="1"/>
  <c r="AC194" i="1" s="1"/>
  <c r="R194" i="1"/>
  <c r="AB194" i="1" s="1"/>
  <c r="Q194" i="1"/>
  <c r="AA194" i="1" s="1"/>
  <c r="P194" i="1"/>
  <c r="Z194" i="1" s="1"/>
  <c r="O194" i="1"/>
  <c r="Y194" i="1" s="1"/>
  <c r="W193" i="1"/>
  <c r="AG193" i="1" s="1"/>
  <c r="V193" i="1"/>
  <c r="AF193" i="1" s="1"/>
  <c r="U193" i="1"/>
  <c r="AE193" i="1" s="1"/>
  <c r="T193" i="1"/>
  <c r="AD193" i="1" s="1"/>
  <c r="S193" i="1"/>
  <c r="AC193" i="1" s="1"/>
  <c r="R193" i="1"/>
  <c r="AB193" i="1" s="1"/>
  <c r="Q193" i="1"/>
  <c r="AA193" i="1" s="1"/>
  <c r="P193" i="1"/>
  <c r="Z193" i="1" s="1"/>
  <c r="O193" i="1"/>
  <c r="Y193" i="1" s="1"/>
  <c r="W192" i="1"/>
  <c r="AG192" i="1" s="1"/>
  <c r="V192" i="1"/>
  <c r="AF192" i="1" s="1"/>
  <c r="U192" i="1"/>
  <c r="AE192" i="1" s="1"/>
  <c r="T192" i="1"/>
  <c r="AD192" i="1" s="1"/>
  <c r="S192" i="1"/>
  <c r="AC192" i="1" s="1"/>
  <c r="R192" i="1"/>
  <c r="AB192" i="1" s="1"/>
  <c r="Q192" i="1"/>
  <c r="AA192" i="1" s="1"/>
  <c r="P192" i="1"/>
  <c r="Z192" i="1" s="1"/>
  <c r="O192" i="1"/>
  <c r="Y192" i="1" s="1"/>
  <c r="W191" i="1"/>
  <c r="AG191" i="1" s="1"/>
  <c r="V191" i="1"/>
  <c r="AF191" i="1" s="1"/>
  <c r="U191" i="1"/>
  <c r="AE191" i="1" s="1"/>
  <c r="T191" i="1"/>
  <c r="AD191" i="1" s="1"/>
  <c r="S191" i="1"/>
  <c r="AC191" i="1" s="1"/>
  <c r="R191" i="1"/>
  <c r="AB191" i="1" s="1"/>
  <c r="Q191" i="1"/>
  <c r="AA191" i="1" s="1"/>
  <c r="P191" i="1"/>
  <c r="Z191" i="1" s="1"/>
  <c r="O191" i="1"/>
  <c r="Y191" i="1" s="1"/>
  <c r="W190" i="1"/>
  <c r="AG190" i="1" s="1"/>
  <c r="V190" i="1"/>
  <c r="AF190" i="1" s="1"/>
  <c r="U190" i="1"/>
  <c r="AE190" i="1" s="1"/>
  <c r="T190" i="1"/>
  <c r="AD190" i="1" s="1"/>
  <c r="S190" i="1"/>
  <c r="AC190" i="1" s="1"/>
  <c r="R190" i="1"/>
  <c r="AB190" i="1" s="1"/>
  <c r="Q190" i="1"/>
  <c r="AA190" i="1" s="1"/>
  <c r="P190" i="1"/>
  <c r="Z190" i="1" s="1"/>
  <c r="O190" i="1"/>
  <c r="Y190" i="1" s="1"/>
  <c r="W189" i="1"/>
  <c r="AG189" i="1" s="1"/>
  <c r="V189" i="1"/>
  <c r="AF189" i="1" s="1"/>
  <c r="U189" i="1"/>
  <c r="AE189" i="1" s="1"/>
  <c r="T189" i="1"/>
  <c r="AD189" i="1" s="1"/>
  <c r="S189" i="1"/>
  <c r="AC189" i="1" s="1"/>
  <c r="R189" i="1"/>
  <c r="AB189" i="1" s="1"/>
  <c r="Q189" i="1"/>
  <c r="AA189" i="1" s="1"/>
  <c r="P189" i="1"/>
  <c r="Z189" i="1" s="1"/>
  <c r="O189" i="1"/>
  <c r="Y189" i="1" s="1"/>
  <c r="W188" i="1"/>
  <c r="AG188" i="1" s="1"/>
  <c r="V188" i="1"/>
  <c r="AF188" i="1" s="1"/>
  <c r="U188" i="1"/>
  <c r="AE188" i="1" s="1"/>
  <c r="T188" i="1"/>
  <c r="AD188" i="1" s="1"/>
  <c r="S188" i="1"/>
  <c r="AC188" i="1" s="1"/>
  <c r="R188" i="1"/>
  <c r="AB188" i="1" s="1"/>
  <c r="Q188" i="1"/>
  <c r="AA188" i="1" s="1"/>
  <c r="P188" i="1"/>
  <c r="Z188" i="1" s="1"/>
  <c r="O188" i="1"/>
  <c r="Y188" i="1" s="1"/>
  <c r="W187" i="1"/>
  <c r="AG187" i="1" s="1"/>
  <c r="V187" i="1"/>
  <c r="AF187" i="1" s="1"/>
  <c r="U187" i="1"/>
  <c r="AE187" i="1" s="1"/>
  <c r="T187" i="1"/>
  <c r="AD187" i="1" s="1"/>
  <c r="S187" i="1"/>
  <c r="AC187" i="1" s="1"/>
  <c r="R187" i="1"/>
  <c r="AB187" i="1" s="1"/>
  <c r="Q187" i="1"/>
  <c r="AA187" i="1" s="1"/>
  <c r="P187" i="1"/>
  <c r="Z187" i="1" s="1"/>
  <c r="O187" i="1"/>
  <c r="Y187" i="1" s="1"/>
  <c r="W186" i="1"/>
  <c r="AG186" i="1" s="1"/>
  <c r="V186" i="1"/>
  <c r="AF186" i="1" s="1"/>
  <c r="U186" i="1"/>
  <c r="AE186" i="1" s="1"/>
  <c r="T186" i="1"/>
  <c r="AD186" i="1" s="1"/>
  <c r="S186" i="1"/>
  <c r="AC186" i="1" s="1"/>
  <c r="R186" i="1"/>
  <c r="AB186" i="1" s="1"/>
  <c r="Q186" i="1"/>
  <c r="AA186" i="1" s="1"/>
  <c r="P186" i="1"/>
  <c r="Z186" i="1" s="1"/>
  <c r="O186" i="1"/>
  <c r="Y186" i="1" s="1"/>
  <c r="W185" i="1"/>
  <c r="AG185" i="1" s="1"/>
  <c r="V185" i="1"/>
  <c r="AF185" i="1" s="1"/>
  <c r="U185" i="1"/>
  <c r="AE185" i="1" s="1"/>
  <c r="T185" i="1"/>
  <c r="AD185" i="1" s="1"/>
  <c r="S185" i="1"/>
  <c r="AC185" i="1" s="1"/>
  <c r="R185" i="1"/>
  <c r="AB185" i="1" s="1"/>
  <c r="Q185" i="1"/>
  <c r="AA185" i="1" s="1"/>
  <c r="P185" i="1"/>
  <c r="Z185" i="1" s="1"/>
  <c r="O185" i="1"/>
  <c r="Y185" i="1" s="1"/>
  <c r="W184" i="1"/>
  <c r="AG184" i="1" s="1"/>
  <c r="V184" i="1"/>
  <c r="AF184" i="1" s="1"/>
  <c r="U184" i="1"/>
  <c r="AE184" i="1" s="1"/>
  <c r="T184" i="1"/>
  <c r="AD184" i="1" s="1"/>
  <c r="S184" i="1"/>
  <c r="AC184" i="1" s="1"/>
  <c r="R184" i="1"/>
  <c r="AB184" i="1" s="1"/>
  <c r="Q184" i="1"/>
  <c r="AA184" i="1" s="1"/>
  <c r="P184" i="1"/>
  <c r="Z184" i="1" s="1"/>
  <c r="O184" i="1"/>
  <c r="Y184" i="1" s="1"/>
  <c r="W183" i="1"/>
  <c r="AG183" i="1" s="1"/>
  <c r="V183" i="1"/>
  <c r="AF183" i="1" s="1"/>
  <c r="U183" i="1"/>
  <c r="AE183" i="1" s="1"/>
  <c r="T183" i="1"/>
  <c r="AD183" i="1" s="1"/>
  <c r="S183" i="1"/>
  <c r="AC183" i="1" s="1"/>
  <c r="R183" i="1"/>
  <c r="AB183" i="1" s="1"/>
  <c r="Q183" i="1"/>
  <c r="AA183" i="1" s="1"/>
  <c r="P183" i="1"/>
  <c r="Z183" i="1" s="1"/>
  <c r="O183" i="1"/>
  <c r="Y183" i="1" s="1"/>
  <c r="W182" i="1"/>
  <c r="AG182" i="1" s="1"/>
  <c r="V182" i="1"/>
  <c r="AF182" i="1" s="1"/>
  <c r="U182" i="1"/>
  <c r="AE182" i="1" s="1"/>
  <c r="T182" i="1"/>
  <c r="AD182" i="1" s="1"/>
  <c r="S182" i="1"/>
  <c r="AC182" i="1" s="1"/>
  <c r="R182" i="1"/>
  <c r="AB182" i="1" s="1"/>
  <c r="Q182" i="1"/>
  <c r="AA182" i="1" s="1"/>
  <c r="P182" i="1"/>
  <c r="Z182" i="1" s="1"/>
  <c r="O182" i="1"/>
  <c r="Y182" i="1" s="1"/>
  <c r="W181" i="1"/>
  <c r="AG181" i="1" s="1"/>
  <c r="V181" i="1"/>
  <c r="AF181" i="1" s="1"/>
  <c r="U181" i="1"/>
  <c r="AE181" i="1" s="1"/>
  <c r="T181" i="1"/>
  <c r="AD181" i="1" s="1"/>
  <c r="S181" i="1"/>
  <c r="AC181" i="1" s="1"/>
  <c r="R181" i="1"/>
  <c r="AB181" i="1" s="1"/>
  <c r="Q181" i="1"/>
  <c r="AA181" i="1" s="1"/>
  <c r="P181" i="1"/>
  <c r="Z181" i="1" s="1"/>
  <c r="O181" i="1"/>
  <c r="Y181" i="1" s="1"/>
  <c r="W180" i="1"/>
  <c r="AG180" i="1" s="1"/>
  <c r="V180" i="1"/>
  <c r="AF180" i="1" s="1"/>
  <c r="U180" i="1"/>
  <c r="AE180" i="1" s="1"/>
  <c r="T180" i="1"/>
  <c r="AD180" i="1" s="1"/>
  <c r="S180" i="1"/>
  <c r="AC180" i="1" s="1"/>
  <c r="R180" i="1"/>
  <c r="AB180" i="1" s="1"/>
  <c r="Q180" i="1"/>
  <c r="AA180" i="1" s="1"/>
  <c r="P180" i="1"/>
  <c r="Z180" i="1" s="1"/>
  <c r="O180" i="1"/>
  <c r="Y180" i="1" s="1"/>
  <c r="W179" i="1"/>
  <c r="AG179" i="1" s="1"/>
  <c r="V179" i="1"/>
  <c r="AF179" i="1" s="1"/>
  <c r="U179" i="1"/>
  <c r="AE179" i="1" s="1"/>
  <c r="T179" i="1"/>
  <c r="AD179" i="1" s="1"/>
  <c r="S179" i="1"/>
  <c r="AC179" i="1" s="1"/>
  <c r="R179" i="1"/>
  <c r="AB179" i="1" s="1"/>
  <c r="Q179" i="1"/>
  <c r="AA179" i="1" s="1"/>
  <c r="P179" i="1"/>
  <c r="Z179" i="1" s="1"/>
  <c r="O179" i="1"/>
  <c r="Y179" i="1" s="1"/>
  <c r="W152" i="1"/>
  <c r="AG152" i="1" s="1"/>
  <c r="V152" i="1"/>
  <c r="AF152" i="1" s="1"/>
  <c r="U152" i="1"/>
  <c r="AE152" i="1" s="1"/>
  <c r="T152" i="1"/>
  <c r="AD152" i="1" s="1"/>
  <c r="S152" i="1"/>
  <c r="AC152" i="1" s="1"/>
  <c r="R152" i="1"/>
  <c r="AB152" i="1" s="1"/>
  <c r="Q152" i="1"/>
  <c r="AA152" i="1" s="1"/>
  <c r="P152" i="1"/>
  <c r="Z152" i="1" s="1"/>
  <c r="O152" i="1"/>
  <c r="Y152" i="1" s="1"/>
  <c r="W178" i="1"/>
  <c r="AG178" i="1" s="1"/>
  <c r="V178" i="1"/>
  <c r="AF178" i="1" s="1"/>
  <c r="U178" i="1"/>
  <c r="AE178" i="1" s="1"/>
  <c r="T178" i="1"/>
  <c r="AD178" i="1" s="1"/>
  <c r="S178" i="1"/>
  <c r="AC178" i="1" s="1"/>
  <c r="R178" i="1"/>
  <c r="AB178" i="1" s="1"/>
  <c r="Q178" i="1"/>
  <c r="AA178" i="1" s="1"/>
  <c r="P178" i="1"/>
  <c r="Z178" i="1" s="1"/>
  <c r="O178" i="1"/>
  <c r="Y178" i="1" s="1"/>
  <c r="W177" i="1"/>
  <c r="AG177" i="1" s="1"/>
  <c r="V177" i="1"/>
  <c r="AF177" i="1" s="1"/>
  <c r="U177" i="1"/>
  <c r="AE177" i="1" s="1"/>
  <c r="T177" i="1"/>
  <c r="AD177" i="1" s="1"/>
  <c r="S177" i="1"/>
  <c r="AC177" i="1" s="1"/>
  <c r="R177" i="1"/>
  <c r="AB177" i="1" s="1"/>
  <c r="Q177" i="1"/>
  <c r="AA177" i="1" s="1"/>
  <c r="P177" i="1"/>
  <c r="Z177" i="1" s="1"/>
  <c r="O177" i="1"/>
  <c r="Y177" i="1" s="1"/>
  <c r="W176" i="1"/>
  <c r="AG176" i="1" s="1"/>
  <c r="V176" i="1"/>
  <c r="AF176" i="1" s="1"/>
  <c r="U176" i="1"/>
  <c r="AE176" i="1" s="1"/>
  <c r="T176" i="1"/>
  <c r="AD176" i="1" s="1"/>
  <c r="S176" i="1"/>
  <c r="AC176" i="1" s="1"/>
  <c r="R176" i="1"/>
  <c r="AB176" i="1" s="1"/>
  <c r="Q176" i="1"/>
  <c r="AA176" i="1" s="1"/>
  <c r="P176" i="1"/>
  <c r="Z176" i="1" s="1"/>
  <c r="O176" i="1"/>
  <c r="Y176" i="1" s="1"/>
  <c r="W175" i="1"/>
  <c r="AG175" i="1" s="1"/>
  <c r="V175" i="1"/>
  <c r="AF175" i="1" s="1"/>
  <c r="U175" i="1"/>
  <c r="AE175" i="1" s="1"/>
  <c r="T175" i="1"/>
  <c r="AD175" i="1" s="1"/>
  <c r="S175" i="1"/>
  <c r="AC175" i="1" s="1"/>
  <c r="R175" i="1"/>
  <c r="AB175" i="1" s="1"/>
  <c r="Q175" i="1"/>
  <c r="AA175" i="1" s="1"/>
  <c r="P175" i="1"/>
  <c r="Z175" i="1" s="1"/>
  <c r="O175" i="1"/>
  <c r="Y175" i="1" s="1"/>
  <c r="W174" i="1"/>
  <c r="AG174" i="1" s="1"/>
  <c r="V174" i="1"/>
  <c r="AF174" i="1" s="1"/>
  <c r="U174" i="1"/>
  <c r="AE174" i="1" s="1"/>
  <c r="T174" i="1"/>
  <c r="AD174" i="1" s="1"/>
  <c r="S174" i="1"/>
  <c r="AC174" i="1" s="1"/>
  <c r="R174" i="1"/>
  <c r="AB174" i="1" s="1"/>
  <c r="Q174" i="1"/>
  <c r="AA174" i="1" s="1"/>
  <c r="P174" i="1"/>
  <c r="Z174" i="1" s="1"/>
  <c r="O174" i="1"/>
  <c r="Y174" i="1" s="1"/>
  <c r="W173" i="1"/>
  <c r="AG173" i="1" s="1"/>
  <c r="V173" i="1"/>
  <c r="AF173" i="1" s="1"/>
  <c r="U173" i="1"/>
  <c r="AE173" i="1" s="1"/>
  <c r="T173" i="1"/>
  <c r="AD173" i="1" s="1"/>
  <c r="S173" i="1"/>
  <c r="AC173" i="1" s="1"/>
  <c r="R173" i="1"/>
  <c r="AB173" i="1" s="1"/>
  <c r="Q173" i="1"/>
  <c r="AA173" i="1" s="1"/>
  <c r="P173" i="1"/>
  <c r="Z173" i="1" s="1"/>
  <c r="O173" i="1"/>
  <c r="Y173" i="1" s="1"/>
  <c r="W172" i="1"/>
  <c r="AG172" i="1" s="1"/>
  <c r="V172" i="1"/>
  <c r="AF172" i="1" s="1"/>
  <c r="U172" i="1"/>
  <c r="AE172" i="1" s="1"/>
  <c r="T172" i="1"/>
  <c r="AD172" i="1" s="1"/>
  <c r="S172" i="1"/>
  <c r="AC172" i="1" s="1"/>
  <c r="R172" i="1"/>
  <c r="AB172" i="1" s="1"/>
  <c r="Q172" i="1"/>
  <c r="AA172" i="1" s="1"/>
  <c r="P172" i="1"/>
  <c r="Z172" i="1" s="1"/>
  <c r="O172" i="1"/>
  <c r="Y172" i="1" s="1"/>
  <c r="W171" i="1"/>
  <c r="AG171" i="1" s="1"/>
  <c r="V171" i="1"/>
  <c r="AF171" i="1" s="1"/>
  <c r="U171" i="1"/>
  <c r="AE171" i="1" s="1"/>
  <c r="T171" i="1"/>
  <c r="AD171" i="1" s="1"/>
  <c r="S171" i="1"/>
  <c r="AC171" i="1" s="1"/>
  <c r="R171" i="1"/>
  <c r="AB171" i="1" s="1"/>
  <c r="Q171" i="1"/>
  <c r="AA171" i="1" s="1"/>
  <c r="P171" i="1"/>
  <c r="Z171" i="1" s="1"/>
  <c r="O171" i="1"/>
  <c r="Y171" i="1" s="1"/>
  <c r="W170" i="1"/>
  <c r="AG170" i="1" s="1"/>
  <c r="V170" i="1"/>
  <c r="AF170" i="1" s="1"/>
  <c r="U170" i="1"/>
  <c r="AE170" i="1" s="1"/>
  <c r="T170" i="1"/>
  <c r="AD170" i="1" s="1"/>
  <c r="S170" i="1"/>
  <c r="AC170" i="1" s="1"/>
  <c r="R170" i="1"/>
  <c r="AB170" i="1" s="1"/>
  <c r="Q170" i="1"/>
  <c r="AA170" i="1" s="1"/>
  <c r="P170" i="1"/>
  <c r="Z170" i="1" s="1"/>
  <c r="O170" i="1"/>
  <c r="Y170" i="1" s="1"/>
  <c r="W169" i="1"/>
  <c r="AG169" i="1" s="1"/>
  <c r="V169" i="1"/>
  <c r="AF169" i="1" s="1"/>
  <c r="U169" i="1"/>
  <c r="AE169" i="1" s="1"/>
  <c r="T169" i="1"/>
  <c r="AD169" i="1" s="1"/>
  <c r="S169" i="1"/>
  <c r="AC169" i="1" s="1"/>
  <c r="R169" i="1"/>
  <c r="AB169" i="1" s="1"/>
  <c r="Q169" i="1"/>
  <c r="AA169" i="1" s="1"/>
  <c r="P169" i="1"/>
  <c r="Z169" i="1" s="1"/>
  <c r="O169" i="1"/>
  <c r="Y169" i="1" s="1"/>
  <c r="W168" i="1"/>
  <c r="AG168" i="1" s="1"/>
  <c r="V168" i="1"/>
  <c r="AF168" i="1" s="1"/>
  <c r="U168" i="1"/>
  <c r="AE168" i="1" s="1"/>
  <c r="T168" i="1"/>
  <c r="AD168" i="1" s="1"/>
  <c r="S168" i="1"/>
  <c r="AC168" i="1" s="1"/>
  <c r="R168" i="1"/>
  <c r="AB168" i="1" s="1"/>
  <c r="Q168" i="1"/>
  <c r="AA168" i="1" s="1"/>
  <c r="P168" i="1"/>
  <c r="Z168" i="1" s="1"/>
  <c r="O168" i="1"/>
  <c r="Y168" i="1" s="1"/>
  <c r="W167" i="1"/>
  <c r="AG167" i="1" s="1"/>
  <c r="V167" i="1"/>
  <c r="AF167" i="1" s="1"/>
  <c r="U167" i="1"/>
  <c r="AE167" i="1" s="1"/>
  <c r="T167" i="1"/>
  <c r="AD167" i="1" s="1"/>
  <c r="S167" i="1"/>
  <c r="AC167" i="1" s="1"/>
  <c r="R167" i="1"/>
  <c r="AB167" i="1" s="1"/>
  <c r="Q167" i="1"/>
  <c r="AA167" i="1" s="1"/>
  <c r="P167" i="1"/>
  <c r="Z167" i="1" s="1"/>
  <c r="O167" i="1"/>
  <c r="Y167" i="1" s="1"/>
  <c r="W166" i="1"/>
  <c r="AG166" i="1" s="1"/>
  <c r="V166" i="1"/>
  <c r="AF166" i="1" s="1"/>
  <c r="U166" i="1"/>
  <c r="AE166" i="1" s="1"/>
  <c r="T166" i="1"/>
  <c r="AD166" i="1" s="1"/>
  <c r="S166" i="1"/>
  <c r="AC166" i="1" s="1"/>
  <c r="R166" i="1"/>
  <c r="AB166" i="1" s="1"/>
  <c r="Q166" i="1"/>
  <c r="AA166" i="1" s="1"/>
  <c r="P166" i="1"/>
  <c r="Z166" i="1" s="1"/>
  <c r="O166" i="1"/>
  <c r="Y166" i="1" s="1"/>
  <c r="W165" i="1"/>
  <c r="AG165" i="1" s="1"/>
  <c r="V165" i="1"/>
  <c r="AF165" i="1" s="1"/>
  <c r="U165" i="1"/>
  <c r="AE165" i="1" s="1"/>
  <c r="T165" i="1"/>
  <c r="AD165" i="1" s="1"/>
  <c r="S165" i="1"/>
  <c r="AC165" i="1" s="1"/>
  <c r="R165" i="1"/>
  <c r="AB165" i="1" s="1"/>
  <c r="Q165" i="1"/>
  <c r="AA165" i="1" s="1"/>
  <c r="P165" i="1"/>
  <c r="Z165" i="1" s="1"/>
  <c r="O165" i="1"/>
  <c r="Y165" i="1" s="1"/>
  <c r="W164" i="1"/>
  <c r="AG164" i="1" s="1"/>
  <c r="V164" i="1"/>
  <c r="AF164" i="1" s="1"/>
  <c r="U164" i="1"/>
  <c r="AE164" i="1" s="1"/>
  <c r="T164" i="1"/>
  <c r="AD164" i="1" s="1"/>
  <c r="S164" i="1"/>
  <c r="AC164" i="1" s="1"/>
  <c r="R164" i="1"/>
  <c r="AB164" i="1" s="1"/>
  <c r="Q164" i="1"/>
  <c r="AA164" i="1" s="1"/>
  <c r="P164" i="1"/>
  <c r="Z164" i="1" s="1"/>
  <c r="O164" i="1"/>
  <c r="Y164" i="1" s="1"/>
  <c r="W163" i="1"/>
  <c r="AG163" i="1" s="1"/>
  <c r="V163" i="1"/>
  <c r="AF163" i="1" s="1"/>
  <c r="U163" i="1"/>
  <c r="AE163" i="1" s="1"/>
  <c r="T163" i="1"/>
  <c r="AD163" i="1" s="1"/>
  <c r="S163" i="1"/>
  <c r="AC163" i="1" s="1"/>
  <c r="R163" i="1"/>
  <c r="AB163" i="1" s="1"/>
  <c r="Q163" i="1"/>
  <c r="AA163" i="1" s="1"/>
  <c r="P163" i="1"/>
  <c r="Z163" i="1" s="1"/>
  <c r="O163" i="1"/>
  <c r="Y163" i="1" s="1"/>
  <c r="W162" i="1"/>
  <c r="AG162" i="1" s="1"/>
  <c r="V162" i="1"/>
  <c r="AF162" i="1" s="1"/>
  <c r="U162" i="1"/>
  <c r="AE162" i="1" s="1"/>
  <c r="T162" i="1"/>
  <c r="AD162" i="1" s="1"/>
  <c r="S162" i="1"/>
  <c r="AC162" i="1" s="1"/>
  <c r="R162" i="1"/>
  <c r="AB162" i="1" s="1"/>
  <c r="Q162" i="1"/>
  <c r="AA162" i="1" s="1"/>
  <c r="P162" i="1"/>
  <c r="Z162" i="1" s="1"/>
  <c r="O162" i="1"/>
  <c r="Y162" i="1" s="1"/>
  <c r="W161" i="1"/>
  <c r="AG161" i="1" s="1"/>
  <c r="V161" i="1"/>
  <c r="AF161" i="1" s="1"/>
  <c r="U161" i="1"/>
  <c r="AE161" i="1" s="1"/>
  <c r="T161" i="1"/>
  <c r="AD161" i="1" s="1"/>
  <c r="S161" i="1"/>
  <c r="AC161" i="1" s="1"/>
  <c r="R161" i="1"/>
  <c r="AB161" i="1" s="1"/>
  <c r="Q161" i="1"/>
  <c r="AA161" i="1" s="1"/>
  <c r="P161" i="1"/>
  <c r="Z161" i="1" s="1"/>
  <c r="O161" i="1"/>
  <c r="Y161" i="1" s="1"/>
  <c r="W160" i="1"/>
  <c r="AG160" i="1" s="1"/>
  <c r="V160" i="1"/>
  <c r="AF160" i="1" s="1"/>
  <c r="U160" i="1"/>
  <c r="AE160" i="1" s="1"/>
  <c r="T160" i="1"/>
  <c r="AD160" i="1" s="1"/>
  <c r="S160" i="1"/>
  <c r="AC160" i="1" s="1"/>
  <c r="R160" i="1"/>
  <c r="AB160" i="1" s="1"/>
  <c r="Q160" i="1"/>
  <c r="AA160" i="1" s="1"/>
  <c r="P160" i="1"/>
  <c r="Z160" i="1" s="1"/>
  <c r="O160" i="1"/>
  <c r="Y160" i="1" s="1"/>
  <c r="W159" i="1"/>
  <c r="AG159" i="1" s="1"/>
  <c r="V159" i="1"/>
  <c r="AF159" i="1" s="1"/>
  <c r="U159" i="1"/>
  <c r="AE159" i="1" s="1"/>
  <c r="T159" i="1"/>
  <c r="AD159" i="1" s="1"/>
  <c r="S159" i="1"/>
  <c r="AC159" i="1" s="1"/>
  <c r="R159" i="1"/>
  <c r="AB159" i="1" s="1"/>
  <c r="Q159" i="1"/>
  <c r="AA159" i="1" s="1"/>
  <c r="P159" i="1"/>
  <c r="Z159" i="1" s="1"/>
  <c r="O159" i="1"/>
  <c r="Y159" i="1" s="1"/>
  <c r="W158" i="1"/>
  <c r="AG158" i="1" s="1"/>
  <c r="V158" i="1"/>
  <c r="AF158" i="1" s="1"/>
  <c r="U158" i="1"/>
  <c r="AE158" i="1" s="1"/>
  <c r="T158" i="1"/>
  <c r="AD158" i="1" s="1"/>
  <c r="S158" i="1"/>
  <c r="AC158" i="1" s="1"/>
  <c r="R158" i="1"/>
  <c r="AB158" i="1" s="1"/>
  <c r="Q158" i="1"/>
  <c r="AA158" i="1" s="1"/>
  <c r="P158" i="1"/>
  <c r="Z158" i="1" s="1"/>
  <c r="O158" i="1"/>
  <c r="Y158" i="1" s="1"/>
  <c r="W157" i="1"/>
  <c r="AG157" i="1" s="1"/>
  <c r="V157" i="1"/>
  <c r="AF157" i="1" s="1"/>
  <c r="U157" i="1"/>
  <c r="AE157" i="1" s="1"/>
  <c r="T157" i="1"/>
  <c r="AD157" i="1" s="1"/>
  <c r="S157" i="1"/>
  <c r="AC157" i="1" s="1"/>
  <c r="R157" i="1"/>
  <c r="AB157" i="1" s="1"/>
  <c r="Q157" i="1"/>
  <c r="AA157" i="1" s="1"/>
  <c r="P157" i="1"/>
  <c r="Z157" i="1" s="1"/>
  <c r="O157" i="1"/>
  <c r="Y157" i="1" s="1"/>
  <c r="W156" i="1"/>
  <c r="AG156" i="1" s="1"/>
  <c r="V156" i="1"/>
  <c r="AF156" i="1" s="1"/>
  <c r="U156" i="1"/>
  <c r="AE156" i="1" s="1"/>
  <c r="T156" i="1"/>
  <c r="AD156" i="1" s="1"/>
  <c r="S156" i="1"/>
  <c r="AC156" i="1" s="1"/>
  <c r="R156" i="1"/>
  <c r="AB156" i="1" s="1"/>
  <c r="Q156" i="1"/>
  <c r="AA156" i="1" s="1"/>
  <c r="P156" i="1"/>
  <c r="Z156" i="1" s="1"/>
  <c r="O156" i="1"/>
  <c r="Y156" i="1" s="1"/>
  <c r="W155" i="1"/>
  <c r="AG155" i="1" s="1"/>
  <c r="V155" i="1"/>
  <c r="AF155" i="1" s="1"/>
  <c r="U155" i="1"/>
  <c r="AE155" i="1" s="1"/>
  <c r="T155" i="1"/>
  <c r="AD155" i="1" s="1"/>
  <c r="S155" i="1"/>
  <c r="AC155" i="1" s="1"/>
  <c r="R155" i="1"/>
  <c r="AB155" i="1" s="1"/>
  <c r="Q155" i="1"/>
  <c r="AA155" i="1" s="1"/>
  <c r="P155" i="1"/>
  <c r="Z155" i="1" s="1"/>
  <c r="O155" i="1"/>
  <c r="Y155" i="1" s="1"/>
  <c r="W154" i="1"/>
  <c r="AG154" i="1" s="1"/>
  <c r="V154" i="1"/>
  <c r="AF154" i="1" s="1"/>
  <c r="U154" i="1"/>
  <c r="AE154" i="1" s="1"/>
  <c r="T154" i="1"/>
  <c r="AD154" i="1" s="1"/>
  <c r="S154" i="1"/>
  <c r="AC154" i="1" s="1"/>
  <c r="R154" i="1"/>
  <c r="AB154" i="1" s="1"/>
  <c r="Q154" i="1"/>
  <c r="AA154" i="1" s="1"/>
  <c r="P154" i="1"/>
  <c r="Z154" i="1" s="1"/>
  <c r="O154" i="1"/>
  <c r="Y154" i="1" s="1"/>
  <c r="W153" i="1"/>
  <c r="AG153" i="1" s="1"/>
  <c r="V153" i="1"/>
  <c r="AF153" i="1" s="1"/>
  <c r="U153" i="1"/>
  <c r="AE153" i="1" s="1"/>
  <c r="T153" i="1"/>
  <c r="AD153" i="1" s="1"/>
  <c r="S153" i="1"/>
  <c r="AC153" i="1" s="1"/>
  <c r="R153" i="1"/>
  <c r="AB153" i="1" s="1"/>
  <c r="Q153" i="1"/>
  <c r="AA153" i="1" s="1"/>
  <c r="P153" i="1"/>
  <c r="Z153" i="1" s="1"/>
  <c r="O153" i="1"/>
  <c r="Y153" i="1" s="1"/>
  <c r="W151" i="1"/>
  <c r="AG151" i="1" s="1"/>
  <c r="V151" i="1"/>
  <c r="AF151" i="1" s="1"/>
  <c r="U151" i="1"/>
  <c r="AE151" i="1" s="1"/>
  <c r="T151" i="1"/>
  <c r="AD151" i="1" s="1"/>
  <c r="S151" i="1"/>
  <c r="AC151" i="1" s="1"/>
  <c r="R151" i="1"/>
  <c r="AB151" i="1" s="1"/>
  <c r="Q151" i="1"/>
  <c r="AA151" i="1" s="1"/>
  <c r="P151" i="1"/>
  <c r="Z151" i="1" s="1"/>
  <c r="O151" i="1"/>
  <c r="Y151" i="1" s="1"/>
  <c r="W150" i="1"/>
  <c r="AG150" i="1" s="1"/>
  <c r="V150" i="1"/>
  <c r="AF150" i="1" s="1"/>
  <c r="U150" i="1"/>
  <c r="AE150" i="1" s="1"/>
  <c r="T150" i="1"/>
  <c r="AD150" i="1" s="1"/>
  <c r="S150" i="1"/>
  <c r="AC150" i="1" s="1"/>
  <c r="R150" i="1"/>
  <c r="AB150" i="1" s="1"/>
  <c r="Q150" i="1"/>
  <c r="AA150" i="1" s="1"/>
  <c r="P150" i="1"/>
  <c r="Z150" i="1" s="1"/>
  <c r="O150" i="1"/>
  <c r="Y150" i="1" s="1"/>
  <c r="W149" i="1"/>
  <c r="AG149" i="1" s="1"/>
  <c r="V149" i="1"/>
  <c r="AF149" i="1" s="1"/>
  <c r="U149" i="1"/>
  <c r="AE149" i="1" s="1"/>
  <c r="T149" i="1"/>
  <c r="AD149" i="1" s="1"/>
  <c r="S149" i="1"/>
  <c r="AC149" i="1" s="1"/>
  <c r="R149" i="1"/>
  <c r="AB149" i="1" s="1"/>
  <c r="Q149" i="1"/>
  <c r="AA149" i="1" s="1"/>
  <c r="P149" i="1"/>
  <c r="Z149" i="1" s="1"/>
  <c r="O149" i="1"/>
  <c r="Y149" i="1" s="1"/>
  <c r="W148" i="1"/>
  <c r="AG148" i="1" s="1"/>
  <c r="V148" i="1"/>
  <c r="AF148" i="1" s="1"/>
  <c r="U148" i="1"/>
  <c r="AE148" i="1" s="1"/>
  <c r="T148" i="1"/>
  <c r="AD148" i="1" s="1"/>
  <c r="S148" i="1"/>
  <c r="AC148" i="1" s="1"/>
  <c r="R148" i="1"/>
  <c r="AB148" i="1" s="1"/>
  <c r="Q148" i="1"/>
  <c r="AA148" i="1" s="1"/>
  <c r="P148" i="1"/>
  <c r="Z148" i="1" s="1"/>
  <c r="O148" i="1"/>
  <c r="Y148" i="1" s="1"/>
  <c r="W147" i="1"/>
  <c r="AG147" i="1" s="1"/>
  <c r="V147" i="1"/>
  <c r="AF147" i="1" s="1"/>
  <c r="U147" i="1"/>
  <c r="AE147" i="1" s="1"/>
  <c r="T147" i="1"/>
  <c r="AD147" i="1" s="1"/>
  <c r="S147" i="1"/>
  <c r="AC147" i="1" s="1"/>
  <c r="R147" i="1"/>
  <c r="AB147" i="1" s="1"/>
  <c r="Q147" i="1"/>
  <c r="AA147" i="1" s="1"/>
  <c r="P147" i="1"/>
  <c r="Z147" i="1" s="1"/>
  <c r="O147" i="1"/>
  <c r="Y147" i="1" s="1"/>
  <c r="W146" i="1"/>
  <c r="AG146" i="1" s="1"/>
  <c r="V146" i="1"/>
  <c r="AF146" i="1" s="1"/>
  <c r="U146" i="1"/>
  <c r="AE146" i="1" s="1"/>
  <c r="T146" i="1"/>
  <c r="AD146" i="1" s="1"/>
  <c r="S146" i="1"/>
  <c r="AC146" i="1" s="1"/>
  <c r="R146" i="1"/>
  <c r="AB146" i="1" s="1"/>
  <c r="Q146" i="1"/>
  <c r="AA146" i="1" s="1"/>
  <c r="P146" i="1"/>
  <c r="Z146" i="1" s="1"/>
  <c r="O146" i="1"/>
  <c r="Y146" i="1" s="1"/>
  <c r="W145" i="1"/>
  <c r="AG145" i="1" s="1"/>
  <c r="V145" i="1"/>
  <c r="AF145" i="1" s="1"/>
  <c r="U145" i="1"/>
  <c r="AE145" i="1" s="1"/>
  <c r="T145" i="1"/>
  <c r="AD145" i="1" s="1"/>
  <c r="S145" i="1"/>
  <c r="AC145" i="1" s="1"/>
  <c r="R145" i="1"/>
  <c r="AB145" i="1" s="1"/>
  <c r="Q145" i="1"/>
  <c r="AA145" i="1" s="1"/>
  <c r="P145" i="1"/>
  <c r="Z145" i="1" s="1"/>
  <c r="O145" i="1"/>
  <c r="Y145" i="1" s="1"/>
  <c r="W144" i="1"/>
  <c r="AG144" i="1" s="1"/>
  <c r="V144" i="1"/>
  <c r="AF144" i="1" s="1"/>
  <c r="U144" i="1"/>
  <c r="AE144" i="1" s="1"/>
  <c r="T144" i="1"/>
  <c r="AD144" i="1" s="1"/>
  <c r="S144" i="1"/>
  <c r="AC144" i="1" s="1"/>
  <c r="R144" i="1"/>
  <c r="AB144" i="1" s="1"/>
  <c r="Q144" i="1"/>
  <c r="AA144" i="1" s="1"/>
  <c r="P144" i="1"/>
  <c r="Z144" i="1" s="1"/>
  <c r="O144" i="1"/>
  <c r="Y144" i="1" s="1"/>
  <c r="W143" i="1"/>
  <c r="AG143" i="1" s="1"/>
  <c r="V143" i="1"/>
  <c r="AF143" i="1" s="1"/>
  <c r="U143" i="1"/>
  <c r="AE143" i="1" s="1"/>
  <c r="T143" i="1"/>
  <c r="AD143" i="1" s="1"/>
  <c r="S143" i="1"/>
  <c r="AC143" i="1" s="1"/>
  <c r="R143" i="1"/>
  <c r="AB143" i="1" s="1"/>
  <c r="Q143" i="1"/>
  <c r="AA143" i="1" s="1"/>
  <c r="P143" i="1"/>
  <c r="Z143" i="1" s="1"/>
  <c r="O143" i="1"/>
  <c r="Y143" i="1" s="1"/>
  <c r="W142" i="1"/>
  <c r="AG142" i="1" s="1"/>
  <c r="V142" i="1"/>
  <c r="AF142" i="1" s="1"/>
  <c r="U142" i="1"/>
  <c r="AE142" i="1" s="1"/>
  <c r="T142" i="1"/>
  <c r="AD142" i="1" s="1"/>
  <c r="S142" i="1"/>
  <c r="AC142" i="1" s="1"/>
  <c r="R142" i="1"/>
  <c r="AB142" i="1" s="1"/>
  <c r="Q142" i="1"/>
  <c r="AA142" i="1" s="1"/>
  <c r="P142" i="1"/>
  <c r="Z142" i="1" s="1"/>
  <c r="O142" i="1"/>
  <c r="Y142" i="1" s="1"/>
  <c r="W141" i="1"/>
  <c r="AG141" i="1" s="1"/>
  <c r="V141" i="1"/>
  <c r="AF141" i="1" s="1"/>
  <c r="U141" i="1"/>
  <c r="AE141" i="1" s="1"/>
  <c r="T141" i="1"/>
  <c r="AD141" i="1" s="1"/>
  <c r="S141" i="1"/>
  <c r="AC141" i="1" s="1"/>
  <c r="R141" i="1"/>
  <c r="AB141" i="1" s="1"/>
  <c r="Q141" i="1"/>
  <c r="AA141" i="1" s="1"/>
  <c r="P141" i="1"/>
  <c r="Z141" i="1" s="1"/>
  <c r="O141" i="1"/>
  <c r="Y141" i="1" s="1"/>
  <c r="W140" i="1"/>
  <c r="AG140" i="1" s="1"/>
  <c r="V140" i="1"/>
  <c r="AF140" i="1" s="1"/>
  <c r="U140" i="1"/>
  <c r="AE140" i="1" s="1"/>
  <c r="T140" i="1"/>
  <c r="AD140" i="1" s="1"/>
  <c r="S140" i="1"/>
  <c r="AC140" i="1" s="1"/>
  <c r="R140" i="1"/>
  <c r="AB140" i="1" s="1"/>
  <c r="Q140" i="1"/>
  <c r="AA140" i="1" s="1"/>
  <c r="P140" i="1"/>
  <c r="Z140" i="1" s="1"/>
  <c r="O140" i="1"/>
  <c r="Y140" i="1" s="1"/>
  <c r="W139" i="1"/>
  <c r="AG139" i="1" s="1"/>
  <c r="V139" i="1"/>
  <c r="AF139" i="1" s="1"/>
  <c r="U139" i="1"/>
  <c r="AE139" i="1" s="1"/>
  <c r="T139" i="1"/>
  <c r="AD139" i="1" s="1"/>
  <c r="S139" i="1"/>
  <c r="AC139" i="1" s="1"/>
  <c r="R139" i="1"/>
  <c r="AB139" i="1" s="1"/>
  <c r="Q139" i="1"/>
  <c r="AA139" i="1" s="1"/>
  <c r="P139" i="1"/>
  <c r="Z139" i="1" s="1"/>
  <c r="O139" i="1"/>
  <c r="Y139" i="1" s="1"/>
  <c r="W138" i="1"/>
  <c r="AG138" i="1" s="1"/>
  <c r="V138" i="1"/>
  <c r="AF138" i="1" s="1"/>
  <c r="U138" i="1"/>
  <c r="AE138" i="1" s="1"/>
  <c r="T138" i="1"/>
  <c r="AD138" i="1" s="1"/>
  <c r="S138" i="1"/>
  <c r="AC138" i="1" s="1"/>
  <c r="R138" i="1"/>
  <c r="AB138" i="1" s="1"/>
  <c r="Q138" i="1"/>
  <c r="AA138" i="1" s="1"/>
  <c r="P138" i="1"/>
  <c r="Z138" i="1" s="1"/>
  <c r="O138" i="1"/>
  <c r="Y138" i="1" s="1"/>
  <c r="W137" i="1"/>
  <c r="AG137" i="1" s="1"/>
  <c r="V137" i="1"/>
  <c r="AF137" i="1" s="1"/>
  <c r="U137" i="1"/>
  <c r="AE137" i="1" s="1"/>
  <c r="T137" i="1"/>
  <c r="AD137" i="1" s="1"/>
  <c r="S137" i="1"/>
  <c r="AC137" i="1" s="1"/>
  <c r="R137" i="1"/>
  <c r="AB137" i="1" s="1"/>
  <c r="Q137" i="1"/>
  <c r="AA137" i="1" s="1"/>
  <c r="P137" i="1"/>
  <c r="Z137" i="1" s="1"/>
  <c r="O137" i="1"/>
  <c r="Y137" i="1" s="1"/>
  <c r="W136" i="1"/>
  <c r="AG136" i="1" s="1"/>
  <c r="V136" i="1"/>
  <c r="AF136" i="1" s="1"/>
  <c r="U136" i="1"/>
  <c r="AE136" i="1" s="1"/>
  <c r="T136" i="1"/>
  <c r="AD136" i="1" s="1"/>
  <c r="S136" i="1"/>
  <c r="AC136" i="1" s="1"/>
  <c r="R136" i="1"/>
  <c r="AB136" i="1" s="1"/>
  <c r="Q136" i="1"/>
  <c r="AA136" i="1" s="1"/>
  <c r="P136" i="1"/>
  <c r="Z136" i="1" s="1"/>
  <c r="O136" i="1"/>
  <c r="Y136" i="1" s="1"/>
  <c r="W135" i="1"/>
  <c r="AG135" i="1" s="1"/>
  <c r="V135" i="1"/>
  <c r="AF135" i="1" s="1"/>
  <c r="U135" i="1"/>
  <c r="AE135" i="1" s="1"/>
  <c r="T135" i="1"/>
  <c r="AD135" i="1" s="1"/>
  <c r="S135" i="1"/>
  <c r="AC135" i="1" s="1"/>
  <c r="R135" i="1"/>
  <c r="AB135" i="1" s="1"/>
  <c r="Q135" i="1"/>
  <c r="AA135" i="1" s="1"/>
  <c r="P135" i="1"/>
  <c r="Z135" i="1" s="1"/>
  <c r="O135" i="1"/>
  <c r="Y135" i="1" s="1"/>
  <c r="W134" i="1"/>
  <c r="AG134" i="1" s="1"/>
  <c r="V134" i="1"/>
  <c r="AF134" i="1" s="1"/>
  <c r="U134" i="1"/>
  <c r="AE134" i="1" s="1"/>
  <c r="T134" i="1"/>
  <c r="AD134" i="1" s="1"/>
  <c r="S134" i="1"/>
  <c r="AC134" i="1" s="1"/>
  <c r="R134" i="1"/>
  <c r="AB134" i="1" s="1"/>
  <c r="Q134" i="1"/>
  <c r="AA134" i="1" s="1"/>
  <c r="P134" i="1"/>
  <c r="Z134" i="1" s="1"/>
  <c r="O134" i="1"/>
  <c r="Y134" i="1" s="1"/>
  <c r="W133" i="1"/>
  <c r="AG133" i="1" s="1"/>
  <c r="V133" i="1"/>
  <c r="AF133" i="1" s="1"/>
  <c r="U133" i="1"/>
  <c r="AE133" i="1" s="1"/>
  <c r="T133" i="1"/>
  <c r="AD133" i="1" s="1"/>
  <c r="S133" i="1"/>
  <c r="AC133" i="1" s="1"/>
  <c r="R133" i="1"/>
  <c r="AB133" i="1" s="1"/>
  <c r="Q133" i="1"/>
  <c r="AA133" i="1" s="1"/>
  <c r="P133" i="1"/>
  <c r="Z133" i="1" s="1"/>
  <c r="O133" i="1"/>
  <c r="Y133" i="1" s="1"/>
  <c r="W132" i="1"/>
  <c r="AG132" i="1" s="1"/>
  <c r="V132" i="1"/>
  <c r="AF132" i="1" s="1"/>
  <c r="U132" i="1"/>
  <c r="AE132" i="1" s="1"/>
  <c r="T132" i="1"/>
  <c r="AD132" i="1" s="1"/>
  <c r="S132" i="1"/>
  <c r="AC132" i="1" s="1"/>
  <c r="R132" i="1"/>
  <c r="AB132" i="1" s="1"/>
  <c r="Q132" i="1"/>
  <c r="AA132" i="1" s="1"/>
  <c r="P132" i="1"/>
  <c r="Z132" i="1" s="1"/>
  <c r="O132" i="1"/>
  <c r="Y132" i="1" s="1"/>
  <c r="W131" i="1"/>
  <c r="AG131" i="1" s="1"/>
  <c r="V131" i="1"/>
  <c r="AF131" i="1" s="1"/>
  <c r="U131" i="1"/>
  <c r="AE131" i="1" s="1"/>
  <c r="T131" i="1"/>
  <c r="AD131" i="1" s="1"/>
  <c r="S131" i="1"/>
  <c r="AC131" i="1" s="1"/>
  <c r="R131" i="1"/>
  <c r="AB131" i="1" s="1"/>
  <c r="Q131" i="1"/>
  <c r="AA131" i="1" s="1"/>
  <c r="P131" i="1"/>
  <c r="Z131" i="1" s="1"/>
  <c r="O131" i="1"/>
  <c r="Y131" i="1" s="1"/>
  <c r="W130" i="1"/>
  <c r="AG130" i="1" s="1"/>
  <c r="V130" i="1"/>
  <c r="AF130" i="1" s="1"/>
  <c r="U130" i="1"/>
  <c r="AE130" i="1" s="1"/>
  <c r="T130" i="1"/>
  <c r="AD130" i="1" s="1"/>
  <c r="S130" i="1"/>
  <c r="AC130" i="1" s="1"/>
  <c r="R130" i="1"/>
  <c r="AB130" i="1" s="1"/>
  <c r="Q130" i="1"/>
  <c r="AA130" i="1" s="1"/>
  <c r="P130" i="1"/>
  <c r="Z130" i="1" s="1"/>
  <c r="O130" i="1"/>
  <c r="Y130" i="1" s="1"/>
  <c r="W129" i="1"/>
  <c r="AG129" i="1" s="1"/>
  <c r="V129" i="1"/>
  <c r="AF129" i="1" s="1"/>
  <c r="U129" i="1"/>
  <c r="AE129" i="1" s="1"/>
  <c r="T129" i="1"/>
  <c r="AD129" i="1" s="1"/>
  <c r="S129" i="1"/>
  <c r="AC129" i="1" s="1"/>
  <c r="R129" i="1"/>
  <c r="AB129" i="1" s="1"/>
  <c r="Q129" i="1"/>
  <c r="AA129" i="1" s="1"/>
  <c r="P129" i="1"/>
  <c r="Z129" i="1" s="1"/>
  <c r="O129" i="1"/>
  <c r="Y129" i="1" s="1"/>
  <c r="W128" i="1"/>
  <c r="AG128" i="1" s="1"/>
  <c r="V128" i="1"/>
  <c r="AF128" i="1" s="1"/>
  <c r="U128" i="1"/>
  <c r="AE128" i="1" s="1"/>
  <c r="T128" i="1"/>
  <c r="AD128" i="1" s="1"/>
  <c r="S128" i="1"/>
  <c r="AC128" i="1" s="1"/>
  <c r="R128" i="1"/>
  <c r="AB128" i="1" s="1"/>
  <c r="Q128" i="1"/>
  <c r="AA128" i="1" s="1"/>
  <c r="P128" i="1"/>
  <c r="Z128" i="1" s="1"/>
  <c r="O128" i="1"/>
  <c r="Y128" i="1" s="1"/>
  <c r="W127" i="1"/>
  <c r="AG127" i="1" s="1"/>
  <c r="V127" i="1"/>
  <c r="AF127" i="1" s="1"/>
  <c r="U127" i="1"/>
  <c r="AE127" i="1" s="1"/>
  <c r="T127" i="1"/>
  <c r="AD127" i="1" s="1"/>
  <c r="S127" i="1"/>
  <c r="AC127" i="1" s="1"/>
  <c r="R127" i="1"/>
  <c r="AB127" i="1" s="1"/>
  <c r="Q127" i="1"/>
  <c r="AA127" i="1" s="1"/>
  <c r="P127" i="1"/>
  <c r="Z127" i="1" s="1"/>
  <c r="O127" i="1"/>
  <c r="Y127" i="1" s="1"/>
  <c r="W126" i="1"/>
  <c r="AG126" i="1" s="1"/>
  <c r="V126" i="1"/>
  <c r="AF126" i="1" s="1"/>
  <c r="U126" i="1"/>
  <c r="AE126" i="1" s="1"/>
  <c r="T126" i="1"/>
  <c r="AD126" i="1" s="1"/>
  <c r="S126" i="1"/>
  <c r="AC126" i="1" s="1"/>
  <c r="R126" i="1"/>
  <c r="AB126" i="1" s="1"/>
  <c r="Q126" i="1"/>
  <c r="AA126" i="1" s="1"/>
  <c r="P126" i="1"/>
  <c r="Z126" i="1" s="1"/>
  <c r="O126" i="1"/>
  <c r="Y126" i="1" s="1"/>
  <c r="W125" i="1"/>
  <c r="AG125" i="1" s="1"/>
  <c r="V125" i="1"/>
  <c r="AF125" i="1" s="1"/>
  <c r="U125" i="1"/>
  <c r="AE125" i="1" s="1"/>
  <c r="T125" i="1"/>
  <c r="AD125" i="1" s="1"/>
  <c r="S125" i="1"/>
  <c r="AC125" i="1" s="1"/>
  <c r="R125" i="1"/>
  <c r="AB125" i="1" s="1"/>
  <c r="Q125" i="1"/>
  <c r="AA125" i="1" s="1"/>
  <c r="P125" i="1"/>
  <c r="Z125" i="1" s="1"/>
  <c r="O125" i="1"/>
  <c r="Y125" i="1" s="1"/>
  <c r="W124" i="1"/>
  <c r="AG124" i="1" s="1"/>
  <c r="V124" i="1"/>
  <c r="AF124" i="1" s="1"/>
  <c r="U124" i="1"/>
  <c r="AE124" i="1" s="1"/>
  <c r="T124" i="1"/>
  <c r="AD124" i="1" s="1"/>
  <c r="S124" i="1"/>
  <c r="AC124" i="1" s="1"/>
  <c r="R124" i="1"/>
  <c r="AB124" i="1" s="1"/>
  <c r="Q124" i="1"/>
  <c r="AA124" i="1" s="1"/>
  <c r="P124" i="1"/>
  <c r="Z124" i="1" s="1"/>
  <c r="O124" i="1"/>
  <c r="Y124" i="1" s="1"/>
  <c r="W123" i="1"/>
  <c r="AG123" i="1" s="1"/>
  <c r="V123" i="1"/>
  <c r="AF123" i="1" s="1"/>
  <c r="U123" i="1"/>
  <c r="AE123" i="1" s="1"/>
  <c r="T123" i="1"/>
  <c r="AD123" i="1" s="1"/>
  <c r="S123" i="1"/>
  <c r="AC123" i="1" s="1"/>
  <c r="R123" i="1"/>
  <c r="AB123" i="1" s="1"/>
  <c r="Q123" i="1"/>
  <c r="AA123" i="1" s="1"/>
  <c r="P123" i="1"/>
  <c r="Z123" i="1" s="1"/>
  <c r="O123" i="1"/>
  <c r="Y123" i="1" s="1"/>
  <c r="W122" i="1"/>
  <c r="AG122" i="1" s="1"/>
  <c r="V122" i="1"/>
  <c r="AF122" i="1" s="1"/>
  <c r="U122" i="1"/>
  <c r="AE122" i="1" s="1"/>
  <c r="T122" i="1"/>
  <c r="AD122" i="1" s="1"/>
  <c r="S122" i="1"/>
  <c r="AC122" i="1" s="1"/>
  <c r="R122" i="1"/>
  <c r="AB122" i="1" s="1"/>
  <c r="Q122" i="1"/>
  <c r="AA122" i="1" s="1"/>
  <c r="P122" i="1"/>
  <c r="Z122" i="1" s="1"/>
  <c r="O122" i="1"/>
  <c r="Y122" i="1" s="1"/>
  <c r="W121" i="1"/>
  <c r="AG121" i="1" s="1"/>
  <c r="V121" i="1"/>
  <c r="AF121" i="1" s="1"/>
  <c r="U121" i="1"/>
  <c r="AE121" i="1" s="1"/>
  <c r="T121" i="1"/>
  <c r="AD121" i="1" s="1"/>
  <c r="S121" i="1"/>
  <c r="AC121" i="1" s="1"/>
  <c r="R121" i="1"/>
  <c r="AB121" i="1" s="1"/>
  <c r="Q121" i="1"/>
  <c r="AA121" i="1" s="1"/>
  <c r="P121" i="1"/>
  <c r="Z121" i="1" s="1"/>
  <c r="O121" i="1"/>
  <c r="Y121" i="1" s="1"/>
  <c r="W120" i="1"/>
  <c r="AG120" i="1" s="1"/>
  <c r="V120" i="1"/>
  <c r="AF120" i="1" s="1"/>
  <c r="U120" i="1"/>
  <c r="AE120" i="1" s="1"/>
  <c r="T120" i="1"/>
  <c r="AD120" i="1" s="1"/>
  <c r="S120" i="1"/>
  <c r="AC120" i="1" s="1"/>
  <c r="R120" i="1"/>
  <c r="AB120" i="1" s="1"/>
  <c r="Q120" i="1"/>
  <c r="AA120" i="1" s="1"/>
  <c r="P120" i="1"/>
  <c r="Z120" i="1" s="1"/>
  <c r="O120" i="1"/>
  <c r="Y120" i="1" s="1"/>
  <c r="W119" i="1"/>
  <c r="AG119" i="1" s="1"/>
  <c r="V119" i="1"/>
  <c r="AF119" i="1" s="1"/>
  <c r="U119" i="1"/>
  <c r="AE119" i="1" s="1"/>
  <c r="T119" i="1"/>
  <c r="AD119" i="1" s="1"/>
  <c r="S119" i="1"/>
  <c r="AC119" i="1" s="1"/>
  <c r="R119" i="1"/>
  <c r="AB119" i="1" s="1"/>
  <c r="Q119" i="1"/>
  <c r="AA119" i="1" s="1"/>
  <c r="P119" i="1"/>
  <c r="Z119" i="1" s="1"/>
  <c r="O119" i="1"/>
  <c r="Y119" i="1" s="1"/>
  <c r="W118" i="1"/>
  <c r="AG118" i="1" s="1"/>
  <c r="V118" i="1"/>
  <c r="AF118" i="1" s="1"/>
  <c r="U118" i="1"/>
  <c r="AE118" i="1" s="1"/>
  <c r="T118" i="1"/>
  <c r="AD118" i="1" s="1"/>
  <c r="S118" i="1"/>
  <c r="AC118" i="1" s="1"/>
  <c r="R118" i="1"/>
  <c r="AB118" i="1" s="1"/>
  <c r="Q118" i="1"/>
  <c r="AA118" i="1" s="1"/>
  <c r="P118" i="1"/>
  <c r="Z118" i="1" s="1"/>
  <c r="O118" i="1"/>
  <c r="Y118" i="1" s="1"/>
  <c r="W117" i="1"/>
  <c r="AG117" i="1" s="1"/>
  <c r="V117" i="1"/>
  <c r="AF117" i="1" s="1"/>
  <c r="U117" i="1"/>
  <c r="AE117" i="1" s="1"/>
  <c r="T117" i="1"/>
  <c r="AD117" i="1" s="1"/>
  <c r="S117" i="1"/>
  <c r="AC117" i="1" s="1"/>
  <c r="R117" i="1"/>
  <c r="AB117" i="1" s="1"/>
  <c r="Q117" i="1"/>
  <c r="AA117" i="1" s="1"/>
  <c r="P117" i="1"/>
  <c r="Z117" i="1" s="1"/>
  <c r="O117" i="1"/>
  <c r="Y117" i="1" s="1"/>
  <c r="W116" i="1"/>
  <c r="AG116" i="1" s="1"/>
  <c r="V116" i="1"/>
  <c r="AF116" i="1" s="1"/>
  <c r="U116" i="1"/>
  <c r="AE116" i="1" s="1"/>
  <c r="T116" i="1"/>
  <c r="AD116" i="1" s="1"/>
  <c r="S116" i="1"/>
  <c r="AC116" i="1" s="1"/>
  <c r="R116" i="1"/>
  <c r="AB116" i="1" s="1"/>
  <c r="Q116" i="1"/>
  <c r="AA116" i="1" s="1"/>
  <c r="P116" i="1"/>
  <c r="Z116" i="1" s="1"/>
  <c r="O116" i="1"/>
  <c r="Y116" i="1" s="1"/>
  <c r="W115" i="1"/>
  <c r="AG115" i="1" s="1"/>
  <c r="V115" i="1"/>
  <c r="AF115" i="1" s="1"/>
  <c r="U115" i="1"/>
  <c r="AE115" i="1" s="1"/>
  <c r="T115" i="1"/>
  <c r="AD115" i="1" s="1"/>
  <c r="S115" i="1"/>
  <c r="AC115" i="1" s="1"/>
  <c r="R115" i="1"/>
  <c r="AB115" i="1" s="1"/>
  <c r="Q115" i="1"/>
  <c r="AA115" i="1" s="1"/>
  <c r="P115" i="1"/>
  <c r="Z115" i="1" s="1"/>
  <c r="O115" i="1"/>
  <c r="Y115" i="1" s="1"/>
  <c r="W114" i="1"/>
  <c r="AG114" i="1" s="1"/>
  <c r="V114" i="1"/>
  <c r="AF114" i="1" s="1"/>
  <c r="U114" i="1"/>
  <c r="AE114" i="1" s="1"/>
  <c r="T114" i="1"/>
  <c r="AD114" i="1" s="1"/>
  <c r="S114" i="1"/>
  <c r="AC114" i="1" s="1"/>
  <c r="R114" i="1"/>
  <c r="AB114" i="1" s="1"/>
  <c r="Q114" i="1"/>
  <c r="AA114" i="1" s="1"/>
  <c r="P114" i="1"/>
  <c r="Z114" i="1" s="1"/>
  <c r="O114" i="1"/>
  <c r="Y114" i="1" s="1"/>
  <c r="W113" i="1"/>
  <c r="AG113" i="1" s="1"/>
  <c r="V113" i="1"/>
  <c r="AF113" i="1" s="1"/>
  <c r="U113" i="1"/>
  <c r="AE113" i="1" s="1"/>
  <c r="T113" i="1"/>
  <c r="AD113" i="1" s="1"/>
  <c r="S113" i="1"/>
  <c r="AC113" i="1" s="1"/>
  <c r="R113" i="1"/>
  <c r="AB113" i="1" s="1"/>
  <c r="Q113" i="1"/>
  <c r="AA113" i="1" s="1"/>
  <c r="P113" i="1"/>
  <c r="Z113" i="1" s="1"/>
  <c r="O113" i="1"/>
  <c r="Y113" i="1" s="1"/>
  <c r="W112" i="1"/>
  <c r="AG112" i="1" s="1"/>
  <c r="V112" i="1"/>
  <c r="AF112" i="1" s="1"/>
  <c r="U112" i="1"/>
  <c r="AE112" i="1" s="1"/>
  <c r="T112" i="1"/>
  <c r="AD112" i="1" s="1"/>
  <c r="S112" i="1"/>
  <c r="AC112" i="1" s="1"/>
  <c r="R112" i="1"/>
  <c r="AB112" i="1" s="1"/>
  <c r="Q112" i="1"/>
  <c r="AA112" i="1" s="1"/>
  <c r="P112" i="1"/>
  <c r="Z112" i="1" s="1"/>
  <c r="O112" i="1"/>
  <c r="Y112" i="1" s="1"/>
  <c r="W111" i="1"/>
  <c r="AG111" i="1" s="1"/>
  <c r="V111" i="1"/>
  <c r="AF111" i="1" s="1"/>
  <c r="U111" i="1"/>
  <c r="AE111" i="1" s="1"/>
  <c r="T111" i="1"/>
  <c r="AD111" i="1" s="1"/>
  <c r="S111" i="1"/>
  <c r="AC111" i="1" s="1"/>
  <c r="R111" i="1"/>
  <c r="AB111" i="1" s="1"/>
  <c r="Q111" i="1"/>
  <c r="AA111" i="1" s="1"/>
  <c r="P111" i="1"/>
  <c r="Z111" i="1" s="1"/>
  <c r="O111" i="1"/>
  <c r="Y111" i="1" s="1"/>
  <c r="W110" i="1"/>
  <c r="AG110" i="1" s="1"/>
  <c r="V110" i="1"/>
  <c r="AF110" i="1" s="1"/>
  <c r="U110" i="1"/>
  <c r="AE110" i="1" s="1"/>
  <c r="T110" i="1"/>
  <c r="AD110" i="1" s="1"/>
  <c r="S110" i="1"/>
  <c r="AC110" i="1" s="1"/>
  <c r="R110" i="1"/>
  <c r="AB110" i="1" s="1"/>
  <c r="Q110" i="1"/>
  <c r="AA110" i="1" s="1"/>
  <c r="P110" i="1"/>
  <c r="Z110" i="1" s="1"/>
  <c r="O110" i="1"/>
  <c r="Y110" i="1" s="1"/>
  <c r="W109" i="1"/>
  <c r="AG109" i="1" s="1"/>
  <c r="V109" i="1"/>
  <c r="AF109" i="1" s="1"/>
  <c r="U109" i="1"/>
  <c r="AE109" i="1" s="1"/>
  <c r="T109" i="1"/>
  <c r="AD109" i="1" s="1"/>
  <c r="S109" i="1"/>
  <c r="AC109" i="1" s="1"/>
  <c r="R109" i="1"/>
  <c r="AB109" i="1" s="1"/>
  <c r="Q109" i="1"/>
  <c r="AA109" i="1" s="1"/>
  <c r="P109" i="1"/>
  <c r="Z109" i="1" s="1"/>
  <c r="O109" i="1"/>
  <c r="Y109" i="1" s="1"/>
  <c r="W108" i="1"/>
  <c r="AG108" i="1" s="1"/>
  <c r="V108" i="1"/>
  <c r="AF108" i="1" s="1"/>
  <c r="U108" i="1"/>
  <c r="AE108" i="1" s="1"/>
  <c r="T108" i="1"/>
  <c r="AD108" i="1" s="1"/>
  <c r="S108" i="1"/>
  <c r="AC108" i="1" s="1"/>
  <c r="R108" i="1"/>
  <c r="AB108" i="1" s="1"/>
  <c r="Q108" i="1"/>
  <c r="AA108" i="1" s="1"/>
  <c r="P108" i="1"/>
  <c r="Z108" i="1" s="1"/>
  <c r="O108" i="1"/>
  <c r="Y108" i="1" s="1"/>
  <c r="W107" i="1"/>
  <c r="AG107" i="1" s="1"/>
  <c r="V107" i="1"/>
  <c r="AF107" i="1" s="1"/>
  <c r="U107" i="1"/>
  <c r="AE107" i="1" s="1"/>
  <c r="T107" i="1"/>
  <c r="AD107" i="1" s="1"/>
  <c r="S107" i="1"/>
  <c r="AC107" i="1" s="1"/>
  <c r="R107" i="1"/>
  <c r="AB107" i="1" s="1"/>
  <c r="Q107" i="1"/>
  <c r="AA107" i="1" s="1"/>
  <c r="P107" i="1"/>
  <c r="Z107" i="1" s="1"/>
  <c r="O107" i="1"/>
  <c r="Y107" i="1" s="1"/>
  <c r="W106" i="1"/>
  <c r="AG106" i="1" s="1"/>
  <c r="V106" i="1"/>
  <c r="AF106" i="1" s="1"/>
  <c r="U106" i="1"/>
  <c r="AE106" i="1" s="1"/>
  <c r="T106" i="1"/>
  <c r="AD106" i="1" s="1"/>
  <c r="S106" i="1"/>
  <c r="AC106" i="1" s="1"/>
  <c r="R106" i="1"/>
  <c r="AB106" i="1" s="1"/>
  <c r="Q106" i="1"/>
  <c r="AA106" i="1" s="1"/>
  <c r="P106" i="1"/>
  <c r="Z106" i="1" s="1"/>
  <c r="O106" i="1"/>
  <c r="Y106" i="1" s="1"/>
  <c r="W105" i="1"/>
  <c r="AG105" i="1" s="1"/>
  <c r="V105" i="1"/>
  <c r="AF105" i="1" s="1"/>
  <c r="U105" i="1"/>
  <c r="AE105" i="1" s="1"/>
  <c r="T105" i="1"/>
  <c r="AD105" i="1" s="1"/>
  <c r="S105" i="1"/>
  <c r="AC105" i="1" s="1"/>
  <c r="R105" i="1"/>
  <c r="AB105" i="1" s="1"/>
  <c r="Q105" i="1"/>
  <c r="AA105" i="1" s="1"/>
  <c r="P105" i="1"/>
  <c r="Z105" i="1" s="1"/>
  <c r="O105" i="1"/>
  <c r="Y105" i="1" s="1"/>
  <c r="W104" i="1"/>
  <c r="AG104" i="1" s="1"/>
  <c r="V104" i="1"/>
  <c r="AF104" i="1" s="1"/>
  <c r="U104" i="1"/>
  <c r="AE104" i="1" s="1"/>
  <c r="T104" i="1"/>
  <c r="AD104" i="1" s="1"/>
  <c r="S104" i="1"/>
  <c r="AC104" i="1" s="1"/>
  <c r="R104" i="1"/>
  <c r="AB104" i="1" s="1"/>
  <c r="Q104" i="1"/>
  <c r="AA104" i="1" s="1"/>
  <c r="P104" i="1"/>
  <c r="Z104" i="1" s="1"/>
  <c r="O104" i="1"/>
  <c r="Y104" i="1" s="1"/>
  <c r="W103" i="1"/>
  <c r="AG103" i="1" s="1"/>
  <c r="V103" i="1"/>
  <c r="AF103" i="1" s="1"/>
  <c r="U103" i="1"/>
  <c r="AE103" i="1" s="1"/>
  <c r="T103" i="1"/>
  <c r="AD103" i="1" s="1"/>
  <c r="S103" i="1"/>
  <c r="AC103" i="1" s="1"/>
  <c r="R103" i="1"/>
  <c r="AB103" i="1" s="1"/>
  <c r="Q103" i="1"/>
  <c r="AA103" i="1" s="1"/>
  <c r="P103" i="1"/>
  <c r="Z103" i="1" s="1"/>
  <c r="O103" i="1"/>
  <c r="Y103" i="1" s="1"/>
  <c r="W102" i="1"/>
  <c r="AG102" i="1" s="1"/>
  <c r="V102" i="1"/>
  <c r="AF102" i="1" s="1"/>
  <c r="U102" i="1"/>
  <c r="AE102" i="1" s="1"/>
  <c r="T102" i="1"/>
  <c r="AD102" i="1" s="1"/>
  <c r="S102" i="1"/>
  <c r="AC102" i="1" s="1"/>
  <c r="R102" i="1"/>
  <c r="AB102" i="1" s="1"/>
  <c r="Q102" i="1"/>
  <c r="AA102" i="1" s="1"/>
  <c r="P102" i="1"/>
  <c r="Z102" i="1" s="1"/>
  <c r="O102" i="1"/>
  <c r="Y102" i="1" s="1"/>
  <c r="W101" i="1"/>
  <c r="AG101" i="1" s="1"/>
  <c r="V101" i="1"/>
  <c r="AF101" i="1" s="1"/>
  <c r="U101" i="1"/>
  <c r="AE101" i="1" s="1"/>
  <c r="T101" i="1"/>
  <c r="AD101" i="1" s="1"/>
  <c r="S101" i="1"/>
  <c r="AC101" i="1" s="1"/>
  <c r="R101" i="1"/>
  <c r="AB101" i="1" s="1"/>
  <c r="Q101" i="1"/>
  <c r="AA101" i="1" s="1"/>
  <c r="P101" i="1"/>
  <c r="Z101" i="1" s="1"/>
  <c r="O101" i="1"/>
  <c r="Y101" i="1" s="1"/>
  <c r="W100" i="1"/>
  <c r="AG100" i="1" s="1"/>
  <c r="V100" i="1"/>
  <c r="AF100" i="1" s="1"/>
  <c r="U100" i="1"/>
  <c r="AE100" i="1" s="1"/>
  <c r="T100" i="1"/>
  <c r="AD100" i="1" s="1"/>
  <c r="S100" i="1"/>
  <c r="AC100" i="1" s="1"/>
  <c r="R100" i="1"/>
  <c r="AB100" i="1" s="1"/>
  <c r="Q100" i="1"/>
  <c r="AA100" i="1" s="1"/>
  <c r="P100" i="1"/>
  <c r="Z100" i="1" s="1"/>
  <c r="O100" i="1"/>
  <c r="Y100" i="1" s="1"/>
  <c r="W99" i="1"/>
  <c r="AG99" i="1" s="1"/>
  <c r="V99" i="1"/>
  <c r="AF99" i="1" s="1"/>
  <c r="U99" i="1"/>
  <c r="AE99" i="1" s="1"/>
  <c r="T99" i="1"/>
  <c r="AD99" i="1" s="1"/>
  <c r="S99" i="1"/>
  <c r="AC99" i="1" s="1"/>
  <c r="R99" i="1"/>
  <c r="AB99" i="1" s="1"/>
  <c r="Q99" i="1"/>
  <c r="AA99" i="1" s="1"/>
  <c r="P99" i="1"/>
  <c r="Z99" i="1" s="1"/>
  <c r="O99" i="1"/>
  <c r="Y99" i="1" s="1"/>
  <c r="W98" i="1"/>
  <c r="AG98" i="1" s="1"/>
  <c r="V98" i="1"/>
  <c r="AF98" i="1" s="1"/>
  <c r="U98" i="1"/>
  <c r="AE98" i="1" s="1"/>
  <c r="T98" i="1"/>
  <c r="AD98" i="1" s="1"/>
  <c r="S98" i="1"/>
  <c r="AC98" i="1" s="1"/>
  <c r="R98" i="1"/>
  <c r="AB98" i="1" s="1"/>
  <c r="Q98" i="1"/>
  <c r="AA98" i="1" s="1"/>
  <c r="P98" i="1"/>
  <c r="Z98" i="1" s="1"/>
  <c r="O98" i="1"/>
  <c r="Y98" i="1" s="1"/>
  <c r="W97" i="1"/>
  <c r="AG97" i="1" s="1"/>
  <c r="V97" i="1"/>
  <c r="AF97" i="1" s="1"/>
  <c r="U97" i="1"/>
  <c r="AE97" i="1" s="1"/>
  <c r="T97" i="1"/>
  <c r="AD97" i="1" s="1"/>
  <c r="S97" i="1"/>
  <c r="AC97" i="1" s="1"/>
  <c r="R97" i="1"/>
  <c r="AB97" i="1" s="1"/>
  <c r="Q97" i="1"/>
  <c r="AA97" i="1" s="1"/>
  <c r="P97" i="1"/>
  <c r="Z97" i="1" s="1"/>
  <c r="O97" i="1"/>
  <c r="Y97" i="1" s="1"/>
  <c r="W96" i="1"/>
  <c r="AG96" i="1" s="1"/>
  <c r="V96" i="1"/>
  <c r="AF96" i="1" s="1"/>
  <c r="U96" i="1"/>
  <c r="AE96" i="1" s="1"/>
  <c r="T96" i="1"/>
  <c r="AD96" i="1" s="1"/>
  <c r="S96" i="1"/>
  <c r="AC96" i="1" s="1"/>
  <c r="R96" i="1"/>
  <c r="AB96" i="1" s="1"/>
  <c r="Q96" i="1"/>
  <c r="AA96" i="1" s="1"/>
  <c r="P96" i="1"/>
  <c r="Z96" i="1" s="1"/>
  <c r="O96" i="1"/>
  <c r="Y96" i="1" s="1"/>
  <c r="W95" i="1"/>
  <c r="AG95" i="1" s="1"/>
  <c r="V95" i="1"/>
  <c r="AF95" i="1" s="1"/>
  <c r="U95" i="1"/>
  <c r="AE95" i="1" s="1"/>
  <c r="T95" i="1"/>
  <c r="AD95" i="1" s="1"/>
  <c r="S95" i="1"/>
  <c r="AC95" i="1" s="1"/>
  <c r="R95" i="1"/>
  <c r="AB95" i="1" s="1"/>
  <c r="Q95" i="1"/>
  <c r="AA95" i="1" s="1"/>
  <c r="P95" i="1"/>
  <c r="Z95" i="1" s="1"/>
  <c r="O95" i="1"/>
  <c r="Y95" i="1" s="1"/>
  <c r="W94" i="1"/>
  <c r="AG94" i="1" s="1"/>
  <c r="V94" i="1"/>
  <c r="AF94" i="1" s="1"/>
  <c r="U94" i="1"/>
  <c r="AE94" i="1" s="1"/>
  <c r="T94" i="1"/>
  <c r="AD94" i="1" s="1"/>
  <c r="S94" i="1"/>
  <c r="AC94" i="1" s="1"/>
  <c r="R94" i="1"/>
  <c r="AB94" i="1" s="1"/>
  <c r="Q94" i="1"/>
  <c r="AA94" i="1" s="1"/>
  <c r="P94" i="1"/>
  <c r="Z94" i="1" s="1"/>
  <c r="O94" i="1"/>
  <c r="Y94" i="1" s="1"/>
  <c r="W93" i="1"/>
  <c r="AG93" i="1" s="1"/>
  <c r="V93" i="1"/>
  <c r="AF93" i="1" s="1"/>
  <c r="U93" i="1"/>
  <c r="AE93" i="1" s="1"/>
  <c r="T93" i="1"/>
  <c r="AD93" i="1" s="1"/>
  <c r="S93" i="1"/>
  <c r="AC93" i="1" s="1"/>
  <c r="R93" i="1"/>
  <c r="AB93" i="1" s="1"/>
  <c r="Q93" i="1"/>
  <c r="AA93" i="1" s="1"/>
  <c r="P93" i="1"/>
  <c r="Z93" i="1" s="1"/>
  <c r="O93" i="1"/>
  <c r="Y93" i="1" s="1"/>
  <c r="W92" i="1"/>
  <c r="AG92" i="1" s="1"/>
  <c r="V92" i="1"/>
  <c r="AF92" i="1" s="1"/>
  <c r="U92" i="1"/>
  <c r="AE92" i="1" s="1"/>
  <c r="T92" i="1"/>
  <c r="AD92" i="1" s="1"/>
  <c r="S92" i="1"/>
  <c r="AC92" i="1" s="1"/>
  <c r="R92" i="1"/>
  <c r="AB92" i="1" s="1"/>
  <c r="Q92" i="1"/>
  <c r="AA92" i="1" s="1"/>
  <c r="P92" i="1"/>
  <c r="Z92" i="1" s="1"/>
  <c r="O92" i="1"/>
  <c r="Y92" i="1" s="1"/>
  <c r="W91" i="1"/>
  <c r="AG91" i="1" s="1"/>
  <c r="V91" i="1"/>
  <c r="AF91" i="1" s="1"/>
  <c r="U91" i="1"/>
  <c r="AE91" i="1" s="1"/>
  <c r="T91" i="1"/>
  <c r="AD91" i="1" s="1"/>
  <c r="S91" i="1"/>
  <c r="AC91" i="1" s="1"/>
  <c r="R91" i="1"/>
  <c r="AB91" i="1" s="1"/>
  <c r="Q91" i="1"/>
  <c r="AA91" i="1" s="1"/>
  <c r="P91" i="1"/>
  <c r="Z91" i="1" s="1"/>
  <c r="O91" i="1"/>
  <c r="Y91" i="1" s="1"/>
  <c r="W90" i="1"/>
  <c r="AG90" i="1" s="1"/>
  <c r="V90" i="1"/>
  <c r="AF90" i="1" s="1"/>
  <c r="U90" i="1"/>
  <c r="AE90" i="1" s="1"/>
  <c r="T90" i="1"/>
  <c r="AD90" i="1" s="1"/>
  <c r="S90" i="1"/>
  <c r="AC90" i="1" s="1"/>
  <c r="R90" i="1"/>
  <c r="AB90" i="1" s="1"/>
  <c r="Q90" i="1"/>
  <c r="AA90" i="1" s="1"/>
  <c r="P90" i="1"/>
  <c r="Z90" i="1" s="1"/>
  <c r="O90" i="1"/>
  <c r="Y90" i="1" s="1"/>
  <c r="W89" i="1"/>
  <c r="AG89" i="1" s="1"/>
  <c r="V89" i="1"/>
  <c r="AF89" i="1" s="1"/>
  <c r="U89" i="1"/>
  <c r="AE89" i="1" s="1"/>
  <c r="T89" i="1"/>
  <c r="AD89" i="1" s="1"/>
  <c r="S89" i="1"/>
  <c r="AC89" i="1" s="1"/>
  <c r="R89" i="1"/>
  <c r="AB89" i="1" s="1"/>
  <c r="Q89" i="1"/>
  <c r="AA89" i="1" s="1"/>
  <c r="P89" i="1"/>
  <c r="Z89" i="1" s="1"/>
  <c r="O89" i="1"/>
  <c r="Y89" i="1" s="1"/>
  <c r="W88" i="1"/>
  <c r="AG88" i="1" s="1"/>
  <c r="V88" i="1"/>
  <c r="AF88" i="1" s="1"/>
  <c r="U88" i="1"/>
  <c r="AE88" i="1" s="1"/>
  <c r="T88" i="1"/>
  <c r="AD88" i="1" s="1"/>
  <c r="S88" i="1"/>
  <c r="AC88" i="1" s="1"/>
  <c r="R88" i="1"/>
  <c r="AB88" i="1" s="1"/>
  <c r="Q88" i="1"/>
  <c r="AA88" i="1" s="1"/>
  <c r="P88" i="1"/>
  <c r="Z88" i="1" s="1"/>
  <c r="O88" i="1"/>
  <c r="Y88" i="1" s="1"/>
  <c r="W87" i="1"/>
  <c r="AG87" i="1" s="1"/>
  <c r="V87" i="1"/>
  <c r="AF87" i="1" s="1"/>
  <c r="U87" i="1"/>
  <c r="AE87" i="1" s="1"/>
  <c r="T87" i="1"/>
  <c r="AD87" i="1" s="1"/>
  <c r="S87" i="1"/>
  <c r="AC87" i="1" s="1"/>
  <c r="R87" i="1"/>
  <c r="AB87" i="1" s="1"/>
  <c r="Q87" i="1"/>
  <c r="AA87" i="1" s="1"/>
  <c r="P87" i="1"/>
  <c r="Z87" i="1" s="1"/>
  <c r="O87" i="1"/>
  <c r="Y87" i="1" s="1"/>
  <c r="W86" i="1"/>
  <c r="AG86" i="1" s="1"/>
  <c r="V86" i="1"/>
  <c r="AF86" i="1" s="1"/>
  <c r="U86" i="1"/>
  <c r="AE86" i="1" s="1"/>
  <c r="T86" i="1"/>
  <c r="AD86" i="1" s="1"/>
  <c r="S86" i="1"/>
  <c r="AC86" i="1" s="1"/>
  <c r="R86" i="1"/>
  <c r="AB86" i="1" s="1"/>
  <c r="Q86" i="1"/>
  <c r="AA86" i="1" s="1"/>
  <c r="P86" i="1"/>
  <c r="Z86" i="1" s="1"/>
  <c r="O86" i="1"/>
  <c r="Y86" i="1" s="1"/>
  <c r="W85" i="1"/>
  <c r="V85" i="1"/>
  <c r="U85" i="1"/>
  <c r="T85" i="1"/>
  <c r="S85" i="1"/>
  <c r="R85" i="1"/>
  <c r="Q85" i="1"/>
  <c r="P85" i="1"/>
  <c r="O85" i="1"/>
  <c r="W84" i="1"/>
  <c r="V84" i="1"/>
  <c r="U84" i="1"/>
  <c r="T84" i="1"/>
  <c r="S84" i="1"/>
  <c r="R84" i="1"/>
  <c r="Q84" i="1"/>
  <c r="P84" i="1"/>
  <c r="O84" i="1"/>
  <c r="W83" i="1"/>
  <c r="AG83" i="1" s="1"/>
  <c r="V83" i="1"/>
  <c r="AF83" i="1" s="1"/>
  <c r="U83" i="1"/>
  <c r="AE83" i="1" s="1"/>
  <c r="T83" i="1"/>
  <c r="AD83" i="1" s="1"/>
  <c r="S83" i="1"/>
  <c r="AC83" i="1" s="1"/>
  <c r="R83" i="1"/>
  <c r="AB83" i="1" s="1"/>
  <c r="Q83" i="1"/>
  <c r="AA83" i="1" s="1"/>
  <c r="P83" i="1"/>
  <c r="Z83" i="1" s="1"/>
  <c r="O83" i="1"/>
  <c r="Y83" i="1" s="1"/>
  <c r="W82" i="1"/>
  <c r="AG82" i="1" s="1"/>
  <c r="V82" i="1"/>
  <c r="AF82" i="1" s="1"/>
  <c r="U82" i="1"/>
  <c r="AE82" i="1" s="1"/>
  <c r="T82" i="1"/>
  <c r="AD82" i="1" s="1"/>
  <c r="S82" i="1"/>
  <c r="AC82" i="1" s="1"/>
  <c r="R82" i="1"/>
  <c r="AB82" i="1" s="1"/>
  <c r="Q82" i="1"/>
  <c r="AA82" i="1" s="1"/>
  <c r="P82" i="1"/>
  <c r="Z82" i="1" s="1"/>
  <c r="O82" i="1"/>
  <c r="Y82" i="1" s="1"/>
  <c r="W81" i="1"/>
  <c r="AG81" i="1" s="1"/>
  <c r="V81" i="1"/>
  <c r="AF81" i="1" s="1"/>
  <c r="U81" i="1"/>
  <c r="AE81" i="1" s="1"/>
  <c r="T81" i="1"/>
  <c r="AD81" i="1" s="1"/>
  <c r="S81" i="1"/>
  <c r="AC81" i="1" s="1"/>
  <c r="R81" i="1"/>
  <c r="AB81" i="1" s="1"/>
  <c r="Q81" i="1"/>
  <c r="AA81" i="1" s="1"/>
  <c r="P81" i="1"/>
  <c r="Z81" i="1" s="1"/>
  <c r="O81" i="1"/>
  <c r="Y81" i="1" s="1"/>
  <c r="W80" i="1"/>
  <c r="AG80" i="1" s="1"/>
  <c r="V80" i="1"/>
  <c r="AF80" i="1" s="1"/>
  <c r="U80" i="1"/>
  <c r="AE80" i="1" s="1"/>
  <c r="T80" i="1"/>
  <c r="AD80" i="1" s="1"/>
  <c r="S80" i="1"/>
  <c r="AC80" i="1" s="1"/>
  <c r="R80" i="1"/>
  <c r="AB80" i="1" s="1"/>
  <c r="Q80" i="1"/>
  <c r="AA80" i="1" s="1"/>
  <c r="P80" i="1"/>
  <c r="Z80" i="1" s="1"/>
  <c r="O80" i="1"/>
  <c r="Y80" i="1" s="1"/>
  <c r="W79" i="1"/>
  <c r="AG79" i="1" s="1"/>
  <c r="V79" i="1"/>
  <c r="AF79" i="1" s="1"/>
  <c r="U79" i="1"/>
  <c r="AE79" i="1" s="1"/>
  <c r="T79" i="1"/>
  <c r="AD79" i="1" s="1"/>
  <c r="S79" i="1"/>
  <c r="AC79" i="1" s="1"/>
  <c r="R79" i="1"/>
  <c r="AB79" i="1" s="1"/>
  <c r="Q79" i="1"/>
  <c r="AA79" i="1" s="1"/>
  <c r="P79" i="1"/>
  <c r="Z79" i="1" s="1"/>
  <c r="O79" i="1"/>
  <c r="Y79" i="1" s="1"/>
  <c r="W78" i="1"/>
  <c r="AG78" i="1" s="1"/>
  <c r="V78" i="1"/>
  <c r="AF78" i="1" s="1"/>
  <c r="U78" i="1"/>
  <c r="AE78" i="1" s="1"/>
  <c r="T78" i="1"/>
  <c r="AD78" i="1" s="1"/>
  <c r="S78" i="1"/>
  <c r="AC78" i="1" s="1"/>
  <c r="R78" i="1"/>
  <c r="AB78" i="1" s="1"/>
  <c r="Q78" i="1"/>
  <c r="AA78" i="1" s="1"/>
  <c r="P78" i="1"/>
  <c r="Z78" i="1" s="1"/>
  <c r="O78" i="1"/>
  <c r="Y78" i="1" s="1"/>
  <c r="W77" i="1"/>
  <c r="AG77" i="1" s="1"/>
  <c r="V77" i="1"/>
  <c r="AF77" i="1" s="1"/>
  <c r="U77" i="1"/>
  <c r="AE77" i="1" s="1"/>
  <c r="T77" i="1"/>
  <c r="AD77" i="1" s="1"/>
  <c r="S77" i="1"/>
  <c r="AC77" i="1" s="1"/>
  <c r="R77" i="1"/>
  <c r="AB77" i="1" s="1"/>
  <c r="Q77" i="1"/>
  <c r="AA77" i="1" s="1"/>
  <c r="P77" i="1"/>
  <c r="Z77" i="1" s="1"/>
  <c r="O77" i="1"/>
  <c r="Y77" i="1" s="1"/>
  <c r="W76" i="1"/>
  <c r="AG76" i="1" s="1"/>
  <c r="V76" i="1"/>
  <c r="AF76" i="1" s="1"/>
  <c r="U76" i="1"/>
  <c r="AE76" i="1" s="1"/>
  <c r="T76" i="1"/>
  <c r="AD76" i="1" s="1"/>
  <c r="S76" i="1"/>
  <c r="AC76" i="1" s="1"/>
  <c r="R76" i="1"/>
  <c r="AB76" i="1" s="1"/>
  <c r="Q76" i="1"/>
  <c r="AA76" i="1" s="1"/>
  <c r="P76" i="1"/>
  <c r="Z76" i="1" s="1"/>
  <c r="O76" i="1"/>
  <c r="Y76" i="1" s="1"/>
  <c r="W75" i="1"/>
  <c r="AG75" i="1" s="1"/>
  <c r="V75" i="1"/>
  <c r="AF75" i="1" s="1"/>
  <c r="U75" i="1"/>
  <c r="AE75" i="1" s="1"/>
  <c r="T75" i="1"/>
  <c r="AD75" i="1" s="1"/>
  <c r="S75" i="1"/>
  <c r="AC75" i="1" s="1"/>
  <c r="R75" i="1"/>
  <c r="AB75" i="1" s="1"/>
  <c r="Q75" i="1"/>
  <c r="AA75" i="1" s="1"/>
  <c r="P75" i="1"/>
  <c r="Z75" i="1" s="1"/>
  <c r="O75" i="1"/>
  <c r="Y75" i="1" s="1"/>
  <c r="W74" i="1"/>
  <c r="AG74" i="1" s="1"/>
  <c r="V74" i="1"/>
  <c r="AF74" i="1" s="1"/>
  <c r="U74" i="1"/>
  <c r="AE74" i="1" s="1"/>
  <c r="T74" i="1"/>
  <c r="AD74" i="1" s="1"/>
  <c r="S74" i="1"/>
  <c r="AC74" i="1" s="1"/>
  <c r="R74" i="1"/>
  <c r="AB74" i="1" s="1"/>
  <c r="Q74" i="1"/>
  <c r="AA74" i="1" s="1"/>
  <c r="P74" i="1"/>
  <c r="Z74" i="1" s="1"/>
  <c r="O74" i="1"/>
  <c r="Y74" i="1" s="1"/>
  <c r="W73" i="1"/>
  <c r="AG73" i="1" s="1"/>
  <c r="V73" i="1"/>
  <c r="AF73" i="1" s="1"/>
  <c r="U73" i="1"/>
  <c r="AE73" i="1" s="1"/>
  <c r="T73" i="1"/>
  <c r="AD73" i="1" s="1"/>
  <c r="S73" i="1"/>
  <c r="AC73" i="1" s="1"/>
  <c r="R73" i="1"/>
  <c r="AB73" i="1" s="1"/>
  <c r="Q73" i="1"/>
  <c r="AA73" i="1" s="1"/>
  <c r="P73" i="1"/>
  <c r="Z73" i="1" s="1"/>
  <c r="O73" i="1"/>
  <c r="Y73" i="1" s="1"/>
  <c r="W72" i="1"/>
  <c r="AG72" i="1" s="1"/>
  <c r="V72" i="1"/>
  <c r="AF72" i="1" s="1"/>
  <c r="U72" i="1"/>
  <c r="AE72" i="1" s="1"/>
  <c r="T72" i="1"/>
  <c r="AD72" i="1" s="1"/>
  <c r="S72" i="1"/>
  <c r="AC72" i="1" s="1"/>
  <c r="R72" i="1"/>
  <c r="AB72" i="1" s="1"/>
  <c r="Q72" i="1"/>
  <c r="AA72" i="1" s="1"/>
  <c r="P72" i="1"/>
  <c r="Z72" i="1" s="1"/>
  <c r="O72" i="1"/>
  <c r="Y72" i="1" s="1"/>
  <c r="W71" i="1"/>
  <c r="AG71" i="1" s="1"/>
  <c r="V71" i="1"/>
  <c r="AF71" i="1" s="1"/>
  <c r="U71" i="1"/>
  <c r="AE71" i="1" s="1"/>
  <c r="T71" i="1"/>
  <c r="AD71" i="1" s="1"/>
  <c r="S71" i="1"/>
  <c r="AC71" i="1" s="1"/>
  <c r="R71" i="1"/>
  <c r="AB71" i="1" s="1"/>
  <c r="Q71" i="1"/>
  <c r="AA71" i="1" s="1"/>
  <c r="P71" i="1"/>
  <c r="Z71" i="1" s="1"/>
  <c r="O71" i="1"/>
  <c r="Y71" i="1" s="1"/>
  <c r="W70" i="1"/>
  <c r="V70" i="1"/>
  <c r="U70" i="1"/>
  <c r="T70" i="1"/>
  <c r="S70" i="1"/>
  <c r="R70" i="1"/>
  <c r="Q70" i="1"/>
  <c r="P70" i="1"/>
  <c r="O70" i="1"/>
  <c r="W69" i="1"/>
  <c r="V69" i="1"/>
  <c r="U69" i="1"/>
  <c r="T69" i="1"/>
  <c r="S69" i="1"/>
  <c r="R69" i="1"/>
  <c r="Q69" i="1"/>
  <c r="P69" i="1"/>
  <c r="O69" i="1"/>
  <c r="W68" i="1"/>
  <c r="AG68" i="1" s="1"/>
  <c r="V68" i="1"/>
  <c r="AF68" i="1" s="1"/>
  <c r="U68" i="1"/>
  <c r="AE68" i="1" s="1"/>
  <c r="T68" i="1"/>
  <c r="AD68" i="1" s="1"/>
  <c r="S68" i="1"/>
  <c r="AC68" i="1" s="1"/>
  <c r="R68" i="1"/>
  <c r="AB68" i="1" s="1"/>
  <c r="Q68" i="1"/>
  <c r="AA68" i="1" s="1"/>
  <c r="P68" i="1"/>
  <c r="Z68" i="1" s="1"/>
  <c r="O68" i="1"/>
  <c r="Y68" i="1" s="1"/>
  <c r="W67" i="1"/>
  <c r="AG67" i="1" s="1"/>
  <c r="V67" i="1"/>
  <c r="AF67" i="1" s="1"/>
  <c r="U67" i="1"/>
  <c r="AE67" i="1" s="1"/>
  <c r="T67" i="1"/>
  <c r="AD67" i="1" s="1"/>
  <c r="S67" i="1"/>
  <c r="AC67" i="1" s="1"/>
  <c r="R67" i="1"/>
  <c r="AB67" i="1" s="1"/>
  <c r="Q67" i="1"/>
  <c r="AA67" i="1" s="1"/>
  <c r="P67" i="1"/>
  <c r="Z67" i="1" s="1"/>
  <c r="O67" i="1"/>
  <c r="Y67" i="1" s="1"/>
  <c r="W66" i="1"/>
  <c r="AG66" i="1" s="1"/>
  <c r="V66" i="1"/>
  <c r="AF66" i="1" s="1"/>
  <c r="U66" i="1"/>
  <c r="AE66" i="1" s="1"/>
  <c r="T66" i="1"/>
  <c r="AD66" i="1" s="1"/>
  <c r="S66" i="1"/>
  <c r="AC66" i="1" s="1"/>
  <c r="R66" i="1"/>
  <c r="AB66" i="1" s="1"/>
  <c r="Q66" i="1"/>
  <c r="AA66" i="1" s="1"/>
  <c r="P66" i="1"/>
  <c r="Z66" i="1" s="1"/>
  <c r="O66" i="1"/>
  <c r="Y66" i="1" s="1"/>
  <c r="W65" i="1"/>
  <c r="AG65" i="1" s="1"/>
  <c r="V65" i="1"/>
  <c r="AF65" i="1" s="1"/>
  <c r="U65" i="1"/>
  <c r="AE65" i="1" s="1"/>
  <c r="T65" i="1"/>
  <c r="AD65" i="1" s="1"/>
  <c r="S65" i="1"/>
  <c r="AC65" i="1" s="1"/>
  <c r="R65" i="1"/>
  <c r="AB65" i="1" s="1"/>
  <c r="Q65" i="1"/>
  <c r="AA65" i="1" s="1"/>
  <c r="P65" i="1"/>
  <c r="Z65" i="1" s="1"/>
  <c r="O65" i="1"/>
  <c r="Y65" i="1" s="1"/>
  <c r="W64" i="1"/>
  <c r="AG64" i="1" s="1"/>
  <c r="V64" i="1"/>
  <c r="AF64" i="1" s="1"/>
  <c r="U64" i="1"/>
  <c r="AE64" i="1" s="1"/>
  <c r="T64" i="1"/>
  <c r="AD64" i="1" s="1"/>
  <c r="S64" i="1"/>
  <c r="AC64" i="1" s="1"/>
  <c r="R64" i="1"/>
  <c r="AB64" i="1" s="1"/>
  <c r="Q64" i="1"/>
  <c r="AA64" i="1" s="1"/>
  <c r="P64" i="1"/>
  <c r="Z64" i="1" s="1"/>
  <c r="O64" i="1"/>
  <c r="Y64" i="1" s="1"/>
  <c r="W63" i="1"/>
  <c r="AG63" i="1" s="1"/>
  <c r="V63" i="1"/>
  <c r="AF63" i="1" s="1"/>
  <c r="U63" i="1"/>
  <c r="AE63" i="1" s="1"/>
  <c r="T63" i="1"/>
  <c r="AD63" i="1" s="1"/>
  <c r="S63" i="1"/>
  <c r="AC63" i="1" s="1"/>
  <c r="R63" i="1"/>
  <c r="AB63" i="1" s="1"/>
  <c r="Q63" i="1"/>
  <c r="AA63" i="1" s="1"/>
  <c r="P63" i="1"/>
  <c r="Z63" i="1" s="1"/>
  <c r="O63" i="1"/>
  <c r="Y63" i="1" s="1"/>
  <c r="W62" i="1"/>
  <c r="AG62" i="1" s="1"/>
  <c r="V62" i="1"/>
  <c r="AF62" i="1" s="1"/>
  <c r="U62" i="1"/>
  <c r="AE62" i="1" s="1"/>
  <c r="T62" i="1"/>
  <c r="AD62" i="1" s="1"/>
  <c r="S62" i="1"/>
  <c r="AC62" i="1" s="1"/>
  <c r="R62" i="1"/>
  <c r="AB62" i="1" s="1"/>
  <c r="Q62" i="1"/>
  <c r="AA62" i="1" s="1"/>
  <c r="P62" i="1"/>
  <c r="Z62" i="1" s="1"/>
  <c r="O62" i="1"/>
  <c r="Y62" i="1" s="1"/>
  <c r="W61" i="1"/>
  <c r="AG61" i="1" s="1"/>
  <c r="V61" i="1"/>
  <c r="AF61" i="1" s="1"/>
  <c r="U61" i="1"/>
  <c r="AE61" i="1" s="1"/>
  <c r="T61" i="1"/>
  <c r="AD61" i="1" s="1"/>
  <c r="S61" i="1"/>
  <c r="AC61" i="1" s="1"/>
  <c r="R61" i="1"/>
  <c r="AB61" i="1" s="1"/>
  <c r="Q61" i="1"/>
  <c r="AA61" i="1" s="1"/>
  <c r="P61" i="1"/>
  <c r="Z61" i="1" s="1"/>
  <c r="O61" i="1"/>
  <c r="Y61" i="1" s="1"/>
  <c r="W60" i="1"/>
  <c r="AG60" i="1" s="1"/>
  <c r="V60" i="1"/>
  <c r="AF60" i="1" s="1"/>
  <c r="U60" i="1"/>
  <c r="AE60" i="1" s="1"/>
  <c r="T60" i="1"/>
  <c r="AD60" i="1" s="1"/>
  <c r="S60" i="1"/>
  <c r="AC60" i="1" s="1"/>
  <c r="R60" i="1"/>
  <c r="AB60" i="1" s="1"/>
  <c r="Q60" i="1"/>
  <c r="AA60" i="1" s="1"/>
  <c r="P60" i="1"/>
  <c r="Z60" i="1" s="1"/>
  <c r="O60" i="1"/>
  <c r="Y60" i="1" s="1"/>
  <c r="W59" i="1"/>
  <c r="AG59" i="1" s="1"/>
  <c r="V59" i="1"/>
  <c r="AF59" i="1" s="1"/>
  <c r="U59" i="1"/>
  <c r="AE59" i="1" s="1"/>
  <c r="T59" i="1"/>
  <c r="AD59" i="1" s="1"/>
  <c r="S59" i="1"/>
  <c r="AC59" i="1" s="1"/>
  <c r="R59" i="1"/>
  <c r="AB59" i="1" s="1"/>
  <c r="Q59" i="1"/>
  <c r="AA59" i="1" s="1"/>
  <c r="P59" i="1"/>
  <c r="Z59" i="1" s="1"/>
  <c r="O59" i="1"/>
  <c r="Y59" i="1" s="1"/>
  <c r="W58" i="1"/>
  <c r="AG58" i="1" s="1"/>
  <c r="V58" i="1"/>
  <c r="AF58" i="1" s="1"/>
  <c r="U58" i="1"/>
  <c r="AE58" i="1" s="1"/>
  <c r="T58" i="1"/>
  <c r="AD58" i="1" s="1"/>
  <c r="S58" i="1"/>
  <c r="AC58" i="1" s="1"/>
  <c r="R58" i="1"/>
  <c r="AB58" i="1" s="1"/>
  <c r="Q58" i="1"/>
  <c r="AA58" i="1" s="1"/>
  <c r="P58" i="1"/>
  <c r="Z58" i="1" s="1"/>
  <c r="O58" i="1"/>
  <c r="Y58" i="1" s="1"/>
  <c r="W57" i="1"/>
  <c r="AG57" i="1" s="1"/>
  <c r="V57" i="1"/>
  <c r="AF57" i="1" s="1"/>
  <c r="U57" i="1"/>
  <c r="AE57" i="1" s="1"/>
  <c r="T57" i="1"/>
  <c r="AD57" i="1" s="1"/>
  <c r="S57" i="1"/>
  <c r="AC57" i="1" s="1"/>
  <c r="R57" i="1"/>
  <c r="AB57" i="1" s="1"/>
  <c r="Q57" i="1"/>
  <c r="AA57" i="1" s="1"/>
  <c r="P57" i="1"/>
  <c r="Z57" i="1" s="1"/>
  <c r="O57" i="1"/>
  <c r="Y57" i="1" s="1"/>
  <c r="W56" i="1"/>
  <c r="AG56" i="1" s="1"/>
  <c r="V56" i="1"/>
  <c r="AF56" i="1" s="1"/>
  <c r="U56" i="1"/>
  <c r="AE56" i="1" s="1"/>
  <c r="T56" i="1"/>
  <c r="AD56" i="1" s="1"/>
  <c r="S56" i="1"/>
  <c r="AC56" i="1" s="1"/>
  <c r="R56" i="1"/>
  <c r="AB56" i="1" s="1"/>
  <c r="Q56" i="1"/>
  <c r="AA56" i="1" s="1"/>
  <c r="P56" i="1"/>
  <c r="Z56" i="1" s="1"/>
  <c r="O56" i="1"/>
  <c r="Y56" i="1" s="1"/>
  <c r="W55" i="1"/>
  <c r="AG55" i="1" s="1"/>
  <c r="V55" i="1"/>
  <c r="AF55" i="1" s="1"/>
  <c r="U55" i="1"/>
  <c r="AE55" i="1" s="1"/>
  <c r="T55" i="1"/>
  <c r="AD55" i="1" s="1"/>
  <c r="S55" i="1"/>
  <c r="AC55" i="1" s="1"/>
  <c r="R55" i="1"/>
  <c r="AB55" i="1" s="1"/>
  <c r="Q55" i="1"/>
  <c r="AA55" i="1" s="1"/>
  <c r="P55" i="1"/>
  <c r="Z55" i="1" s="1"/>
  <c r="O55" i="1"/>
  <c r="Y55" i="1" s="1"/>
  <c r="W54" i="1"/>
  <c r="AG54" i="1" s="1"/>
  <c r="V54" i="1"/>
  <c r="AF54" i="1" s="1"/>
  <c r="U54" i="1"/>
  <c r="AE54" i="1" s="1"/>
  <c r="T54" i="1"/>
  <c r="AD54" i="1" s="1"/>
  <c r="S54" i="1"/>
  <c r="AC54" i="1" s="1"/>
  <c r="R54" i="1"/>
  <c r="AB54" i="1" s="1"/>
  <c r="Q54" i="1"/>
  <c r="AA54" i="1" s="1"/>
  <c r="P54" i="1"/>
  <c r="Z54" i="1" s="1"/>
  <c r="O54" i="1"/>
  <c r="Y54" i="1" s="1"/>
  <c r="W53" i="1"/>
  <c r="AG53" i="1" s="1"/>
  <c r="V53" i="1"/>
  <c r="AF53" i="1" s="1"/>
  <c r="U53" i="1"/>
  <c r="AE53" i="1" s="1"/>
  <c r="T53" i="1"/>
  <c r="AD53" i="1" s="1"/>
  <c r="S53" i="1"/>
  <c r="AC53" i="1" s="1"/>
  <c r="R53" i="1"/>
  <c r="AB53" i="1" s="1"/>
  <c r="Q53" i="1"/>
  <c r="AA53" i="1" s="1"/>
  <c r="P53" i="1"/>
  <c r="Z53" i="1" s="1"/>
  <c r="O53" i="1"/>
  <c r="Y53" i="1" s="1"/>
  <c r="W52" i="1"/>
  <c r="AG52" i="1" s="1"/>
  <c r="V52" i="1"/>
  <c r="AF52" i="1" s="1"/>
  <c r="U52" i="1"/>
  <c r="AE52" i="1" s="1"/>
  <c r="T52" i="1"/>
  <c r="AD52" i="1" s="1"/>
  <c r="S52" i="1"/>
  <c r="AC52" i="1" s="1"/>
  <c r="R52" i="1"/>
  <c r="AB52" i="1" s="1"/>
  <c r="Q52" i="1"/>
  <c r="AA52" i="1" s="1"/>
  <c r="P52" i="1"/>
  <c r="Z52" i="1" s="1"/>
  <c r="O52" i="1"/>
  <c r="Y52" i="1" s="1"/>
  <c r="W51" i="1"/>
  <c r="AG51" i="1" s="1"/>
  <c r="V51" i="1"/>
  <c r="AF51" i="1" s="1"/>
  <c r="U51" i="1"/>
  <c r="AE51" i="1" s="1"/>
  <c r="T51" i="1"/>
  <c r="AD51" i="1" s="1"/>
  <c r="S51" i="1"/>
  <c r="AC51" i="1" s="1"/>
  <c r="R51" i="1"/>
  <c r="AB51" i="1" s="1"/>
  <c r="Q51" i="1"/>
  <c r="AA51" i="1" s="1"/>
  <c r="P51" i="1"/>
  <c r="Z51" i="1" s="1"/>
  <c r="O51" i="1"/>
  <c r="Y51" i="1" s="1"/>
  <c r="W50" i="1"/>
  <c r="AG50" i="1" s="1"/>
  <c r="V50" i="1"/>
  <c r="AF50" i="1" s="1"/>
  <c r="U50" i="1"/>
  <c r="AE50" i="1" s="1"/>
  <c r="T50" i="1"/>
  <c r="AD50" i="1" s="1"/>
  <c r="S50" i="1"/>
  <c r="AC50" i="1" s="1"/>
  <c r="R50" i="1"/>
  <c r="AB50" i="1" s="1"/>
  <c r="Q50" i="1"/>
  <c r="AA50" i="1" s="1"/>
  <c r="P50" i="1"/>
  <c r="Z50" i="1" s="1"/>
  <c r="O50" i="1"/>
  <c r="Y50" i="1" s="1"/>
  <c r="W48" i="1"/>
  <c r="AG48" i="1" s="1"/>
  <c r="V48" i="1"/>
  <c r="AF48" i="1" s="1"/>
  <c r="U48" i="1"/>
  <c r="AE48" i="1" s="1"/>
  <c r="T48" i="1"/>
  <c r="AD48" i="1" s="1"/>
  <c r="S48" i="1"/>
  <c r="AC48" i="1" s="1"/>
  <c r="R48" i="1"/>
  <c r="AB48" i="1" s="1"/>
  <c r="Q48" i="1"/>
  <c r="AA48" i="1" s="1"/>
  <c r="P48" i="1"/>
  <c r="Z48" i="1" s="1"/>
  <c r="O48" i="1"/>
  <c r="Y48" i="1" s="1"/>
  <c r="W47" i="1"/>
  <c r="AG47" i="1" s="1"/>
  <c r="V47" i="1"/>
  <c r="AF47" i="1" s="1"/>
  <c r="U47" i="1"/>
  <c r="AE47" i="1" s="1"/>
  <c r="T47" i="1"/>
  <c r="AD47" i="1" s="1"/>
  <c r="S47" i="1"/>
  <c r="AC47" i="1" s="1"/>
  <c r="R47" i="1"/>
  <c r="AB47" i="1" s="1"/>
  <c r="Q47" i="1"/>
  <c r="AA47" i="1" s="1"/>
  <c r="P47" i="1"/>
  <c r="Z47" i="1" s="1"/>
  <c r="O47" i="1"/>
  <c r="Y47" i="1" s="1"/>
  <c r="W46" i="1"/>
  <c r="AG46" i="1" s="1"/>
  <c r="V46" i="1"/>
  <c r="AF46" i="1" s="1"/>
  <c r="U46" i="1"/>
  <c r="AE46" i="1" s="1"/>
  <c r="T46" i="1"/>
  <c r="AD46" i="1" s="1"/>
  <c r="S46" i="1"/>
  <c r="AC46" i="1" s="1"/>
  <c r="R46" i="1"/>
  <c r="AB46" i="1" s="1"/>
  <c r="Q46" i="1"/>
  <c r="AA46" i="1" s="1"/>
  <c r="P46" i="1"/>
  <c r="Z46" i="1" s="1"/>
  <c r="O46" i="1"/>
  <c r="Y46" i="1" s="1"/>
  <c r="W45" i="1"/>
  <c r="AG45" i="1" s="1"/>
  <c r="V45" i="1"/>
  <c r="AF45" i="1" s="1"/>
  <c r="U45" i="1"/>
  <c r="AE45" i="1" s="1"/>
  <c r="T45" i="1"/>
  <c r="AD45" i="1" s="1"/>
  <c r="S45" i="1"/>
  <c r="AC45" i="1" s="1"/>
  <c r="R45" i="1"/>
  <c r="AB45" i="1" s="1"/>
  <c r="Q45" i="1"/>
  <c r="AA45" i="1" s="1"/>
  <c r="P45" i="1"/>
  <c r="Z45" i="1" s="1"/>
  <c r="O45" i="1"/>
  <c r="Y45" i="1" s="1"/>
  <c r="W44" i="1"/>
  <c r="AG44" i="1" s="1"/>
  <c r="V44" i="1"/>
  <c r="AF44" i="1" s="1"/>
  <c r="U44" i="1"/>
  <c r="AE44" i="1" s="1"/>
  <c r="T44" i="1"/>
  <c r="AD44" i="1" s="1"/>
  <c r="S44" i="1"/>
  <c r="AC44" i="1" s="1"/>
  <c r="R44" i="1"/>
  <c r="AB44" i="1" s="1"/>
  <c r="Q44" i="1"/>
  <c r="AA44" i="1" s="1"/>
  <c r="P44" i="1"/>
  <c r="Z44" i="1" s="1"/>
  <c r="O44" i="1"/>
  <c r="Y44" i="1" s="1"/>
  <c r="W43" i="1"/>
  <c r="AG43" i="1" s="1"/>
  <c r="V43" i="1"/>
  <c r="AF43" i="1" s="1"/>
  <c r="U43" i="1"/>
  <c r="AE43" i="1" s="1"/>
  <c r="T43" i="1"/>
  <c r="AD43" i="1" s="1"/>
  <c r="S43" i="1"/>
  <c r="AC43" i="1" s="1"/>
  <c r="R43" i="1"/>
  <c r="AB43" i="1" s="1"/>
  <c r="Q43" i="1"/>
  <c r="AA43" i="1" s="1"/>
  <c r="P43" i="1"/>
  <c r="Z43" i="1" s="1"/>
  <c r="O43" i="1"/>
  <c r="Y43" i="1" s="1"/>
  <c r="W42" i="1"/>
  <c r="AG42" i="1" s="1"/>
  <c r="V42" i="1"/>
  <c r="AF42" i="1" s="1"/>
  <c r="U42" i="1"/>
  <c r="AE42" i="1" s="1"/>
  <c r="T42" i="1"/>
  <c r="AD42" i="1" s="1"/>
  <c r="S42" i="1"/>
  <c r="AC42" i="1" s="1"/>
  <c r="R42" i="1"/>
  <c r="AB42" i="1" s="1"/>
  <c r="Q42" i="1"/>
  <c r="AA42" i="1" s="1"/>
  <c r="P42" i="1"/>
  <c r="Z42" i="1" s="1"/>
  <c r="O42" i="1"/>
  <c r="Y42" i="1" s="1"/>
  <c r="W41" i="1"/>
  <c r="AG41" i="1" s="1"/>
  <c r="V41" i="1"/>
  <c r="AF41" i="1" s="1"/>
  <c r="U41" i="1"/>
  <c r="AE41" i="1" s="1"/>
  <c r="T41" i="1"/>
  <c r="AD41" i="1" s="1"/>
  <c r="S41" i="1"/>
  <c r="AC41" i="1" s="1"/>
  <c r="R41" i="1"/>
  <c r="AB41" i="1" s="1"/>
  <c r="Q41" i="1"/>
  <c r="AA41" i="1" s="1"/>
  <c r="P41" i="1"/>
  <c r="Z41" i="1" s="1"/>
  <c r="O41" i="1"/>
  <c r="Y41" i="1" s="1"/>
  <c r="W40" i="1"/>
  <c r="AG40" i="1" s="1"/>
  <c r="V40" i="1"/>
  <c r="AF40" i="1" s="1"/>
  <c r="U40" i="1"/>
  <c r="AE40" i="1" s="1"/>
  <c r="T40" i="1"/>
  <c r="AD40" i="1" s="1"/>
  <c r="S40" i="1"/>
  <c r="AC40" i="1" s="1"/>
  <c r="R40" i="1"/>
  <c r="AB40" i="1" s="1"/>
  <c r="Q40" i="1"/>
  <c r="AA40" i="1" s="1"/>
  <c r="P40" i="1"/>
  <c r="Z40" i="1" s="1"/>
  <c r="O40" i="1"/>
  <c r="Y40" i="1" s="1"/>
  <c r="W39" i="1"/>
  <c r="AG39" i="1" s="1"/>
  <c r="V39" i="1"/>
  <c r="AF39" i="1" s="1"/>
  <c r="U39" i="1"/>
  <c r="AE39" i="1" s="1"/>
  <c r="T39" i="1"/>
  <c r="AD39" i="1" s="1"/>
  <c r="S39" i="1"/>
  <c r="AC39" i="1" s="1"/>
  <c r="R39" i="1"/>
  <c r="AB39" i="1" s="1"/>
  <c r="Q39" i="1"/>
  <c r="AA39" i="1" s="1"/>
  <c r="P39" i="1"/>
  <c r="Z39" i="1" s="1"/>
  <c r="O39" i="1"/>
  <c r="Y39" i="1" s="1"/>
  <c r="W38" i="1"/>
  <c r="AG38" i="1" s="1"/>
  <c r="V38" i="1"/>
  <c r="AF38" i="1" s="1"/>
  <c r="U38" i="1"/>
  <c r="AE38" i="1" s="1"/>
  <c r="T38" i="1"/>
  <c r="AD38" i="1" s="1"/>
  <c r="S38" i="1"/>
  <c r="AC38" i="1" s="1"/>
  <c r="R38" i="1"/>
  <c r="AB38" i="1" s="1"/>
  <c r="Q38" i="1"/>
  <c r="AA38" i="1" s="1"/>
  <c r="P38" i="1"/>
  <c r="Z38" i="1" s="1"/>
  <c r="O38" i="1"/>
  <c r="Y38" i="1" s="1"/>
  <c r="W37" i="1"/>
  <c r="AG37" i="1" s="1"/>
  <c r="V37" i="1"/>
  <c r="AF37" i="1" s="1"/>
  <c r="U37" i="1"/>
  <c r="AE37" i="1" s="1"/>
  <c r="T37" i="1"/>
  <c r="AD37" i="1" s="1"/>
  <c r="S37" i="1"/>
  <c r="AC37" i="1" s="1"/>
  <c r="R37" i="1"/>
  <c r="AB37" i="1" s="1"/>
  <c r="Q37" i="1"/>
  <c r="AA37" i="1" s="1"/>
  <c r="P37" i="1"/>
  <c r="Z37" i="1" s="1"/>
  <c r="O37" i="1"/>
  <c r="Y37" i="1" s="1"/>
  <c r="W36" i="1"/>
  <c r="AG36" i="1" s="1"/>
  <c r="V36" i="1"/>
  <c r="AF36" i="1" s="1"/>
  <c r="U36" i="1"/>
  <c r="AE36" i="1" s="1"/>
  <c r="T36" i="1"/>
  <c r="AD36" i="1" s="1"/>
  <c r="S36" i="1"/>
  <c r="AC36" i="1" s="1"/>
  <c r="R36" i="1"/>
  <c r="AB36" i="1" s="1"/>
  <c r="Q36" i="1"/>
  <c r="AA36" i="1" s="1"/>
  <c r="P36" i="1"/>
  <c r="Z36" i="1" s="1"/>
  <c r="O36" i="1"/>
  <c r="Y36" i="1" s="1"/>
  <c r="W35" i="1"/>
  <c r="AG35" i="1" s="1"/>
  <c r="V35" i="1"/>
  <c r="AF35" i="1" s="1"/>
  <c r="U35" i="1"/>
  <c r="AE35" i="1" s="1"/>
  <c r="T35" i="1"/>
  <c r="AD35" i="1" s="1"/>
  <c r="S35" i="1"/>
  <c r="AC35" i="1" s="1"/>
  <c r="R35" i="1"/>
  <c r="AB35" i="1" s="1"/>
  <c r="Q35" i="1"/>
  <c r="AA35" i="1" s="1"/>
  <c r="P35" i="1"/>
  <c r="Z35" i="1" s="1"/>
  <c r="O35" i="1"/>
  <c r="Y35" i="1" s="1"/>
  <c r="W34" i="1"/>
  <c r="AG34" i="1" s="1"/>
  <c r="V34" i="1"/>
  <c r="AF34" i="1" s="1"/>
  <c r="U34" i="1"/>
  <c r="AE34" i="1" s="1"/>
  <c r="T34" i="1"/>
  <c r="AD34" i="1" s="1"/>
  <c r="S34" i="1"/>
  <c r="AC34" i="1" s="1"/>
  <c r="R34" i="1"/>
  <c r="AB34" i="1" s="1"/>
  <c r="Q34" i="1"/>
  <c r="AA34" i="1" s="1"/>
  <c r="P34" i="1"/>
  <c r="Z34" i="1" s="1"/>
  <c r="O34" i="1"/>
  <c r="Y34" i="1" s="1"/>
  <c r="W33" i="1"/>
  <c r="AG33" i="1" s="1"/>
  <c r="V33" i="1"/>
  <c r="AF33" i="1" s="1"/>
  <c r="U33" i="1"/>
  <c r="AE33" i="1" s="1"/>
  <c r="T33" i="1"/>
  <c r="AD33" i="1" s="1"/>
  <c r="S33" i="1"/>
  <c r="AC33" i="1" s="1"/>
  <c r="R33" i="1"/>
  <c r="AB33" i="1" s="1"/>
  <c r="Q33" i="1"/>
  <c r="AA33" i="1" s="1"/>
  <c r="P33" i="1"/>
  <c r="Z33" i="1" s="1"/>
  <c r="O33" i="1"/>
  <c r="Y33" i="1" s="1"/>
  <c r="W32" i="1"/>
  <c r="AG32" i="1" s="1"/>
  <c r="V32" i="1"/>
  <c r="AF32" i="1" s="1"/>
  <c r="U32" i="1"/>
  <c r="AE32" i="1" s="1"/>
  <c r="T32" i="1"/>
  <c r="AD32" i="1" s="1"/>
  <c r="S32" i="1"/>
  <c r="AC32" i="1" s="1"/>
  <c r="R32" i="1"/>
  <c r="AB32" i="1" s="1"/>
  <c r="Q32" i="1"/>
  <c r="AA32" i="1" s="1"/>
  <c r="P32" i="1"/>
  <c r="Z32" i="1" s="1"/>
  <c r="O32" i="1"/>
  <c r="Y32" i="1" s="1"/>
  <c r="W31" i="1"/>
  <c r="AG31" i="1" s="1"/>
  <c r="V31" i="1"/>
  <c r="AF31" i="1" s="1"/>
  <c r="U31" i="1"/>
  <c r="AE31" i="1" s="1"/>
  <c r="T31" i="1"/>
  <c r="AD31" i="1" s="1"/>
  <c r="S31" i="1"/>
  <c r="AC31" i="1" s="1"/>
  <c r="R31" i="1"/>
  <c r="AB31" i="1" s="1"/>
  <c r="Q31" i="1"/>
  <c r="AA31" i="1" s="1"/>
  <c r="P31" i="1"/>
  <c r="Z31" i="1" s="1"/>
  <c r="O31" i="1"/>
  <c r="Y31" i="1" s="1"/>
  <c r="W30" i="1"/>
  <c r="AG30" i="1" s="1"/>
  <c r="V30" i="1"/>
  <c r="AF30" i="1" s="1"/>
  <c r="U30" i="1"/>
  <c r="AE30" i="1" s="1"/>
  <c r="T30" i="1"/>
  <c r="AD30" i="1" s="1"/>
  <c r="S30" i="1"/>
  <c r="AC30" i="1" s="1"/>
  <c r="R30" i="1"/>
  <c r="AB30" i="1" s="1"/>
  <c r="Q30" i="1"/>
  <c r="AA30" i="1" s="1"/>
  <c r="P30" i="1"/>
  <c r="Z30" i="1" s="1"/>
  <c r="O30" i="1"/>
  <c r="Y30" i="1" s="1"/>
  <c r="W29" i="1"/>
  <c r="AG29" i="1" s="1"/>
  <c r="V29" i="1"/>
  <c r="AF29" i="1" s="1"/>
  <c r="U29" i="1"/>
  <c r="AE29" i="1" s="1"/>
  <c r="T29" i="1"/>
  <c r="AD29" i="1" s="1"/>
  <c r="S29" i="1"/>
  <c r="AC29" i="1" s="1"/>
  <c r="R29" i="1"/>
  <c r="AB29" i="1" s="1"/>
  <c r="Q29" i="1"/>
  <c r="AA29" i="1" s="1"/>
  <c r="P29" i="1"/>
  <c r="Z29" i="1" s="1"/>
  <c r="O29" i="1"/>
  <c r="Y29" i="1" s="1"/>
  <c r="W28" i="1"/>
  <c r="AG28" i="1" s="1"/>
  <c r="V28" i="1"/>
  <c r="AF28" i="1" s="1"/>
  <c r="U28" i="1"/>
  <c r="AE28" i="1" s="1"/>
  <c r="T28" i="1"/>
  <c r="AD28" i="1" s="1"/>
  <c r="S28" i="1"/>
  <c r="AC28" i="1" s="1"/>
  <c r="R28" i="1"/>
  <c r="AB28" i="1" s="1"/>
  <c r="Q28" i="1"/>
  <c r="AA28" i="1" s="1"/>
  <c r="P28" i="1"/>
  <c r="Z28" i="1" s="1"/>
  <c r="O28" i="1"/>
  <c r="Y28" i="1" s="1"/>
  <c r="W27" i="1"/>
  <c r="AG27" i="1" s="1"/>
  <c r="V27" i="1"/>
  <c r="AF27" i="1" s="1"/>
  <c r="U27" i="1"/>
  <c r="AE27" i="1" s="1"/>
  <c r="T27" i="1"/>
  <c r="AD27" i="1" s="1"/>
  <c r="S27" i="1"/>
  <c r="AC27" i="1" s="1"/>
  <c r="R27" i="1"/>
  <c r="AB27" i="1" s="1"/>
  <c r="Q27" i="1"/>
  <c r="AA27" i="1" s="1"/>
  <c r="P27" i="1"/>
  <c r="Z27" i="1" s="1"/>
  <c r="O27" i="1"/>
  <c r="Y27" i="1" s="1"/>
  <c r="W26" i="1"/>
  <c r="AG26" i="1" s="1"/>
  <c r="V26" i="1"/>
  <c r="AF26" i="1" s="1"/>
  <c r="U26" i="1"/>
  <c r="AE26" i="1" s="1"/>
  <c r="T26" i="1"/>
  <c r="AD26" i="1" s="1"/>
  <c r="S26" i="1"/>
  <c r="AC26" i="1" s="1"/>
  <c r="R26" i="1"/>
  <c r="AB26" i="1" s="1"/>
  <c r="Q26" i="1"/>
  <c r="AA26" i="1" s="1"/>
  <c r="P26" i="1"/>
  <c r="Z26" i="1" s="1"/>
  <c r="O26" i="1"/>
  <c r="Y26" i="1" s="1"/>
  <c r="W25" i="1"/>
  <c r="AG25" i="1" s="1"/>
  <c r="V25" i="1"/>
  <c r="AF25" i="1" s="1"/>
  <c r="U25" i="1"/>
  <c r="AE25" i="1" s="1"/>
  <c r="T25" i="1"/>
  <c r="AD25" i="1" s="1"/>
  <c r="S25" i="1"/>
  <c r="AC25" i="1" s="1"/>
  <c r="R25" i="1"/>
  <c r="AB25" i="1" s="1"/>
  <c r="Q25" i="1"/>
  <c r="AA25" i="1" s="1"/>
  <c r="P25" i="1"/>
  <c r="Z25" i="1" s="1"/>
  <c r="O25" i="1"/>
  <c r="Y25" i="1" s="1"/>
  <c r="W24" i="1"/>
  <c r="AG24" i="1" s="1"/>
  <c r="V24" i="1"/>
  <c r="AF24" i="1" s="1"/>
  <c r="U24" i="1"/>
  <c r="AE24" i="1" s="1"/>
  <c r="T24" i="1"/>
  <c r="AD24" i="1" s="1"/>
  <c r="S24" i="1"/>
  <c r="AC24" i="1" s="1"/>
  <c r="R24" i="1"/>
  <c r="AB24" i="1" s="1"/>
  <c r="Q24" i="1"/>
  <c r="AA24" i="1" s="1"/>
  <c r="P24" i="1"/>
  <c r="Z24" i="1" s="1"/>
  <c r="O24" i="1"/>
  <c r="Y24" i="1" s="1"/>
  <c r="W23" i="1"/>
  <c r="AG23" i="1" s="1"/>
  <c r="V23" i="1"/>
  <c r="AF23" i="1" s="1"/>
  <c r="U23" i="1"/>
  <c r="AE23" i="1" s="1"/>
  <c r="T23" i="1"/>
  <c r="AD23" i="1" s="1"/>
  <c r="S23" i="1"/>
  <c r="AC23" i="1" s="1"/>
  <c r="R23" i="1"/>
  <c r="AB23" i="1" s="1"/>
  <c r="Q23" i="1"/>
  <c r="AA23" i="1" s="1"/>
  <c r="P23" i="1"/>
  <c r="Z23" i="1" s="1"/>
  <c r="O23" i="1"/>
  <c r="Y23" i="1" s="1"/>
  <c r="W22" i="1"/>
  <c r="AG22" i="1" s="1"/>
  <c r="V22" i="1"/>
  <c r="AF22" i="1" s="1"/>
  <c r="U22" i="1"/>
  <c r="AE22" i="1" s="1"/>
  <c r="T22" i="1"/>
  <c r="AD22" i="1" s="1"/>
  <c r="S22" i="1"/>
  <c r="AC22" i="1" s="1"/>
  <c r="R22" i="1"/>
  <c r="AB22" i="1" s="1"/>
  <c r="Q22" i="1"/>
  <c r="AA22" i="1" s="1"/>
  <c r="P22" i="1"/>
  <c r="Z22" i="1" s="1"/>
  <c r="O22" i="1"/>
  <c r="Y22" i="1" s="1"/>
  <c r="W21" i="1"/>
  <c r="AG21" i="1" s="1"/>
  <c r="V21" i="1"/>
  <c r="AF21" i="1" s="1"/>
  <c r="U21" i="1"/>
  <c r="AE21" i="1" s="1"/>
  <c r="T21" i="1"/>
  <c r="AD21" i="1" s="1"/>
  <c r="S21" i="1"/>
  <c r="AC21" i="1" s="1"/>
  <c r="R21" i="1"/>
  <c r="AB21" i="1" s="1"/>
  <c r="Q21" i="1"/>
  <c r="AA21" i="1" s="1"/>
  <c r="P21" i="1"/>
  <c r="Z21" i="1" s="1"/>
  <c r="O21" i="1"/>
  <c r="Y21" i="1" s="1"/>
  <c r="W20" i="1"/>
  <c r="AG20" i="1" s="1"/>
  <c r="V20" i="1"/>
  <c r="AF20" i="1" s="1"/>
  <c r="U20" i="1"/>
  <c r="AE20" i="1" s="1"/>
  <c r="T20" i="1"/>
  <c r="AD20" i="1" s="1"/>
  <c r="S20" i="1"/>
  <c r="AC20" i="1" s="1"/>
  <c r="R20" i="1"/>
  <c r="AB20" i="1" s="1"/>
  <c r="Q20" i="1"/>
  <c r="AA20" i="1" s="1"/>
  <c r="P20" i="1"/>
  <c r="Z20" i="1" s="1"/>
  <c r="O20" i="1"/>
  <c r="Y20" i="1" s="1"/>
  <c r="W19" i="1"/>
  <c r="AG19" i="1" s="1"/>
  <c r="V19" i="1"/>
  <c r="AF19" i="1" s="1"/>
  <c r="U19" i="1"/>
  <c r="AE19" i="1" s="1"/>
  <c r="T19" i="1"/>
  <c r="AD19" i="1" s="1"/>
  <c r="S19" i="1"/>
  <c r="AC19" i="1" s="1"/>
  <c r="R19" i="1"/>
  <c r="AB19" i="1" s="1"/>
  <c r="Q19" i="1"/>
  <c r="AA19" i="1" s="1"/>
  <c r="P19" i="1"/>
  <c r="Z19" i="1" s="1"/>
  <c r="O19" i="1"/>
  <c r="Y19" i="1" s="1"/>
  <c r="W18" i="1"/>
  <c r="AG18" i="1" s="1"/>
  <c r="V18" i="1"/>
  <c r="AF18" i="1" s="1"/>
  <c r="U18" i="1"/>
  <c r="AE18" i="1" s="1"/>
  <c r="T18" i="1"/>
  <c r="AD18" i="1" s="1"/>
  <c r="S18" i="1"/>
  <c r="AC18" i="1" s="1"/>
  <c r="R18" i="1"/>
  <c r="AB18" i="1" s="1"/>
  <c r="Q18" i="1"/>
  <c r="AA18" i="1" s="1"/>
  <c r="P18" i="1"/>
  <c r="Z18" i="1" s="1"/>
  <c r="O18" i="1"/>
  <c r="Y18" i="1" s="1"/>
  <c r="W17" i="1"/>
  <c r="AG17" i="1" s="1"/>
  <c r="V17" i="1"/>
  <c r="AF17" i="1" s="1"/>
  <c r="U17" i="1"/>
  <c r="AE17" i="1" s="1"/>
  <c r="T17" i="1"/>
  <c r="AD17" i="1" s="1"/>
  <c r="S17" i="1"/>
  <c r="AC17" i="1" s="1"/>
  <c r="R17" i="1"/>
  <c r="AB17" i="1" s="1"/>
  <c r="Q17" i="1"/>
  <c r="AA17" i="1" s="1"/>
  <c r="P17" i="1"/>
  <c r="Z17" i="1" s="1"/>
  <c r="O17" i="1"/>
  <c r="Y17" i="1" s="1"/>
  <c r="W16" i="1"/>
  <c r="AG16" i="1" s="1"/>
  <c r="V16" i="1"/>
  <c r="AF16" i="1" s="1"/>
  <c r="U16" i="1"/>
  <c r="AE16" i="1" s="1"/>
  <c r="T16" i="1"/>
  <c r="AD16" i="1" s="1"/>
  <c r="S16" i="1"/>
  <c r="AC16" i="1" s="1"/>
  <c r="R16" i="1"/>
  <c r="AB16" i="1" s="1"/>
  <c r="Q16" i="1"/>
  <c r="AA16" i="1" s="1"/>
  <c r="P16" i="1"/>
  <c r="Z16" i="1" s="1"/>
  <c r="O16" i="1"/>
  <c r="Y16" i="1" s="1"/>
  <c r="W15" i="1"/>
  <c r="AG15" i="1" s="1"/>
  <c r="V15" i="1"/>
  <c r="AF15" i="1" s="1"/>
  <c r="U15" i="1"/>
  <c r="AE15" i="1" s="1"/>
  <c r="T15" i="1"/>
  <c r="AD15" i="1" s="1"/>
  <c r="S15" i="1"/>
  <c r="AC15" i="1" s="1"/>
  <c r="R15" i="1"/>
  <c r="AB15" i="1" s="1"/>
  <c r="Q15" i="1"/>
  <c r="AA15" i="1" s="1"/>
  <c r="P15" i="1"/>
  <c r="Z15" i="1" s="1"/>
  <c r="O15" i="1"/>
  <c r="Y15" i="1" s="1"/>
  <c r="W14" i="1"/>
  <c r="AG14" i="1" s="1"/>
  <c r="V14" i="1"/>
  <c r="AF14" i="1" s="1"/>
  <c r="U14" i="1"/>
  <c r="AE14" i="1" s="1"/>
  <c r="T14" i="1"/>
  <c r="AD14" i="1" s="1"/>
  <c r="S14" i="1"/>
  <c r="AC14" i="1" s="1"/>
  <c r="R14" i="1"/>
  <c r="AB14" i="1" s="1"/>
  <c r="Q14" i="1"/>
  <c r="AA14" i="1" s="1"/>
  <c r="P14" i="1"/>
  <c r="Z14" i="1" s="1"/>
  <c r="O14" i="1"/>
  <c r="Y14" i="1" s="1"/>
  <c r="W13" i="1"/>
  <c r="AG13" i="1" s="1"/>
  <c r="V13" i="1"/>
  <c r="AF13" i="1" s="1"/>
  <c r="U13" i="1"/>
  <c r="AE13" i="1" s="1"/>
  <c r="T13" i="1"/>
  <c r="AD13" i="1" s="1"/>
  <c r="S13" i="1"/>
  <c r="AC13" i="1" s="1"/>
  <c r="R13" i="1"/>
  <c r="AB13" i="1" s="1"/>
  <c r="AA13" i="1"/>
  <c r="P13" i="1"/>
  <c r="Z13" i="1" s="1"/>
  <c r="O13" i="1"/>
  <c r="Y13" i="1" s="1"/>
  <c r="W12" i="1"/>
  <c r="AG12" i="1" s="1"/>
  <c r="V12" i="1"/>
  <c r="AF12" i="1" s="1"/>
  <c r="U12" i="1"/>
  <c r="AE12" i="1" s="1"/>
  <c r="T12" i="1"/>
  <c r="AD12" i="1" s="1"/>
  <c r="S12" i="1"/>
  <c r="AC12" i="1" s="1"/>
  <c r="R12" i="1"/>
  <c r="AB12" i="1" s="1"/>
  <c r="Q12" i="1"/>
  <c r="AA12" i="1" s="1"/>
  <c r="P12" i="1"/>
  <c r="Z12" i="1" s="1"/>
  <c r="O12" i="1"/>
  <c r="Y12" i="1" s="1"/>
  <c r="W11" i="1"/>
  <c r="AG11" i="1" s="1"/>
  <c r="V11" i="1"/>
  <c r="AF11" i="1" s="1"/>
  <c r="U11" i="1"/>
  <c r="AE11" i="1" s="1"/>
  <c r="T11" i="1"/>
  <c r="AD11" i="1" s="1"/>
  <c r="S11" i="1"/>
  <c r="AC11" i="1" s="1"/>
  <c r="R11" i="1"/>
  <c r="AB11" i="1" s="1"/>
  <c r="Q11" i="1"/>
  <c r="AA11" i="1" s="1"/>
  <c r="P11" i="1"/>
  <c r="Z11" i="1" s="1"/>
  <c r="O11" i="1"/>
  <c r="Y11" i="1" s="1"/>
  <c r="W10" i="1"/>
  <c r="AG10" i="1" s="1"/>
  <c r="V10" i="1"/>
  <c r="AF10" i="1" s="1"/>
  <c r="U10" i="1"/>
  <c r="AE10" i="1" s="1"/>
  <c r="T10" i="1"/>
  <c r="AD10" i="1" s="1"/>
  <c r="S10" i="1"/>
  <c r="AC10" i="1" s="1"/>
  <c r="R10" i="1"/>
  <c r="AB10" i="1" s="1"/>
  <c r="Q10" i="1"/>
  <c r="AA10" i="1" s="1"/>
  <c r="P10" i="1"/>
  <c r="Z10" i="1" s="1"/>
  <c r="O10" i="1"/>
  <c r="Y10" i="1" s="1"/>
  <c r="W9" i="1"/>
  <c r="AG9" i="1" s="1"/>
  <c r="V9" i="1"/>
  <c r="AF9" i="1" s="1"/>
  <c r="U9" i="1"/>
  <c r="AE9" i="1" s="1"/>
  <c r="T9" i="1"/>
  <c r="AD9" i="1" s="1"/>
  <c r="S9" i="1"/>
  <c r="AC9" i="1" s="1"/>
  <c r="R9" i="1"/>
  <c r="AB9" i="1" s="1"/>
  <c r="Q9" i="1"/>
  <c r="AA9" i="1" s="1"/>
  <c r="P9" i="1"/>
  <c r="Z9" i="1" s="1"/>
  <c r="O9" i="1"/>
  <c r="Y9" i="1" s="1"/>
  <c r="W8" i="1"/>
  <c r="AG8" i="1" s="1"/>
  <c r="V8" i="1"/>
  <c r="AF8" i="1" s="1"/>
  <c r="U8" i="1"/>
  <c r="AE8" i="1" s="1"/>
  <c r="T8" i="1"/>
  <c r="AD8" i="1" s="1"/>
  <c r="S8" i="1"/>
  <c r="AC8" i="1" s="1"/>
  <c r="R8" i="1"/>
  <c r="AB8" i="1" s="1"/>
  <c r="Q8" i="1"/>
  <c r="AA8" i="1" s="1"/>
  <c r="P8" i="1"/>
  <c r="Z8" i="1" s="1"/>
  <c r="O8" i="1"/>
  <c r="Y8" i="1" s="1"/>
  <c r="W7" i="1"/>
  <c r="AG7" i="1" s="1"/>
  <c r="V7" i="1"/>
  <c r="AF7" i="1" s="1"/>
  <c r="U7" i="1"/>
  <c r="AE7" i="1" s="1"/>
  <c r="T7" i="1"/>
  <c r="AD7" i="1" s="1"/>
  <c r="S7" i="1"/>
  <c r="AC7" i="1" s="1"/>
  <c r="R7" i="1"/>
  <c r="AB7" i="1" s="1"/>
  <c r="Q7" i="1"/>
  <c r="AA7" i="1" s="1"/>
  <c r="P7" i="1"/>
  <c r="Z7" i="1" s="1"/>
  <c r="O7" i="1"/>
  <c r="Y7" i="1" s="1"/>
  <c r="W6" i="1"/>
  <c r="AG6" i="1" s="1"/>
  <c r="V6" i="1"/>
  <c r="AF6" i="1" s="1"/>
  <c r="U6" i="1"/>
  <c r="AE6" i="1" s="1"/>
  <c r="T6" i="1"/>
  <c r="AD6" i="1" s="1"/>
  <c r="S6" i="1"/>
  <c r="AC6" i="1" s="1"/>
  <c r="R6" i="1"/>
  <c r="AB6" i="1" s="1"/>
  <c r="Q6" i="1"/>
  <c r="AA6" i="1" s="1"/>
  <c r="P6" i="1"/>
  <c r="Z6" i="1" s="1"/>
  <c r="O6" i="1"/>
  <c r="Y6" i="1" s="1"/>
  <c r="W5" i="1"/>
  <c r="AG5" i="1" s="1"/>
  <c r="V5" i="1"/>
  <c r="AF5" i="1" s="1"/>
  <c r="U5" i="1"/>
  <c r="AE5" i="1" s="1"/>
  <c r="T5" i="1"/>
  <c r="AD5" i="1" s="1"/>
  <c r="S5" i="1"/>
  <c r="AC5" i="1" s="1"/>
  <c r="R5" i="1"/>
  <c r="AB5" i="1" s="1"/>
  <c r="Q5" i="1"/>
  <c r="AA5" i="1" s="1"/>
  <c r="P5" i="1"/>
  <c r="Z5" i="1" s="1"/>
  <c r="O5" i="1"/>
  <c r="Y5" i="1" s="1"/>
  <c r="W4" i="1"/>
  <c r="AG4" i="1" s="1"/>
  <c r="V4" i="1"/>
  <c r="AF4" i="1" s="1"/>
  <c r="U4" i="1"/>
  <c r="AE4" i="1" s="1"/>
  <c r="T4" i="1"/>
  <c r="AD4" i="1" s="1"/>
  <c r="S4" i="1"/>
  <c r="AC4" i="1" s="1"/>
  <c r="R4" i="1"/>
  <c r="AB4" i="1" s="1"/>
  <c r="Q4" i="1"/>
  <c r="AA4" i="1" s="1"/>
  <c r="P4" i="1"/>
  <c r="Z4" i="1" s="1"/>
  <c r="O4" i="1"/>
  <c r="Y4" i="1" s="1"/>
  <c r="W3" i="1"/>
  <c r="AG3" i="1" s="1"/>
  <c r="V3" i="1"/>
  <c r="AF3" i="1" s="1"/>
  <c r="U3" i="1"/>
  <c r="AE3" i="1" s="1"/>
  <c r="T3" i="1"/>
  <c r="AD3" i="1" s="1"/>
  <c r="S3" i="1"/>
  <c r="AC3" i="1" s="1"/>
  <c r="R3" i="1"/>
  <c r="AB3" i="1" s="1"/>
  <c r="Q3" i="1"/>
  <c r="AA3" i="1" s="1"/>
  <c r="P3" i="1"/>
  <c r="Z3" i="1" s="1"/>
  <c r="O3" i="1"/>
  <c r="Y3" i="1" s="1"/>
  <c r="W2" i="1"/>
  <c r="AG2" i="1" s="1"/>
  <c r="V2" i="1"/>
  <c r="AF2" i="1" s="1"/>
  <c r="U2" i="1"/>
  <c r="AE2" i="1" s="1"/>
  <c r="T2" i="1"/>
  <c r="AD2" i="1" s="1"/>
  <c r="S2" i="1"/>
  <c r="AC2" i="1" s="1"/>
  <c r="R2" i="1"/>
  <c r="AB2" i="1" s="1"/>
  <c r="Q2" i="1"/>
  <c r="AA2" i="1" s="1"/>
  <c r="P2" i="1"/>
  <c r="Z2" i="1" s="1"/>
  <c r="O2" i="1"/>
  <c r="Y2" i="1" s="1"/>
  <c r="X13" i="1" l="1" a="1"/>
  <c r="X13" i="1" s="1"/>
  <c r="X27" i="1" a="1"/>
  <c r="X27" i="1" s="1"/>
  <c r="X41" i="1" a="1"/>
  <c r="X41" i="1" s="1"/>
  <c r="X56" i="1" a="1"/>
  <c r="X56" i="1" s="1"/>
  <c r="X7" i="1" a="1"/>
  <c r="X7" i="1" s="1"/>
  <c r="X35" i="1" a="1"/>
  <c r="X35" i="1" s="1"/>
  <c r="X21" i="1" a="1"/>
  <c r="X21" i="1" s="1"/>
  <c r="X98" i="1" a="1"/>
  <c r="X98" i="1" s="1"/>
  <c r="X4" i="1" a="1"/>
  <c r="X4" i="1" s="1"/>
  <c r="X18" i="1" a="1"/>
  <c r="X18" i="1" s="1"/>
  <c r="X32" i="1" a="1"/>
  <c r="X32" i="1" s="1"/>
  <c r="X43" i="1" a="1"/>
  <c r="X43" i="1" s="1"/>
  <c r="X100" i="1" a="1"/>
  <c r="X100" i="1" s="1"/>
  <c r="X198" i="1" a="1"/>
  <c r="X198" i="1" s="1"/>
  <c r="X212" i="1" a="1"/>
  <c r="X212" i="1" s="1"/>
  <c r="X86" i="1" a="1"/>
  <c r="X86" i="1" s="1"/>
  <c r="X15" i="1" a="1"/>
  <c r="X15" i="1" s="1"/>
  <c r="X157" i="1" a="1"/>
  <c r="X157" i="1" s="1"/>
  <c r="X58" i="1" a="1"/>
  <c r="X58" i="1" s="1"/>
  <c r="X171" i="1" a="1"/>
  <c r="X171" i="1" s="1"/>
  <c r="X142" i="1" a="1"/>
  <c r="X142" i="1" s="1"/>
  <c r="X128" i="1" a="1"/>
  <c r="X128" i="1" s="1"/>
  <c r="X29" i="1" a="1"/>
  <c r="X29" i="1" s="1"/>
  <c r="X72" i="1" a="1"/>
  <c r="X72" i="1" s="1"/>
  <c r="X114" i="1" a="1"/>
  <c r="X114" i="1" s="1"/>
  <c r="X184" i="1" a="1"/>
  <c r="X184" i="1" s="1"/>
  <c r="X10" i="1" a="1"/>
  <c r="X10" i="1" s="1"/>
  <c r="X24" i="1" a="1"/>
  <c r="X24" i="1" s="1"/>
  <c r="X38" i="1" a="1"/>
  <c r="X38" i="1" s="1"/>
  <c r="X53" i="1" a="1"/>
  <c r="X53" i="1" s="1"/>
  <c r="X67" i="1" a="1"/>
  <c r="X67" i="1" s="1"/>
  <c r="X81" i="1" a="1"/>
  <c r="X81" i="1" s="1"/>
  <c r="X95" i="1" a="1"/>
  <c r="X95" i="1" s="1"/>
  <c r="X109" i="1" a="1"/>
  <c r="X109" i="1" s="1"/>
  <c r="X123" i="1" a="1"/>
  <c r="X123" i="1" s="1"/>
  <c r="X137" i="1" a="1"/>
  <c r="X137" i="1" s="1"/>
  <c r="X151" i="1" a="1"/>
  <c r="X151" i="1" s="1"/>
  <c r="X166" i="1" a="1"/>
  <c r="X166" i="1" s="1"/>
  <c r="X179" i="1" a="1"/>
  <c r="X179" i="1" s="1"/>
  <c r="X193" i="1" a="1"/>
  <c r="X193" i="1" s="1"/>
  <c r="X207" i="1" a="1"/>
  <c r="X207" i="1" s="1"/>
  <c r="X221" i="1" a="1"/>
  <c r="X221" i="1" s="1"/>
  <c r="X50" i="1" a="1"/>
  <c r="X50" i="1" s="1"/>
  <c r="X64" i="1" a="1"/>
  <c r="X64" i="1" s="1"/>
  <c r="X78" i="1" a="1"/>
  <c r="X78" i="1" s="1"/>
  <c r="X92" i="1" a="1"/>
  <c r="X92" i="1" s="1"/>
  <c r="X106" i="1" a="1"/>
  <c r="X106" i="1" s="1"/>
  <c r="X120" i="1" a="1"/>
  <c r="X120" i="1" s="1"/>
  <c r="X134" i="1" a="1"/>
  <c r="X134" i="1" s="1"/>
  <c r="X148" i="1" a="1"/>
  <c r="X148" i="1" s="1"/>
  <c r="X163" i="1" a="1"/>
  <c r="X163" i="1" s="1"/>
  <c r="X177" i="1" a="1"/>
  <c r="X177" i="1" s="1"/>
  <c r="X190" i="1" a="1"/>
  <c r="X190" i="1" s="1"/>
  <c r="X204" i="1" a="1"/>
  <c r="X204" i="1" s="1"/>
  <c r="X218" i="1" a="1"/>
  <c r="X218" i="1" s="1"/>
  <c r="X46" i="1" a="1"/>
  <c r="X46" i="1" s="1"/>
  <c r="X61" i="1" a="1"/>
  <c r="X61" i="1" s="1"/>
  <c r="X75" i="1" a="1"/>
  <c r="X75" i="1" s="1"/>
  <c r="X89" i="1" a="1"/>
  <c r="X89" i="1" s="1"/>
  <c r="X103" i="1" a="1"/>
  <c r="X103" i="1" s="1"/>
  <c r="X117" i="1" a="1"/>
  <c r="X117" i="1" s="1"/>
  <c r="X131" i="1" a="1"/>
  <c r="X131" i="1" s="1"/>
  <c r="X145" i="1" a="1"/>
  <c r="X145" i="1" s="1"/>
  <c r="X160" i="1" a="1"/>
  <c r="X160" i="1" s="1"/>
  <c r="X174" i="1" a="1"/>
  <c r="X174" i="1" s="1"/>
  <c r="X187" i="1" a="1"/>
  <c r="X187" i="1" s="1"/>
  <c r="X201" i="1" a="1"/>
  <c r="X201" i="1" s="1"/>
  <c r="X215" i="1" a="1"/>
  <c r="X215" i="1" s="1"/>
  <c r="X12" i="1" a="1"/>
  <c r="X12" i="1" s="1"/>
  <c r="X40" i="1" a="1"/>
  <c r="X40" i="1" s="1"/>
  <c r="X55" i="1" a="1"/>
  <c r="X55" i="1" s="1"/>
  <c r="X83" i="1" a="1"/>
  <c r="X83" i="1" s="1"/>
  <c r="X26" i="1" a="1"/>
  <c r="X26" i="1" s="1"/>
  <c r="X136" i="1" a="1"/>
  <c r="X136" i="1" s="1"/>
  <c r="X150" i="1" a="1"/>
  <c r="X150" i="1" s="1"/>
  <c r="X165" i="1" a="1"/>
  <c r="X165" i="1" s="1"/>
  <c r="X152" i="1" a="1"/>
  <c r="X152" i="1" s="1"/>
  <c r="X192" i="1" a="1"/>
  <c r="X192" i="1" s="1"/>
  <c r="X206" i="1" a="1"/>
  <c r="X206" i="1" s="1"/>
  <c r="X220" i="1" a="1"/>
  <c r="X220" i="1" s="1"/>
  <c r="X112" i="1" a="1"/>
  <c r="X112" i="1" s="1"/>
  <c r="X126" i="1" a="1"/>
  <c r="X126" i="1" s="1"/>
  <c r="X140" i="1" a="1"/>
  <c r="X140" i="1" s="1"/>
  <c r="X155" i="1" a="1"/>
  <c r="X155" i="1" s="1"/>
  <c r="X169" i="1" a="1"/>
  <c r="X169" i="1" s="1"/>
  <c r="X182" i="1" a="1"/>
  <c r="X182" i="1" s="1"/>
  <c r="X196" i="1" a="1"/>
  <c r="X196" i="1" s="1"/>
  <c r="X210" i="1" a="1"/>
  <c r="X210" i="1" s="1"/>
  <c r="X224" i="1" a="1"/>
  <c r="X224" i="1" s="1"/>
  <c r="X97" i="1" a="1"/>
  <c r="X97" i="1" s="1"/>
  <c r="X111" i="1" a="1"/>
  <c r="X111" i="1" s="1"/>
  <c r="X125" i="1" a="1"/>
  <c r="X125" i="1" s="1"/>
  <c r="X139" i="1" a="1"/>
  <c r="X139" i="1" s="1"/>
  <c r="X154" i="1" a="1"/>
  <c r="X154" i="1" s="1"/>
  <c r="X168" i="1" a="1"/>
  <c r="X168" i="1" s="1"/>
  <c r="X181" i="1" a="1"/>
  <c r="X181" i="1" s="1"/>
  <c r="X195" i="1" a="1"/>
  <c r="X195" i="1" s="1"/>
  <c r="X209" i="1" a="1"/>
  <c r="X209" i="1" s="1"/>
  <c r="X223" i="1" a="1"/>
  <c r="X223" i="1" s="1"/>
  <c r="X94" i="1" a="1"/>
  <c r="X94" i="1" s="1"/>
  <c r="X80" i="1" a="1"/>
  <c r="X80" i="1" s="1"/>
  <c r="X108" i="1" a="1"/>
  <c r="X108" i="1" s="1"/>
  <c r="X122" i="1" a="1"/>
  <c r="X122" i="1" s="1"/>
  <c r="X6" i="1" a="1"/>
  <c r="X6" i="1" s="1"/>
  <c r="X20" i="1" a="1"/>
  <c r="X20" i="1" s="1"/>
  <c r="X34" i="1" a="1"/>
  <c r="X34" i="1" s="1"/>
  <c r="X48" i="1" a="1"/>
  <c r="X48" i="1" s="1"/>
  <c r="X63" i="1" a="1"/>
  <c r="X63" i="1" s="1"/>
  <c r="X77" i="1" a="1"/>
  <c r="X77" i="1" s="1"/>
  <c r="X91" i="1" a="1"/>
  <c r="X91" i="1" s="1"/>
  <c r="X105" i="1" a="1"/>
  <c r="X105" i="1" s="1"/>
  <c r="X119" i="1" a="1"/>
  <c r="X119" i="1" s="1"/>
  <c r="X133" i="1" a="1"/>
  <c r="X133" i="1" s="1"/>
  <c r="X147" i="1" a="1"/>
  <c r="X147" i="1" s="1"/>
  <c r="X162" i="1" a="1"/>
  <c r="X162" i="1" s="1"/>
  <c r="X176" i="1" a="1"/>
  <c r="X176" i="1" s="1"/>
  <c r="X189" i="1" a="1"/>
  <c r="X189" i="1" s="1"/>
  <c r="X203" i="1" a="1"/>
  <c r="X203" i="1" s="1"/>
  <c r="X217" i="1" a="1"/>
  <c r="X217" i="1" s="1"/>
  <c r="X3" i="1" a="1"/>
  <c r="X3" i="1" s="1"/>
  <c r="X74" i="1" a="1"/>
  <c r="X74" i="1" s="1"/>
  <c r="X88" i="1" a="1"/>
  <c r="X88" i="1" s="1"/>
  <c r="X102" i="1" a="1"/>
  <c r="X102" i="1" s="1"/>
  <c r="X116" i="1" a="1"/>
  <c r="X116" i="1" s="1"/>
  <c r="X130" i="1" a="1"/>
  <c r="X130" i="1" s="1"/>
  <c r="X144" i="1" a="1"/>
  <c r="X144" i="1" s="1"/>
  <c r="X159" i="1" a="1"/>
  <c r="X159" i="1" s="1"/>
  <c r="X173" i="1" a="1"/>
  <c r="X173" i="1" s="1"/>
  <c r="X186" i="1" a="1"/>
  <c r="X186" i="1" s="1"/>
  <c r="X200" i="1" a="1"/>
  <c r="X200" i="1" s="1"/>
  <c r="X214" i="1" a="1"/>
  <c r="X214" i="1" s="1"/>
  <c r="X60" i="1" a="1"/>
  <c r="X60" i="1" s="1"/>
  <c r="X14" i="1" a="1"/>
  <c r="X14" i="1" s="1"/>
  <c r="X28" i="1" a="1"/>
  <c r="X28" i="1" s="1"/>
  <c r="X42" i="1" a="1"/>
  <c r="X42" i="1" s="1"/>
  <c r="X57" i="1" a="1"/>
  <c r="X57" i="1" s="1"/>
  <c r="X71" i="1" a="1"/>
  <c r="X71" i="1" s="1"/>
  <c r="X99" i="1" a="1"/>
  <c r="X99" i="1" s="1"/>
  <c r="X113" i="1" a="1"/>
  <c r="X113" i="1" s="1"/>
  <c r="X127" i="1" a="1"/>
  <c r="X127" i="1" s="1"/>
  <c r="X141" i="1" a="1"/>
  <c r="X141" i="1" s="1"/>
  <c r="X156" i="1" a="1"/>
  <c r="X156" i="1" s="1"/>
  <c r="X170" i="1" a="1"/>
  <c r="X170" i="1" s="1"/>
  <c r="X183" i="1" a="1"/>
  <c r="X183" i="1" s="1"/>
  <c r="X197" i="1" a="1"/>
  <c r="X197" i="1" s="1"/>
  <c r="X211" i="1" a="1"/>
  <c r="X211" i="1" s="1"/>
  <c r="X52" i="1" a="1"/>
  <c r="X52" i="1" s="1"/>
  <c r="X25" i="1" a="1"/>
  <c r="X25" i="1" s="1"/>
  <c r="X39" i="1" a="1"/>
  <c r="X39" i="1" s="1"/>
  <c r="X54" i="1" a="1"/>
  <c r="X54" i="1" s="1"/>
  <c r="X68" i="1" a="1"/>
  <c r="X68" i="1" s="1"/>
  <c r="X82" i="1" a="1"/>
  <c r="X82" i="1" s="1"/>
  <c r="X96" i="1" a="1"/>
  <c r="X96" i="1" s="1"/>
  <c r="X110" i="1" a="1"/>
  <c r="X110" i="1" s="1"/>
  <c r="X124" i="1" a="1"/>
  <c r="X124" i="1" s="1"/>
  <c r="X138" i="1" a="1"/>
  <c r="X138" i="1" s="1"/>
  <c r="X153" i="1" a="1"/>
  <c r="X153" i="1" s="1"/>
  <c r="X167" i="1" a="1"/>
  <c r="X167" i="1" s="1"/>
  <c r="X180" i="1" a="1"/>
  <c r="X180" i="1" s="1"/>
  <c r="X194" i="1" a="1"/>
  <c r="X194" i="1" s="1"/>
  <c r="X208" i="1" a="1"/>
  <c r="X208" i="1" s="1"/>
  <c r="X222" i="1" a="1"/>
  <c r="X222" i="1" s="1"/>
  <c r="X23" i="1" a="1"/>
  <c r="X23" i="1" s="1"/>
  <c r="X31" i="1" a="1"/>
  <c r="X31" i="1" s="1"/>
  <c r="X11" i="1" a="1"/>
  <c r="X11" i="1" s="1"/>
  <c r="X22" i="1" a="1"/>
  <c r="X22" i="1" s="1"/>
  <c r="X36" i="1" a="1"/>
  <c r="X36" i="1" s="1"/>
  <c r="X51" i="1" a="1"/>
  <c r="X51" i="1" s="1"/>
  <c r="X65" i="1" a="1"/>
  <c r="X65" i="1" s="1"/>
  <c r="X79" i="1" a="1"/>
  <c r="X79" i="1" s="1"/>
  <c r="X93" i="1" a="1"/>
  <c r="X93" i="1" s="1"/>
  <c r="X107" i="1" a="1"/>
  <c r="X107" i="1" s="1"/>
  <c r="X121" i="1" a="1"/>
  <c r="X121" i="1" s="1"/>
  <c r="X135" i="1" a="1"/>
  <c r="X135" i="1" s="1"/>
  <c r="X149" i="1" a="1"/>
  <c r="X149" i="1" s="1"/>
  <c r="X164" i="1" a="1"/>
  <c r="X164" i="1" s="1"/>
  <c r="X178" i="1" a="1"/>
  <c r="X178" i="1" s="1"/>
  <c r="X191" i="1" a="1"/>
  <c r="X191" i="1" s="1"/>
  <c r="X205" i="1" a="1"/>
  <c r="X205" i="1" s="1"/>
  <c r="X219" i="1" a="1"/>
  <c r="X219" i="1" s="1"/>
  <c r="X17" i="1" a="1"/>
  <c r="X17" i="1" s="1"/>
  <c r="X8" i="1" a="1"/>
  <c r="X8" i="1" s="1"/>
  <c r="X5" i="1" a="1"/>
  <c r="X5" i="1" s="1"/>
  <c r="X19" i="1" a="1"/>
  <c r="X19" i="1" s="1"/>
  <c r="X33" i="1" a="1"/>
  <c r="X33" i="1" s="1"/>
  <c r="X47" i="1" a="1"/>
  <c r="X47" i="1" s="1"/>
  <c r="X62" i="1" a="1"/>
  <c r="X62" i="1" s="1"/>
  <c r="X76" i="1" a="1"/>
  <c r="X76" i="1" s="1"/>
  <c r="X90" i="1" a="1"/>
  <c r="X90" i="1" s="1"/>
  <c r="X104" i="1" a="1"/>
  <c r="X104" i="1" s="1"/>
  <c r="X118" i="1" a="1"/>
  <c r="X118" i="1" s="1"/>
  <c r="X132" i="1" a="1"/>
  <c r="X132" i="1" s="1"/>
  <c r="X146" i="1" a="1"/>
  <c r="X146" i="1" s="1"/>
  <c r="X161" i="1" a="1"/>
  <c r="X161" i="1" s="1"/>
  <c r="X175" i="1" a="1"/>
  <c r="X175" i="1" s="1"/>
  <c r="X188" i="1" a="1"/>
  <c r="X188" i="1" s="1"/>
  <c r="X202" i="1" a="1"/>
  <c r="X202" i="1" s="1"/>
  <c r="X216" i="1" a="1"/>
  <c r="X216" i="1" s="1"/>
  <c r="X9" i="1" a="1"/>
  <c r="X9" i="1" s="1"/>
  <c r="X37" i="1" a="1"/>
  <c r="X37" i="1" s="1"/>
  <c r="X66" i="1" a="1"/>
  <c r="X66" i="1" s="1"/>
  <c r="X45" i="1" a="1"/>
  <c r="X45" i="1" s="1"/>
  <c r="X2" i="1" a="1"/>
  <c r="X2" i="1" s="1"/>
  <c r="X16" i="1" a="1"/>
  <c r="X16" i="1" s="1"/>
  <c r="X30" i="1" a="1"/>
  <c r="X30" i="1" s="1"/>
  <c r="X44" i="1" a="1"/>
  <c r="X44" i="1" s="1"/>
  <c r="X59" i="1" a="1"/>
  <c r="X59" i="1" s="1"/>
  <c r="X73" i="1" a="1"/>
  <c r="X73" i="1" s="1"/>
  <c r="X87" i="1" a="1"/>
  <c r="X87" i="1" s="1"/>
  <c r="X101" i="1" a="1"/>
  <c r="X101" i="1" s="1"/>
  <c r="X115" i="1" a="1"/>
  <c r="X115" i="1" s="1"/>
  <c r="X129" i="1" a="1"/>
  <c r="X129" i="1" s="1"/>
  <c r="X143" i="1" a="1"/>
  <c r="X143" i="1" s="1"/>
  <c r="X158" i="1" a="1"/>
  <c r="X158" i="1" s="1"/>
  <c r="X172" i="1" a="1"/>
  <c r="X172" i="1" s="1"/>
  <c r="X185" i="1" a="1"/>
  <c r="X185" i="1" s="1"/>
  <c r="X199" i="1" a="1"/>
  <c r="X199" i="1" s="1"/>
  <c r="X213" i="1" a="1"/>
  <c r="X213"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Sales</author>
  </authors>
  <commentList>
    <comment ref="N58" authorId="0" shapeId="0" xr:uid="{374D464C-BC33-46BE-B16F-DF62C8877D90}">
      <text>
        <r>
          <rPr>
            <b/>
            <sz val="9"/>
            <color indexed="81"/>
            <rFont val="Tahoma"/>
            <family val="2"/>
          </rPr>
          <t>To be modified if Claire confirm correct sales code</t>
        </r>
      </text>
    </comment>
    <comment ref="N59" authorId="0" shapeId="0" xr:uid="{1812DCD0-3A9C-4C72-A684-E7998973B6A4}">
      <text>
        <r>
          <rPr>
            <b/>
            <sz val="9"/>
            <color indexed="81"/>
            <rFont val="Tahoma"/>
            <family val="2"/>
          </rPr>
          <t>To be modified if Claire confirm correct sales code</t>
        </r>
      </text>
    </comment>
    <comment ref="N61" authorId="0" shapeId="0" xr:uid="{AB476A4F-46B2-4264-A9CF-B72811641B52}">
      <text>
        <r>
          <rPr>
            <b/>
            <sz val="9"/>
            <color indexed="81"/>
            <rFont val="Tahoma"/>
            <family val="2"/>
          </rPr>
          <t>To be modified if Claire confirm correct sales code</t>
        </r>
      </text>
    </comment>
    <comment ref="N70" authorId="0" shapeId="0" xr:uid="{8B725123-1546-4BBC-BD60-F0DC21546AFF}">
      <text>
        <r>
          <rPr>
            <b/>
            <sz val="9"/>
            <color indexed="81"/>
            <rFont val="Tahoma"/>
            <family val="2"/>
          </rPr>
          <t xml:space="preserve">Prices now amended and ok
</t>
        </r>
      </text>
    </comment>
    <comment ref="F71" authorId="0" shapeId="0" xr:uid="{B767891C-70F4-40E8-99B9-B5BA52402BCB}">
      <text>
        <r>
          <rPr>
            <b/>
            <sz val="9"/>
            <color indexed="81"/>
            <rFont val="Tahoma"/>
            <family val="2"/>
          </rPr>
          <t>Sales code TOC by claire</t>
        </r>
      </text>
    </comment>
    <comment ref="F72" authorId="0" shapeId="0" xr:uid="{F1F07D64-4224-484A-A2DE-273FCF8F31A1}">
      <text>
        <r>
          <rPr>
            <b/>
            <sz val="9"/>
            <color indexed="81"/>
            <rFont val="Tahoma"/>
            <family val="2"/>
          </rPr>
          <t>Sales code TOC by claire</t>
        </r>
      </text>
    </comment>
    <comment ref="F84" authorId="0" shapeId="0" xr:uid="{A876CE09-961C-41FE-892D-DCBBE9471C76}">
      <text>
        <r>
          <rPr>
            <b/>
            <sz val="9"/>
            <color indexed="81"/>
            <rFont val="Tahoma"/>
            <family val="2"/>
          </rPr>
          <t>Sales code TBC by Claire</t>
        </r>
      </text>
    </comment>
    <comment ref="N84" authorId="0" shapeId="0" xr:uid="{1D09A34E-3A89-4B7E-B2A8-1C390872FB48}">
      <text>
        <r>
          <rPr>
            <b/>
            <sz val="9"/>
            <color indexed="81"/>
            <rFont val="Tahoma"/>
            <family val="2"/>
          </rPr>
          <t>No idea about the prices.</t>
        </r>
      </text>
    </comment>
    <comment ref="F85" authorId="0" shapeId="0" xr:uid="{A34249A5-CEFC-4F0D-8440-A1EED0B5BB00}">
      <text>
        <r>
          <rPr>
            <b/>
            <sz val="9"/>
            <color indexed="81"/>
            <rFont val="Tahoma"/>
            <family val="2"/>
          </rPr>
          <t>Sales code TBC by Claire</t>
        </r>
        <r>
          <rPr>
            <sz val="9"/>
            <color indexed="81"/>
            <rFont val="Tahoma"/>
            <family val="2"/>
          </rPr>
          <t xml:space="preserv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<sst xmlns="http://schemas.openxmlformats.org/spreadsheetml/2006/main" count="9468" uniqueCount="1668">
  <si>
    <t>Product ID</t>
  </si>
  <si>
    <t>SKU</t>
  </si>
  <si>
    <t>Old SKU</t>
  </si>
  <si>
    <t>Ancillary</t>
  </si>
  <si>
    <t>Size</t>
  </si>
  <si>
    <t>Page Type</t>
  </si>
  <si>
    <t>Paper Type</t>
  </si>
  <si>
    <t>Sales Code?</t>
  </si>
  <si>
    <t>2982: B2B Users Regular Price</t>
  </si>
  <si>
    <t>2982: B2B Users Sale Price</t>
  </si>
  <si>
    <t>2982: B2B Users Tiered Price</t>
  </si>
  <si>
    <t>Notes</t>
  </si>
  <si>
    <t>CL-BK-U-31</t>
  </si>
  <si>
    <t>Notebook</t>
  </si>
  <si>
    <t>A5</t>
  </si>
  <si>
    <t>CLU31</t>
  </si>
  <si>
    <t>1:16.23;10:14.81;25:9.76;50:8.10;100:6.77;250:5.62;500:4.82;750:4.71;1000:4.32;</t>
  </si>
  <si>
    <t>HZ-BK/BK-U-095</t>
  </si>
  <si>
    <t>Diary</t>
  </si>
  <si>
    <t>Pocket</t>
  </si>
  <si>
    <t>Week to View</t>
  </si>
  <si>
    <t>HZ96U</t>
  </si>
  <si>
    <t>1:9.74;10:9.33;25:5.30;50:3.77;100:3.28;250:3.07;500:2.95;750:2.77;1000:2.63;</t>
  </si>
  <si>
    <t>HZ-BK/GY-U-095</t>
  </si>
  <si>
    <t>HZ-BK/RD-U-095</t>
  </si>
  <si>
    <t>HZ-BK/YE-U-095</t>
  </si>
  <si>
    <t>HZ-GN/GN-U-095</t>
  </si>
  <si>
    <t>HZ-BK/RB-U-095</t>
  </si>
  <si>
    <t>NB-BK/AQ-U-096</t>
  </si>
  <si>
    <t>NB96U</t>
  </si>
  <si>
    <t>NB-BK/OR-U-096</t>
  </si>
  <si>
    <t>NB-BK/PU-U-096</t>
  </si>
  <si>
    <t>NB-BK/RD-U-096</t>
  </si>
  <si>
    <t>NB-BK/RB-U-096</t>
  </si>
  <si>
    <t>NF-AQ-U-095</t>
  </si>
  <si>
    <t>NF95U</t>
  </si>
  <si>
    <t>1:9.09;10:8.71;25:5.20;50:4.33;100:3.60;250:2.98;500:2.61;750:2.50;1000:2.31;</t>
  </si>
  <si>
    <t>NF-BK-U-095</t>
  </si>
  <si>
    <t>NF-BL-U-095</t>
  </si>
  <si>
    <t>NF-BG-U-095</t>
  </si>
  <si>
    <t>CL-BL-U-71</t>
  </si>
  <si>
    <t>Day Per Page</t>
  </si>
  <si>
    <t>CL71U</t>
  </si>
  <si>
    <t>1:19.98;10:19.06;25:15.93;50:11.89;100:10.70;250:10.01;500:9.56;750:9.13;1000:8.54;</t>
  </si>
  <si>
    <t>HZ-BK/BK-P-071</t>
  </si>
  <si>
    <t>HZ76P</t>
  </si>
  <si>
    <t>1:15.44;10:14.78;25:10.01;50:8.94;100:8.47;250:8.09;500:7.44;750:7.15;1000:6.70;</t>
  </si>
  <si>
    <t>HZ-BK/GY-P-071</t>
  </si>
  <si>
    <t>HZ-BK/RD-P-071</t>
  </si>
  <si>
    <t>HZ-BK/YE-P-071</t>
  </si>
  <si>
    <t>HZ-GN/GN-P-071</t>
  </si>
  <si>
    <t>NF-BK-U-071</t>
  </si>
  <si>
    <t>NF71U</t>
  </si>
  <si>
    <t>1:16.98;10:16.23;25:12.35;50:9.38;100:8.62;250:7.78;500:6.70;750:6.33;1000:5.76;</t>
  </si>
  <si>
    <t>NF-BL-U-071</t>
  </si>
  <si>
    <t>NF-GN-U-071</t>
  </si>
  <si>
    <t>NF-GY-U-071</t>
  </si>
  <si>
    <t>NF-RD-U-071</t>
  </si>
  <si>
    <t>NF-TN-U-071</t>
  </si>
  <si>
    <t>NF-BK-U-073</t>
  </si>
  <si>
    <t>NF73U</t>
  </si>
  <si>
    <t>1:13.61;10:13.04;25:7.28;50:6.18;100:5.74;250:5.54;500:5.15;750:4.96;1000:4.66;</t>
  </si>
  <si>
    <t>NF-BL-U-073</t>
  </si>
  <si>
    <t>NF-GN-U-073</t>
  </si>
  <si>
    <t>NF-GY-U-073</t>
  </si>
  <si>
    <t>NF-RD-U-073</t>
  </si>
  <si>
    <t>SH-BK-U-076</t>
  </si>
  <si>
    <t>SH76U</t>
  </si>
  <si>
    <t>1:14.69;10:13.74;25:9.54;50:8.47;100:8.26;250:7.54;500:7.00;750:6.74;1000:6.31;</t>
  </si>
  <si>
    <t>SH-BG-U-076</t>
  </si>
  <si>
    <t>SH-DB-U-076</t>
  </si>
  <si>
    <t>SH-GN-U-076</t>
  </si>
  <si>
    <t>SG-BK-F-071</t>
  </si>
  <si>
    <t>SG71F</t>
  </si>
  <si>
    <t>1:12.67;10:12.16;25:6.90;50:5.98;100:5.35;250:4.83;500:4.48;750:4.24;1000:3.91;</t>
  </si>
  <si>
    <t>SG-BL-F-071</t>
  </si>
  <si>
    <t>SG-GY-F-071</t>
  </si>
  <si>
    <t>SG-RD-F-071</t>
  </si>
  <si>
    <t>SG-RB-F-071</t>
  </si>
  <si>
    <t>SG-BK-P-073</t>
  </si>
  <si>
    <t>SG73P</t>
  </si>
  <si>
    <t>1:12.11;10:11.63;25:5.36;50:4.25;100:3.74;250:3.47;500:3.30;750:3.27;1000:3.07;</t>
  </si>
  <si>
    <t>SG-BL-P-073</t>
  </si>
  <si>
    <t>SG-GY-P-073</t>
  </si>
  <si>
    <t>SG-RD-P-073</t>
  </si>
  <si>
    <t>SG-RB-P-073</t>
  </si>
  <si>
    <t>FG-BK-F-071</t>
  </si>
  <si>
    <t>White</t>
  </si>
  <si>
    <t>FG76P-D</t>
  </si>
  <si>
    <t>1:14.47;10:13.86;25:8.70;50:6.74;100:5.99;250:5.68;500:4.73;750:4.52;1000:4.26;</t>
  </si>
  <si>
    <t>FG-BK-P-076</t>
  </si>
  <si>
    <t>Cream</t>
  </si>
  <si>
    <t>FG-BL-F-071</t>
  </si>
  <si>
    <t>FG-BL-P-076</t>
  </si>
  <si>
    <t>FG-BG-F-071</t>
  </si>
  <si>
    <t>FG-BG-P-076</t>
  </si>
  <si>
    <t>FG-DB-F-071</t>
  </si>
  <si>
    <t>FG-DB-P-076</t>
  </si>
  <si>
    <t>FG-GN-P-076</t>
  </si>
  <si>
    <t>FG-GN-F-071</t>
  </si>
  <si>
    <t>FG-PU-F-071</t>
  </si>
  <si>
    <t>FG-PU-P-076</t>
  </si>
  <si>
    <t>FG-RD-F-071</t>
  </si>
  <si>
    <t>FG-RD-P-076</t>
  </si>
  <si>
    <t>FG-BK-P-073</t>
  </si>
  <si>
    <t>FG73P</t>
  </si>
  <si>
    <t>FG-BL-P-073</t>
  </si>
  <si>
    <t>FG-BG-P-073</t>
  </si>
  <si>
    <t>FG-GN-P-073</t>
  </si>
  <si>
    <t>FG-PU-P-073</t>
  </si>
  <si>
    <t>FG-RD-P-073</t>
  </si>
  <si>
    <t>CX-44-P-071</t>
  </si>
  <si>
    <t>CXF71</t>
  </si>
  <si>
    <t>1:19.98;10:19.06;25:12.74;50:9.64;100:8.36;250:7.55;500:5.68;750:5.44;1000:5.30;</t>
  </si>
  <si>
    <t>CX-44-P-073</t>
  </si>
  <si>
    <t>CXP73</t>
  </si>
  <si>
    <t>CL-BK-U-83</t>
  </si>
  <si>
    <t>Quarto</t>
  </si>
  <si>
    <t>1:24.33;10:23.21;25:19.35;50:15.29;100:13.03;250:12.21;500:11.74;750:11.14;1000:10.37;</t>
  </si>
  <si>
    <t>CL-BL-U-83</t>
  </si>
  <si>
    <t>NB-BK/RD-P-084</t>
  </si>
  <si>
    <t>NF83U</t>
  </si>
  <si>
    <t>1:15.67;10:15.02;25:10.90;50:9.74;100:9.05;250:8.39;500:8.06;750:7.70;1000:7.25;</t>
  </si>
  <si>
    <t>NB-BK/AQ-P-084</t>
  </si>
  <si>
    <t>NB-BK/OR-P-084</t>
  </si>
  <si>
    <t>NB-BK/PU-P-084</t>
  </si>
  <si>
    <t>NB-BL/RB-P-084</t>
  </si>
  <si>
    <t>HZ-BK/RB-P-084</t>
  </si>
  <si>
    <t>HZ84P</t>
  </si>
  <si>
    <t>1:16.79;10:16.09;25:11.80;50:10.67;100:9.71;250:9.64;500:8.50;750:7.95;1000:7.36;</t>
  </si>
  <si>
    <t>HZ-BK/BK-P-084</t>
  </si>
  <si>
    <t>HZ-GN/GN-P-084</t>
  </si>
  <si>
    <t>HZ-BK/YE-P-084</t>
  </si>
  <si>
    <t>HZ-BK/GY-P-083</t>
  </si>
  <si>
    <t>HZ-BK/RD-P-083</t>
  </si>
  <si>
    <t>CX-44-P-082</t>
  </si>
  <si>
    <t>1:22.08;10:21.08;25:13.90;50:10.69;100:9.32;250:6.49;500:6.24;750:6.04;1000:5.81;</t>
  </si>
  <si>
    <t>CX-44-P-083</t>
  </si>
  <si>
    <t>SH-BK-U-084</t>
  </si>
  <si>
    <t>SH84U</t>
  </si>
  <si>
    <t>1:15.67;10:15.02;25:11.12;50:9.81;100:9.48;250:8.65;500:8.23;750:7.84;1000:7.37;</t>
  </si>
  <si>
    <t>SH-BG-U-084</t>
  </si>
  <si>
    <t>SH-BL-U-084</t>
  </si>
  <si>
    <t>SH-GN-U-084</t>
  </si>
  <si>
    <t>FG-BK-P-083</t>
  </si>
  <si>
    <t>SG83P</t>
  </si>
  <si>
    <t>1:14.77;10:14.17;25:8.07;50:7.24;100:6.11;250:5.68;500:5.41;750:5.19;1000:4.90;</t>
  </si>
  <si>
    <t>FG-BK-P-084</t>
  </si>
  <si>
    <t>FG84P-D</t>
  </si>
  <si>
    <t>1:17.21;10:16.48;25:10.84;50:7.78;100:6.78;250:6.26;500:5.82;750:5.51;1000:5.29;</t>
  </si>
  <si>
    <t xml:space="preserve">CL-BK-U-65 </t>
  </si>
  <si>
    <t>A4</t>
  </si>
  <si>
    <t>CL65U</t>
  </si>
  <si>
    <t>1:32.28;10:30.78;25:25.68;50:23.88;100:20.76;250:19.14;500:17.61;750:16.08;1000:8.58;</t>
  </si>
  <si>
    <t>CL-BL-U-65</t>
  </si>
  <si>
    <t>SG-BK-F-065</t>
  </si>
  <si>
    <t>SG65F</t>
  </si>
  <si>
    <t>1:18.48;10:17.75;25:13.19;50:9.89;100:9.22;250:8.35;500:7.67;750:7.28;1000:6.97;</t>
  </si>
  <si>
    <t>SG-BL-F-065</t>
  </si>
  <si>
    <t>SG-GY-F-065</t>
  </si>
  <si>
    <t>SG-LB-F-065</t>
  </si>
  <si>
    <t>SG-LP-F-065</t>
  </si>
  <si>
    <t>SG-LM-F-065</t>
  </si>
  <si>
    <t>SG-OR-F-065</t>
  </si>
  <si>
    <t>SG-RD-F-065</t>
  </si>
  <si>
    <t>FG-BK-F-065</t>
  </si>
  <si>
    <t>FG65F</t>
  </si>
  <si>
    <t>FG-BL-F-065</t>
  </si>
  <si>
    <t>FG-BG-F-065</t>
  </si>
  <si>
    <t>FG-GN-F-065</t>
  </si>
  <si>
    <t>FG-PU-F-065</t>
  </si>
  <si>
    <t>NH-BK-U-31-E-P</t>
  </si>
  <si>
    <t>NHU31EP</t>
  </si>
  <si>
    <t>1:9.86;10:9.15;25:5.51;50:4.56;100:3.86;250:3.24;500:2.80;750:2.76;1000:2.55;</t>
  </si>
  <si>
    <t>NH-CA-U-31-E-P</t>
  </si>
  <si>
    <t>NH-GY-U-31-E-P</t>
  </si>
  <si>
    <t>NH-OR-U-31-E-P</t>
  </si>
  <si>
    <t>NH-PK-U-31-E-P</t>
  </si>
  <si>
    <t>NH-PU-U-31-E-P</t>
  </si>
  <si>
    <t>NH-RD-U-31-E-P</t>
  </si>
  <si>
    <t>NH-RB-U-31-E-P</t>
  </si>
  <si>
    <t>NH-VI-U-31-E-P</t>
  </si>
  <si>
    <t>NH-YE-U-31-E-P</t>
  </si>
  <si>
    <t>SH-BK-U-32-EP</t>
  </si>
  <si>
    <t>SH32EP</t>
  </si>
  <si>
    <t>1:10.19;10:9.45;25:5.74;50:4.75;100:4.02;250:3.37;500:2.91;750:2.86;1000:2.64;</t>
  </si>
  <si>
    <t>SH-BG-U-32-EP</t>
  </si>
  <si>
    <t>SH-GN-U-32-EP</t>
  </si>
  <si>
    <t>SG-BK-F-31-E-P</t>
  </si>
  <si>
    <t>SGF31EP</t>
  </si>
  <si>
    <t>1:8.92;10:8.31;25:4.89;50:4.04;100:3.44;250:2.89;500:2.50;750:2.47;1000:2.29;</t>
  </si>
  <si>
    <t>SG-BL-F-31-E-P</t>
  </si>
  <si>
    <t>SG-LB-F-31-E-P</t>
  </si>
  <si>
    <t>SG-LM-F-31-E-P</t>
  </si>
  <si>
    <t>SG-PW-F-31-E-P</t>
  </si>
  <si>
    <t>SG-RD-F-31-E-P</t>
  </si>
  <si>
    <t>SG-RB-F-31-E-P</t>
  </si>
  <si>
    <t>SG-WH-F-31-E-P</t>
  </si>
  <si>
    <t>FG-BK-U-31-E-P</t>
  </si>
  <si>
    <t>FG-DB-U-31-E-P</t>
  </si>
  <si>
    <t>FG-GN-U-31-E-P</t>
  </si>
  <si>
    <t>FG-PU-U-31-E-P</t>
  </si>
  <si>
    <t>FG-RD-U-31-E-P</t>
  </si>
  <si>
    <t>AJ-BK-U-31</t>
  </si>
  <si>
    <t>AJ31</t>
  </si>
  <si>
    <t>1:17.36;10:15.81;25:10.51;50:8.73;100:7.28;250:6.03;500:5.17;750:5.05;1000:4.63;</t>
  </si>
  <si>
    <t>AJ-GN-U-31</t>
  </si>
  <si>
    <t>AJ-LB-U-31</t>
  </si>
  <si>
    <t>AJ-RD-U-31</t>
  </si>
  <si>
    <t>AJ-TN-U-31</t>
  </si>
  <si>
    <t>OC-BS-U-31</t>
  </si>
  <si>
    <t>OC-31</t>
  </si>
  <si>
    <t>1:18.11;10:16.48;25:11.01;50:9.15;100:7.62;250:6.31;500:5.41;750:5.28;1000:4.84;</t>
  </si>
  <si>
    <t>OC-GY-U-31</t>
  </si>
  <si>
    <t>OC-LB-U-31</t>
  </si>
  <si>
    <t>OC-SR-U-31</t>
  </si>
  <si>
    <t>OC-SG-U-31</t>
  </si>
  <si>
    <t>CL-BL-U-31</t>
  </si>
  <si>
    <t>FG-RD-F-065</t>
  </si>
  <si>
    <t>NH-BK-40003</t>
  </si>
  <si>
    <t>Card Holder</t>
  </si>
  <si>
    <t>76 mm x 104 mm</t>
  </si>
  <si>
    <t>NH003</t>
  </si>
  <si>
    <t>1:6.41;10:5.95;25:3.47;50:2.89;100:2.42;250:2.02;500:1.79;750:1.71;1000:1.60;</t>
  </si>
  <si>
    <t>NH-TN-40003</t>
  </si>
  <si>
    <t>NH-RD-40003</t>
  </si>
  <si>
    <t>NH-OR-40003</t>
  </si>
  <si>
    <t>NH-GY-40003</t>
  </si>
  <si>
    <t>NH-CC-40003</t>
  </si>
  <si>
    <t>NH-BL-40003</t>
  </si>
  <si>
    <t>NF-GN-U-095</t>
  </si>
  <si>
    <t>NF-GY-U-095</t>
  </si>
  <si>
    <t>NF-OR-U-095</t>
  </si>
  <si>
    <t>NF-PU-U-095</t>
  </si>
  <si>
    <t>NF-RD-U-095</t>
  </si>
  <si>
    <t>NF-RB-U-095</t>
  </si>
  <si>
    <t>NF-TN-U-095</t>
  </si>
  <si>
    <t>NF-VI-U-095</t>
  </si>
  <si>
    <t>NF-YE-U-095</t>
  </si>
  <si>
    <t>SH-BK-U-096</t>
  </si>
  <si>
    <t>SH96U</t>
  </si>
  <si>
    <t>1:9.41;10:9.01;25:5.03;50:3.68;100:3.18;250:2.99;500:2.83;750:2.68;1000:2.57;</t>
  </si>
  <si>
    <t>SH-DB-U-096</t>
  </si>
  <si>
    <t>SH-BG-U-096</t>
  </si>
  <si>
    <t>SH-GN-U-096</t>
  </si>
  <si>
    <t>SH-RD-U-096</t>
  </si>
  <si>
    <t>SG-BK-F-095</t>
  </si>
  <si>
    <t>SG95F</t>
  </si>
  <si>
    <t>1:8.24;10:7.91;25:3.74;50:3.32;100:2.83;250:2.33;500:2.05;750:1.93;1000:1.89;</t>
  </si>
  <si>
    <t>SG-BL-F-095</t>
  </si>
  <si>
    <t>SG-GY-F-095</t>
  </si>
  <si>
    <t>SG-RD-F-095</t>
  </si>
  <si>
    <t>SG-RB-F-095</t>
  </si>
  <si>
    <t>FG-BK-U-095</t>
  </si>
  <si>
    <t>FG95U</t>
  </si>
  <si>
    <t>FG-BL-U-095</t>
  </si>
  <si>
    <t>FG-BG-U-095</t>
  </si>
  <si>
    <t>FG-GN-U-095</t>
  </si>
  <si>
    <t>FG-PU-U-095</t>
  </si>
  <si>
    <t>FG-RD-U-095</t>
  </si>
  <si>
    <t>FG-DB-U-095</t>
  </si>
  <si>
    <t>NH-AQ-40003</t>
  </si>
  <si>
    <t>CL-BL-10003</t>
  </si>
  <si>
    <t>CL003</t>
  </si>
  <si>
    <t>1:7.49;10:6.91;25:4.20;50:3.50;100:2.91;250:2.42;500:2.13;750:2.04;1000:1.90;</t>
  </si>
  <si>
    <t>CL-BK-10003</t>
  </si>
  <si>
    <t>CL-BG-10003</t>
  </si>
  <si>
    <t>CL-GN-10003</t>
  </si>
  <si>
    <t>CL-RD-10003</t>
  </si>
  <si>
    <t>CL-BK-10018</t>
  </si>
  <si>
    <t>Slim</t>
  </si>
  <si>
    <t>CL018</t>
  </si>
  <si>
    <t>CL-BL-10018</t>
  </si>
  <si>
    <t>CL-GN-10018</t>
  </si>
  <si>
    <t>SH-RD-40003</t>
  </si>
  <si>
    <t>SH003</t>
  </si>
  <si>
    <t>SH-GN-40003</t>
  </si>
  <si>
    <t>SH-BL-40003</t>
  </si>
  <si>
    <t>WH-BK-10003</t>
  </si>
  <si>
    <t>WH003</t>
  </si>
  <si>
    <t>WH-NV-10003</t>
  </si>
  <si>
    <t>NH-BK-10024</t>
  </si>
  <si>
    <t>Wallet</t>
  </si>
  <si>
    <t>Passport</t>
  </si>
  <si>
    <t>NH024</t>
  </si>
  <si>
    <t>1:13.14;10:12.11;25:8.10;50:6.75;100:5.58;250:4.60;500:3.98;750:3.83;1000:3.52;</t>
  </si>
  <si>
    <t>NH-BL-10024</t>
  </si>
  <si>
    <t>NH-OR-10024</t>
  </si>
  <si>
    <t>NH-PK-10024</t>
  </si>
  <si>
    <t>NH-RD-10024</t>
  </si>
  <si>
    <t>NH-TN-10024</t>
  </si>
  <si>
    <t>WH-BL-10224</t>
  </si>
  <si>
    <t>Luggage Tag</t>
  </si>
  <si>
    <t>120 mm x 72 mm</t>
  </si>
  <si>
    <t>WH224</t>
  </si>
  <si>
    <t>WH-NV-10224</t>
  </si>
  <si>
    <t>CL-BK-10224</t>
  </si>
  <si>
    <t>CL224</t>
  </si>
  <si>
    <t>1:9.74;10:8.91;25:5.70;50:4.75;100:3.94;250:3.26;500:2.84;750:2.73;1000:2.52;</t>
  </si>
  <si>
    <t>CL-NV-10224</t>
  </si>
  <si>
    <t>CL-RD-10224</t>
  </si>
  <si>
    <t>NH-TN-46060</t>
  </si>
  <si>
    <t>110mm x 62mm</t>
  </si>
  <si>
    <t>NH060</t>
  </si>
  <si>
    <t>1:8.66;10:7.95;25:4.97;50:4.14;100:3.44;250:2.85;500:2.50;750:2.40;1000:2.22;</t>
  </si>
  <si>
    <t>NH-RD-46060</t>
  </si>
  <si>
    <t>NH-PK-46060</t>
  </si>
  <si>
    <t>NH-OR-46060</t>
  </si>
  <si>
    <t>NH-BL-46060</t>
  </si>
  <si>
    <t>NH-BK-46060</t>
  </si>
  <si>
    <t>NH-PK-U-224</t>
  </si>
  <si>
    <t>NH224</t>
  </si>
  <si>
    <t>1:8.24;10:7.58;25:4.70;50:3.91;100:3.26;250:2.70;500:2.37;750:2.27;1000:2.11;</t>
  </si>
  <si>
    <t>NH-AQ-U-224</t>
  </si>
  <si>
    <t>NH-OR-U-224</t>
  </si>
  <si>
    <t>NH-RD-U-224</t>
  </si>
  <si>
    <t>NH-TN-U-224</t>
  </si>
  <si>
    <t>NH-BL-U-224</t>
  </si>
  <si>
    <t>NH-BK-U-224</t>
  </si>
  <si>
    <t>NH-TN-46319</t>
  </si>
  <si>
    <t>Key Fob</t>
  </si>
  <si>
    <t>80 mm x 36 mm</t>
  </si>
  <si>
    <t>NH319</t>
  </si>
  <si>
    <t>1:4.49;10:4.25;25:2.20;50:1.83;100:1.55;250:1.30;500:1.18;750:1.13;1000:1.06;</t>
  </si>
  <si>
    <t>NH-RD-46319</t>
  </si>
  <si>
    <t>NH-BK-46319</t>
  </si>
  <si>
    <t>NH-RB-46319</t>
  </si>
  <si>
    <t>NH-AQ-46319</t>
  </si>
  <si>
    <t>NH-AQ-U-320</t>
  </si>
  <si>
    <t>90 mm x 27 mm</t>
  </si>
  <si>
    <t>NH320</t>
  </si>
  <si>
    <t>NH-PK-U-320</t>
  </si>
  <si>
    <t>NH-TN-U-320</t>
  </si>
  <si>
    <t>NH-BK-U-320</t>
  </si>
  <si>
    <t>Product Name</t>
  </si>
  <si>
    <t>Chelsea Leather A5 Notebook, Feint Ruled, Black</t>
  </si>
  <si>
    <t>Dorchester Horizon Pocket, Week to View, Black-Black</t>
  </si>
  <si>
    <t>Dorchester Horizon Pocket, Week to View, Black-Grey</t>
  </si>
  <si>
    <t>Dorchester Horizon Pocket, Week to View, Black-Red</t>
  </si>
  <si>
    <t>Dorchester Horizon Pocket, Week to View, Black-Yellow</t>
  </si>
  <si>
    <t>Dorchester Horizon Pocket, Week to View, Green- Green</t>
  </si>
  <si>
    <t>Dorchester Horizon Pocket, Week to View, Royal Blue</t>
  </si>
  <si>
    <t>Dorchester Bicolor Pocket, Week to View, Black-Aqua</t>
  </si>
  <si>
    <t>Dorchester Bicolor Pocket, Week to View, Black-Orange</t>
  </si>
  <si>
    <t>Dorchester Bicolor Pocket, Week to View, Black-Purple</t>
  </si>
  <si>
    <t>Dorchester Bicolor Pocket, Week to View, Black-Red</t>
  </si>
  <si>
    <t>Dorchester Bicolor Pocket, Week to View, Blue- Royal Blue</t>
  </si>
  <si>
    <t>Dorchester Pocket, Week to View, Aqua</t>
  </si>
  <si>
    <t>Dorchester Pocket, Week to View, Black</t>
  </si>
  <si>
    <t>Dorchester Pocket, Week to View, Blue</t>
  </si>
  <si>
    <t>Dorchester Pocket, Week to View, Burgundy</t>
  </si>
  <si>
    <t>Chelsea Leather A5 Desk Diary, Day Per Page, Blue</t>
  </si>
  <si>
    <t>Dorchester Horizon A5 Desk Diary, Day Per Page, Black-Black</t>
  </si>
  <si>
    <t>Dorchester Horizon A5 Desk Diary, Day Per Page, Black-Grey</t>
  </si>
  <si>
    <t>Dorchester Horizon A5 Desk Diary, Day Per Page, Black-Red</t>
  </si>
  <si>
    <t>Dorchester Horizon A5 Desk Diary, Day Per Page, Black-Yellow</t>
  </si>
  <si>
    <t>Dorchester Horizon A5 Desk Diary, Day Per Page, Green-Green</t>
  </si>
  <si>
    <t>Dorchester A5 Desk Diary, Day Per Page, Black</t>
  </si>
  <si>
    <t>Dorchester A5 Desk Diary, Day Per Page, Blue</t>
  </si>
  <si>
    <t>Dorchester A5 Desk Diary, Day Per Page, Green</t>
  </si>
  <si>
    <t>Dorchester A5 Desk Diary, Day Per Page, Grey</t>
  </si>
  <si>
    <t>Dorchester A5 Desk Diary, Day Per Page, Red</t>
  </si>
  <si>
    <t>Dorchester A5 Desk Diary, Day Per Page, Tan</t>
  </si>
  <si>
    <t>Dorchester A5 Desk Diary, Week to View, Black</t>
  </si>
  <si>
    <t>Dorchester A5 Desk Diary, Week to View, Blue</t>
  </si>
  <si>
    <t>Dorchester A5 Desk Diary, Week to View, Green</t>
  </si>
  <si>
    <t>Dorchester A5 Desk Diary, Week to View, Grey</t>
  </si>
  <si>
    <t>Dorchester A5 Desk Diary, Week to View, Red</t>
  </si>
  <si>
    <t>Harrogate A5 Desk Diary, Day Per Page, Black</t>
  </si>
  <si>
    <t>Harrogate A5 Desk Diary, Day Per Page, Burgundy</t>
  </si>
  <si>
    <t>Harrogate A5 Desk Diary, Day Per Page, Dark Blue</t>
  </si>
  <si>
    <t>Harrogate A5 Desk Diary, Day Per Page, Green</t>
  </si>
  <si>
    <t>Lewes A5 Desk Diary, Day Per Page, Black</t>
  </si>
  <si>
    <t>Lewes A5 Desk Diary, Day Per Page, Blue</t>
  </si>
  <si>
    <t>Lewes A5 Desk Diary, Day Per Page, Grey</t>
  </si>
  <si>
    <t>Lewes A5 Desk Diary, Day Per Page, Red</t>
  </si>
  <si>
    <t>Lewes A5 Desk Diary, Day Per Page, Royal Blue</t>
  </si>
  <si>
    <t>Lewes A5 Desk Diary, Week to View, Black</t>
  </si>
  <si>
    <t>Lewes A5 Desk Diary, Week to View, Blue</t>
  </si>
  <si>
    <t>Lewes A5 Desk Diary, Week to View, Grey</t>
  </si>
  <si>
    <t>Lewes A5 Desk Diary, Week to View, Red</t>
  </si>
  <si>
    <t>Lewes A5 Desk Diary, Week to View, Royal Blue</t>
  </si>
  <si>
    <t>Richmond A5 Desk Diary, Day Per Page, Black</t>
  </si>
  <si>
    <t>Richmond A5 Desk Diary, Day Per Page, Blue</t>
  </si>
  <si>
    <t>Richmond A5 Desk Diary, Day Per Page, White Pages, Burgundy</t>
  </si>
  <si>
    <t>Richmond A5 Desk Diary, Day Per Page, Burgundy</t>
  </si>
  <si>
    <t>Richmond A5 Desk Diary, Day Per Page, White Pages, Dark Blue</t>
  </si>
  <si>
    <t>Richmond A5 Desk Diary, Day Per Page, Dark Blue</t>
  </si>
  <si>
    <t>Richmond A5 Desk Diary, Day Per Page, Green</t>
  </si>
  <si>
    <t>Richmond A5 Desk Diary, Day Per Page, White Pages, Green</t>
  </si>
  <si>
    <t>Richmond A5 Desk Diary, Day Per Page, White Pages, Purple</t>
  </si>
  <si>
    <t>Richmond A5 Desk Diary, Day Per Page, Purple</t>
  </si>
  <si>
    <t>Richmond A5 Desk Diary, Day Per Page, White Pages, Red</t>
  </si>
  <si>
    <t>Richmond A5 Desk Diary, Day Per Page, Red</t>
  </si>
  <si>
    <t>Chelsea Leather A4 Desk Diary, Day Per Page, Black</t>
  </si>
  <si>
    <t>Chelsea Leather A4 Desk Diary, Day Per Page, Blue</t>
  </si>
  <si>
    <t>Lewes A4 Desk Diary, Day Per Page, Black</t>
  </si>
  <si>
    <t>Lewes A4 Desk Diary, Day Per Page, Blue</t>
  </si>
  <si>
    <t>Lewes A4 Desk Diary, Day Per Page, Grey</t>
  </si>
  <si>
    <t>Lewes A4 Desk Diary, Day Per Page, Light Blue</t>
  </si>
  <si>
    <t>Lewes A4 Desk Diary, Day Per Page, Light Pink</t>
  </si>
  <si>
    <t>Lewes A4 Desk Diary, Day Per Page, Lime</t>
  </si>
  <si>
    <t>Lewes A4 Desk Diary, Day Per Page, Orange</t>
  </si>
  <si>
    <t>Lewes A4 Desk Diary, Day Per Page, Red</t>
  </si>
  <si>
    <t>Richmond A4 Desk Diary, Day Per Page, Black</t>
  </si>
  <si>
    <t>Richmond A4 Desk Diary, Day Per Page, Blue</t>
  </si>
  <si>
    <t>Richmond A4 Desk Diary, Day Per Page, Burgundy</t>
  </si>
  <si>
    <t>Richmond A4 Desk Diary, Day Per Page, Green</t>
  </si>
  <si>
    <t>Richmond A4 Desk Diary, Day Per Page, Purple</t>
  </si>
  <si>
    <t>Richmond A4 Desk Diary, Day Per Page, Red</t>
  </si>
  <si>
    <t>Richmond A5 Desk Diary, Week to View, Black</t>
  </si>
  <si>
    <t>Richmond A5 Desk Diary, Week to View, Blue</t>
  </si>
  <si>
    <t>Richmond A5 Desk Diary, Week to View, Burgundy</t>
  </si>
  <si>
    <t>Richmond A5 Desk Diary, Week to View, Green</t>
  </si>
  <si>
    <t>Richmond A5 Desk Diary, Week to View, Purple</t>
  </si>
  <si>
    <t>Richmond A5 Desk Diary, Week to View, Red</t>
  </si>
  <si>
    <t>Graphic Prints A5 Diary, Day Per Page, Full Colour</t>
  </si>
  <si>
    <t>Graphic Prints A5 Diary, Week to View, Full Colour</t>
  </si>
  <si>
    <t>Chelsea Leather Quarto Diary, Week to View, Black</t>
  </si>
  <si>
    <t>Chelsea Leather Quarto Diary, Week to View, Blue</t>
  </si>
  <si>
    <t>Dorchester Bicolour Quarto Desk Diary, Week to View, Black-Red</t>
  </si>
  <si>
    <t>Dorchester Bicolour Quarto Desk Diary, Week to View, Black-Aqua</t>
  </si>
  <si>
    <t>Dorchester Bicolour Quarto Desk Diary, Week to View, Black-Orange</t>
  </si>
  <si>
    <t>Dorchester Bicolour Quarto Desk Diary, Week to View, Black-Purple</t>
  </si>
  <si>
    <t>Dorchester Bicolour Quarto Desk Diary, Week to View, Black-Royal Blue</t>
  </si>
  <si>
    <t>Dorchester Horizon Quarto Desk Dairy, Week to View, Black-Royal Blue</t>
  </si>
  <si>
    <t>Dorchester Horizon Quarto Desk Diary, Week to View, Black-Black</t>
  </si>
  <si>
    <t>Dorchester Horizon Quarto Desk Diary, Week to View, Green-Green</t>
  </si>
  <si>
    <t>Dorchester Horizon Quarto Desk Dairy, Week to View, Black-Yellow</t>
  </si>
  <si>
    <t>Dorchester Horizon Quarto Desk Diary, Week to View, Black-Grey</t>
  </si>
  <si>
    <t>Dorchester Horizon Quarto Desk Diary, Week to View, Black-Red</t>
  </si>
  <si>
    <t>Graphic Prints Quarto Diary, Day Per Page, Full Colour</t>
  </si>
  <si>
    <t>Graphic Prints Quarto Diary, Week to View, Full Colour</t>
  </si>
  <si>
    <t>Harrogate Quarto Diary, Week to View, Black</t>
  </si>
  <si>
    <t>Harrogate Quarto Diary, Week to View, Burgundy</t>
  </si>
  <si>
    <t>Harrogate Quarto Diary, Week to View, Dark Blue</t>
  </si>
  <si>
    <t>Harrogate Quarto Diary, Week to View, Green</t>
  </si>
  <si>
    <t>Richmond Quarto Desk Diary, Week to View, Black</t>
  </si>
  <si>
    <t>Dorchester A5 Notebook, Feint Ruled, Black</t>
  </si>
  <si>
    <t>Dorchester A5 Notebook, Feint Ruled, Blue</t>
  </si>
  <si>
    <t>Dorchester A5 Notebook, Feint Ruled, Grey</t>
  </si>
  <si>
    <t>Dorchester A5 Notebook, Feint Ruled, Orange</t>
  </si>
  <si>
    <t>Dorchester A5 Notebook, Feint Ruled, Pink</t>
  </si>
  <si>
    <t>Dorchester A5 Notebook, Feint Ruled, Purple</t>
  </si>
  <si>
    <t>Dorchester A5 Notebook, Feint Ruled, Red</t>
  </si>
  <si>
    <t>Dorchester A5 Notebook, Feint Ruled, Royal Blue</t>
  </si>
  <si>
    <t>Dorchester A5 Notebook, Feint Ruled, Violet</t>
  </si>
  <si>
    <t>Dorchester A5 Notebook, Feint Ruled, Yellow</t>
  </si>
  <si>
    <t>Harrogate A5 Notebook, Feint Ruled, Black</t>
  </si>
  <si>
    <t>Harrogate A5 Notebook, Feint Ruled, Burgundy</t>
  </si>
  <si>
    <t>Harrogate A5 Notebook, Feint Ruled, Green</t>
  </si>
  <si>
    <t>Lewes A5 Notebook, Feint Ruled, Black</t>
  </si>
  <si>
    <t>Lewes A5 Notebook, Feint Ruled, Blue</t>
  </si>
  <si>
    <t>Lewes A5 Notebook, Feint Ruled, Light Blue</t>
  </si>
  <si>
    <t>Lewes A5 Notebook, Feint Ruled, Lime</t>
  </si>
  <si>
    <t>Lewes A5 Notebook, Feint Ruled, Pewter</t>
  </si>
  <si>
    <t>Lewes A5 Notebook, Feint Ruled, Red</t>
  </si>
  <si>
    <t>Lewes A5 Notebook, Feint Ruled, Royal Blue</t>
  </si>
  <si>
    <t>Lewes A5 Notebook, Feint Ruled, White</t>
  </si>
  <si>
    <t>Richmond A5 Notebook, Feint Ruled, Black</t>
  </si>
  <si>
    <t>Richmond A5 Notebook, Feint Ruled, Dark Blue</t>
  </si>
  <si>
    <t>Richmond A5 Notebook, Feint Ruled, Green</t>
  </si>
  <si>
    <t>Richmond A5 Notebook, Feint Ruled, Purple</t>
  </si>
  <si>
    <t>Richmond A5 Notebook, Feint Ruled, Red</t>
  </si>
  <si>
    <t>Apple Peel Eco A5 Notebook, Feint Ruled, Black</t>
  </si>
  <si>
    <t>Apple Peel Eco A5 Notebook, Feint Ruled, Green</t>
  </si>
  <si>
    <t>Apple Peel Eco A5 Notebook, Feint Ruled, Light Blue</t>
  </si>
  <si>
    <t>Apple Peel Eco A5 Notebook, Feint Ruled, Red</t>
  </si>
  <si>
    <t>Apple Peel Eco A5 Notebook, Feint Ruled, Tan</t>
  </si>
  <si>
    <t>Ocean Clean Eco A5 Notebook, Biscuit</t>
  </si>
  <si>
    <t>Ocean Clean Eco A5 Notebook, Grey</t>
  </si>
  <si>
    <t>Ocean Clean Eco A5 Notebook, Light Blue</t>
  </si>
  <si>
    <t>Ocean Clean Eco A5 Notebook, Rose Pink</t>
  </si>
  <si>
    <t>Ocean Clean Eco A5 Notebook, Sage Green</t>
  </si>
  <si>
    <t>Dorchester Multi Purpose Card Holder, Black</t>
  </si>
  <si>
    <t>Dorchester Multi Purpose Card Holder, Tan</t>
  </si>
  <si>
    <t>Dorchester Multi Purpose Card Holder, Red</t>
  </si>
  <si>
    <t>Dorchester Multi Purpose Card Holder, Orange</t>
  </si>
  <si>
    <t>Dorchester Multi Purpose Card Holder, Grey</t>
  </si>
  <si>
    <t>Dorchester Multi Purpose Card Holder, Charcoal</t>
  </si>
  <si>
    <t>Dorchester Multi Purpose Card Holder, Blue</t>
  </si>
  <si>
    <t>Dorchester Pocket Diary, Week to View, Green</t>
  </si>
  <si>
    <t>Dorchester Pocket, Week to View, Grey</t>
  </si>
  <si>
    <t>Dorchester Pocket, Week to View, Orange</t>
  </si>
  <si>
    <t>Dorchester Pocket, Week to View, Purple</t>
  </si>
  <si>
    <t>Dorchester Pocket, Week to View, Red</t>
  </si>
  <si>
    <t>Dorchester Pocket, Week to View, Royal blue</t>
  </si>
  <si>
    <t>Dorchester Pocket, Week to View, Tan</t>
  </si>
  <si>
    <t>Dorchester Pocket, Week to View, Violet</t>
  </si>
  <si>
    <t>Dorchester Pocket, Week to View, Yellow</t>
  </si>
  <si>
    <t>Harrogate Pocket Diary, Week to View, Black</t>
  </si>
  <si>
    <t>Harrogate Pocket Diary, Week to View, Dark Blue</t>
  </si>
  <si>
    <t>Harrogate Pocket Diary, Week to View, Burgundy</t>
  </si>
  <si>
    <t>Harrogate Pocket Diary, Week to View, Green</t>
  </si>
  <si>
    <t>Harrogate Pocket Diary, Week to View, Red</t>
  </si>
  <si>
    <t>Lewes Pocket Diary, Week to View, Black</t>
  </si>
  <si>
    <t>Lewes Pocket Diary, Week to View, Blue</t>
  </si>
  <si>
    <t>Lewes Pocket Diary, Week to View, Grey</t>
  </si>
  <si>
    <t>Lewes Pocket Diary, Week to View, Red</t>
  </si>
  <si>
    <t>Lewes Pocket Diary, Week to View, Royal Blue</t>
  </si>
  <si>
    <t>Richmond Pocket Diary, Week to View, Black</t>
  </si>
  <si>
    <t>Richmond Pocket Diary, Week to View, Blue</t>
  </si>
  <si>
    <t>Richmond Pocket Diary, Week to View, Burgundy</t>
  </si>
  <si>
    <t>Richmond Pocket Diary, Week to View, Green</t>
  </si>
  <si>
    <t>Richmond Pocket Diary, Week to View, Purple</t>
  </si>
  <si>
    <t>Richmond Pocket Diary, Week to View, Red</t>
  </si>
  <si>
    <t>Richmond Pocket Diary, Week to View, Dark Blue</t>
  </si>
  <si>
    <t>Dorchester Multi Purpose Card Holder, Aqua</t>
  </si>
  <si>
    <t>Chelsea Leather Multi Purpose Card Holder, Blue</t>
  </si>
  <si>
    <t>Chelsea Leather Multi Purpose Card Holder, Black</t>
  </si>
  <si>
    <t>Chelsea Leather Multi Purpose Card Holder, Burgundy</t>
  </si>
  <si>
    <t>Chelsea Leather Multi Purpose Card Holder, Green</t>
  </si>
  <si>
    <t>Chelsea Leather Multi Purpose Card Holder, Red</t>
  </si>
  <si>
    <t>Chelsea Leather Slim Card Holder, Black</t>
  </si>
  <si>
    <t>Chelsea Leather Slim Card Holder, Blue</t>
  </si>
  <si>
    <t>Chelsea Leather Slim Card Holder, Green</t>
  </si>
  <si>
    <t>Harrogate Multi Purpose Card Holder, Red</t>
  </si>
  <si>
    <t>Harrogate Multi Purpose Card Holder, Green</t>
  </si>
  <si>
    <t>Harrogate Multi Purpose Card Holder, Blue</t>
  </si>
  <si>
    <t>Windsor Leather Multi Purpose Card Holder, Black</t>
  </si>
  <si>
    <t>Windsor Leather Multi Purpose Card Holder, Navy</t>
  </si>
  <si>
    <t>Dorchester Passport Wallet Total Pres Style, Black</t>
  </si>
  <si>
    <t>Dorchester Passport Wallet Total Pres Style, Blue</t>
  </si>
  <si>
    <t>Dorchester Passport Wallet Total Pres Style, Orange</t>
  </si>
  <si>
    <t>Dorchester Passport Wallet Total Pres Style, Pink</t>
  </si>
  <si>
    <t>Dorchester Passport Wallet Total Pres Style, Red</t>
  </si>
  <si>
    <t>Dorchester Passport Wallet Total Pres Style, Tan</t>
  </si>
  <si>
    <t>Windsor Hide Leather Luggage Tag, Black</t>
  </si>
  <si>
    <t>Windsor Hide Leather Luggage Tag, Navy</t>
  </si>
  <si>
    <t>Chelsea Leather Luggage Tag, Black</t>
  </si>
  <si>
    <t>Chelsea Leather Luggage Tag, Navy</t>
  </si>
  <si>
    <t>Chelsea Leather Luggage Tag, Red</t>
  </si>
  <si>
    <t>Dorchester Standard Luggage Tag,Tan</t>
  </si>
  <si>
    <t>Dorchester Standard Luggage Tag, Red</t>
  </si>
  <si>
    <t>Dorchester Standard Luggage Tag, Pink</t>
  </si>
  <si>
    <t>Dorchester Standard Luggage Tag, Orange</t>
  </si>
  <si>
    <t>Dorchester Standard Luggage Tag, Blue</t>
  </si>
  <si>
    <t>Dorchester Standard Luggage Tag, Black</t>
  </si>
  <si>
    <t>Dorchester Large Luggage Tag, Pink</t>
  </si>
  <si>
    <t>Dorchester Large Luggage Tag, Aqua</t>
  </si>
  <si>
    <t>Dorchester Large Luggage Tag, Orange</t>
  </si>
  <si>
    <t>Dorchester Large Luggage Tag, Red</t>
  </si>
  <si>
    <t>Dorchester Large Luggage Tag, Tan</t>
  </si>
  <si>
    <t>Dorchester Large Luggage Tag, Blue</t>
  </si>
  <si>
    <t>Dorchester Large Luggage Tag, Black</t>
  </si>
  <si>
    <t>Dorchester Rectangle Key Fob, Tan</t>
  </si>
  <si>
    <t>Dorchester Rectangle Key Fob, Red</t>
  </si>
  <si>
    <t>Dorchester Rectangle Key Fob, Black</t>
  </si>
  <si>
    <t>Dorchester Rectangle Key Fob, Blue</t>
  </si>
  <si>
    <t>Dorchester Rectangle Key Fob, Aqua</t>
  </si>
  <si>
    <t>Dorchester Collection Key Fob, Aqua</t>
  </si>
  <si>
    <t>Dorchester Collection Key Fob, Pink</t>
  </si>
  <si>
    <t>Dorchester Collection Key Fob, Tan</t>
  </si>
  <si>
    <t>Dorchester Collection Key Fob, Black</t>
  </si>
  <si>
    <t>Chelsea Leather A5 Notebook, Feint Ruled, Blue</t>
  </si>
  <si>
    <t>Qty 1</t>
  </si>
  <si>
    <t>Qty 10</t>
  </si>
  <si>
    <t>Qty 25</t>
  </si>
  <si>
    <t>Qty 50</t>
  </si>
  <si>
    <t>Qty 100</t>
  </si>
  <si>
    <t>Qty 250</t>
  </si>
  <si>
    <t>Qty 500</t>
  </si>
  <si>
    <t>Qty 750</t>
  </si>
  <si>
    <t>Qty 1000</t>
  </si>
  <si>
    <t>Sales Price (Including VAT)</t>
  </si>
  <si>
    <t>Tiered Price Including UV Printing (Qty:Price;) (Excluding VAT)</t>
  </si>
  <si>
    <t>Tiered Price Customisation (Qty:Price;) (Excluding VAT)</t>
  </si>
  <si>
    <t>CL-BK-U-65</t>
  </si>
  <si>
    <t>10018-CL-BK-1</t>
  </si>
  <si>
    <t>10018-CL-GN-1</t>
  </si>
  <si>
    <t>10018-CL-NV-1</t>
  </si>
  <si>
    <t>SH-RD-40003-1</t>
  </si>
  <si>
    <t>SH-GN-40003-2</t>
  </si>
  <si>
    <t>SH-BL-40003-3</t>
  </si>
  <si>
    <t>WH-BK-10003-1</t>
  </si>
  <si>
    <t>WH-NV-10003-2</t>
  </si>
  <si>
    <t/>
  </si>
  <si>
    <t>ID</t>
  </si>
  <si>
    <t>Type</t>
  </si>
  <si>
    <t>GTIN, UPC, EAN, or ISBN</t>
  </si>
  <si>
    <t>Name</t>
  </si>
  <si>
    <t>Published</t>
  </si>
  <si>
    <t>Is featured?</t>
  </si>
  <si>
    <t>Visibility in catalog</t>
  </si>
  <si>
    <t>Short description</t>
  </si>
  <si>
    <t>Description</t>
  </si>
  <si>
    <t>Date sale price starts</t>
  </si>
  <si>
    <t>Date sale price ends</t>
  </si>
  <si>
    <t>Tax status</t>
  </si>
  <si>
    <t>Tax class</t>
  </si>
  <si>
    <t>In stock?</t>
  </si>
  <si>
    <t>Stock</t>
  </si>
  <si>
    <t>Low stock amount</t>
  </si>
  <si>
    <t>Backorders allowed?</t>
  </si>
  <si>
    <t>Sold individually?</t>
  </si>
  <si>
    <t>Weight (lbs)</t>
  </si>
  <si>
    <t>Length (in)</t>
  </si>
  <si>
    <t>Width (in)</t>
  </si>
  <si>
    <t>Height (in)</t>
  </si>
  <si>
    <t>Allow customer reviews?</t>
  </si>
  <si>
    <t>Purchase note</t>
  </si>
  <si>
    <t>Sale price</t>
  </si>
  <si>
    <t>Regular price</t>
  </si>
  <si>
    <t>Categories</t>
  </si>
  <si>
    <t>Tags</t>
  </si>
  <si>
    <t>Shipping class</t>
  </si>
  <si>
    <t>Images</t>
  </si>
  <si>
    <t>Download limit</t>
  </si>
  <si>
    <t>Download expiry days</t>
  </si>
  <si>
    <t>Parent</t>
  </si>
  <si>
    <t>Grouped products</t>
  </si>
  <si>
    <t>Upsells</t>
  </si>
  <si>
    <t>Cross-sells</t>
  </si>
  <si>
    <t>External URL</t>
  </si>
  <si>
    <t>Button text</t>
  </si>
  <si>
    <t>Position</t>
  </si>
  <si>
    <t>Brands</t>
  </si>
  <si>
    <t>Attribute 1 name</t>
  </si>
  <si>
    <t>Attribute 1 value(s)</t>
  </si>
  <si>
    <t>Attribute 1 visible</t>
  </si>
  <si>
    <t>Attribute 1 global</t>
  </si>
  <si>
    <t>Attribute 2 name</t>
  </si>
  <si>
    <t>Attribute 2 value(s)</t>
  </si>
  <si>
    <t>Attribute 2 visible</t>
  </si>
  <si>
    <t>Attribute 2 global</t>
  </si>
  <si>
    <t>Attribute 3 name</t>
  </si>
  <si>
    <t>Attribute 3 value(s)</t>
  </si>
  <si>
    <t>Attribute 3 visible</t>
  </si>
  <si>
    <t>Attribute 3 global</t>
  </si>
  <si>
    <t>Meta: yikes_woo_products_tabs</t>
  </si>
  <si>
    <t>Meta: _product_addons_exclude_global</t>
  </si>
  <si>
    <t>Meta: woolentor_total_stock_quantity</t>
  </si>
  <si>
    <t>Meta: _saleflash_text</t>
  </si>
  <si>
    <t>Meta: _eael_post_view_count</t>
  </si>
  <si>
    <t>Meta: woolentor_views_count_product</t>
  </si>
  <si>
    <t>Meta: shopengine_product_views_count</t>
  </si>
  <si>
    <t>Meta: _dynamic_mockups_mockup_uuid</t>
  </si>
  <si>
    <t>Meta: _dynamic_mockups_mockup_thumbnail</t>
  </si>
  <si>
    <t>Meta: _dynamic_mockups_mockup_name</t>
  </si>
  <si>
    <t>Meta: _dynamic_mockups_personalize_enabled</t>
  </si>
  <si>
    <t>Meta: b2bking_product_pricetiers_group_b2c</t>
  </si>
  <si>
    <t>Meta: b2bking_regular_product_price_group_2982</t>
  </si>
  <si>
    <t>Meta: b2bking_sale_product_price_group_2982</t>
  </si>
  <si>
    <t>Meta: b2bking_product_pricetiers_group_2982</t>
  </si>
  <si>
    <t>Meta: b2bking_show_pricing_table</t>
  </si>
  <si>
    <t>Meta: b2bking_show_variations_table</t>
  </si>
  <si>
    <t>Meta: b2bking_show_information_table</t>
  </si>
  <si>
    <t>Meta: b2bking_tiered_sum_up_variations</t>
  </si>
  <si>
    <t>Meta: b2bking_apply_minmaxstep_individual_variations</t>
  </si>
  <si>
    <t>Meta: b2bking_quantity_product_min_b2c</t>
  </si>
  <si>
    <t>Meta: b2bking_quantity_product_max_b2c</t>
  </si>
  <si>
    <t>Meta: b2bking_quantity_product_step_b2c</t>
  </si>
  <si>
    <t>Meta: b2bking_quantity_product_min_2982</t>
  </si>
  <si>
    <t>Meta: b2bking_quantity_product_max_2982</t>
  </si>
  <si>
    <t>Meta: b2bking_quantity_product_step_2982</t>
  </si>
  <si>
    <t>Attribute 4 name</t>
  </si>
  <si>
    <t>Attribute 4 value(s)</t>
  </si>
  <si>
    <t>Attribute 4 visible</t>
  </si>
  <si>
    <t>Attribute 4 global</t>
  </si>
  <si>
    <t>Meta: b2bking_variations_table_location</t>
  </si>
  <si>
    <t>Meta: _wp_old_date</t>
  </si>
  <si>
    <t>simple</t>
  </si>
  <si>
    <t>visible</t>
  </si>
  <si>
    <t>&lt;p class="p1"&gt;Chelsea Leather range, luxury soft grained real leather?day per page layout.&lt;span class="Apple-converted-space"&gt;?&lt;/span&gt;Smyth sewn sections for strength and durability printed on white or cream FSC paper.&lt;span class="Apple-converted-space"&gt;?&lt;/span&gt;Self-colour cotton perimeter stitched flexible cover, ribbon marker, general information pages, forward planners, UK and international holidays, contacts directory, notes page and full colour map section&lt;/p&gt;_x000D_\n&amp;nbsp;</t>
  </si>
  <si>
    <t>Chelsea Leather range, luxury soft grained real leather day per page layout. Smyth sewn sections for strength and durability printed on white or cream FSC paper. Self-colour cotton perimeter stitched flexible cover, ribbon marker, general information pages, forward planners, UK and international holidays, contacts directory, notes page and full colour map section</t>
  </si>
  <si>
    <t>taxable</t>
  </si>
  <si>
    <t>Notebooks &gt; A5 Notebooks, Chelsea Collection, Foil blocked, Notebooks, Notebooks &gt; Real Leather Notebooks</t>
  </si>
  <si>
    <t>Chelsea-Leather-A5-Notebook-Feint-Ruled</t>
  </si>
  <si>
    <t>https://corporate.abbeygate-england.com/wp-content/uploads/2025/11/CL_DX_DIARY_BLACK_39d6e787-48f4-471a-bfee-5a3fa51e80d3-e1768038406312.webp, https://corporate.abbeygate-england.com/wp-content/uploads/2025/12/UC31_Website-scaled.webp</t>
  </si>
  <si>
    <t>Collection</t>
  </si>
  <si>
    <t>Chelsea</t>
  </si>
  <si>
    <t>Colour</t>
  </si>
  <si>
    <t>Black</t>
  </si>
  <si>
    <t>a:3:{i:0;a:3:{s:5:"title";s:15:"Special Feature";s:2:"id";s:15:"special-feature";s:7:"content";s:666:"&lt;ul style="color: rgba(0, 0, 0, 0.7);"&gt;_x000D_
 	&lt;li&gt;&lt;span style="color: #000000;"&gt;Material: luxury soft grained real leather&lt;/span&gt;&lt;/li&gt;_x000D_
 	&lt;li&gt;&lt;span style="color: #000000;"&gt;Layout: Day per page for detailed and organized planning of daily tasks and appointments&lt;/span&gt;&lt;/li&gt;_x000D_
 	&lt;li&gt;&lt;span style="color: #000000;"&gt;Design: A5 size with real perimeter stitching and a ribbon marker for ease of use and durability&lt;/span&gt;&lt;/li&gt;_x000D_
 	&lt;li&gt;&lt;span style="color: #000000;"&gt;Pages: Crisp white paper for a clear and enjoyable writing experience&lt;/span&gt;&lt;/li&gt;_x000D_
 	&lt;li&gt;&lt;span style="color: #000000;"&gt;Ideal For: Professionals, detailed daily planning, and stylish organization&lt;/span&gt;&lt;/li&gt;_x000D_
&lt;/ul&gt;";}i:1;a:3:{s:5:"title";s:8:"Shipping";s:2:"id";s:8:"shipping";s:7:"content";s:206:"&lt;ul style="color: rgba(0, 0, 0, 0.7);"&gt;_x000D_
 	&lt;li&gt;Express delivery&lt;/li&gt;_x000D_
 	&lt;li&gt;Customise with your company logo&lt;/li&gt;_x000D_
 	&lt;li&gt;Personalisation options available&lt;/li&gt;_x000D_
 	&lt;li&gt;Further details in checkout&lt;/li&gt;_x000D_
&lt;/ul&gt;";}i:2;a:3:{s:5:"title";s:19:"Quality Information";s:2:"id";s:19:"quality-information";s:7:"content";s:452:"&lt;div class="about" style="color: #000000;"&gt;_x000D_
&lt;div class="about__accordion-item"&gt;_x000D_
&lt;div class="about__accordion-description richtext__content" style="color: rgba(0, 0, 0, 0.7);"&gt;_x000D_
&lt;div class="metafield-rich_text_field"&gt;_x000D_
&lt;ul&gt;_x000D_
 	&lt;li&gt;&lt;span style="color: #000000;"&gt;FSC certified&lt;/span&gt;&lt;/li&gt;_x000D_
 	&lt;li&gt;&lt;span style="color: #000000;"&gt;Manufactured in UK&lt;/span&gt;&lt;/li&gt;_x000D_
&lt;/ul&gt;_x000D_
&lt;/div&gt;_x000D_
&lt;/div&gt;_x000D_
&lt;/div&gt;_x000D_
&lt;/div&gt;_x000D_
&lt;div class="multicolumns" style="color: #000000;"&gt;&lt;/div&gt;";}}</t>
  </si>
  <si>
    <t>20ff8926-78ff-4fe8-8248-f5eea5ab2a23</t>
  </si>
  <si>
    <t>https://app-dynamicmockups-production.s3.eu-central-1.amazonaws.com/mockup/218420/thumbnail.webp</t>
  </si>
  <si>
    <t>Woman sitting cross-legged on sofa, holding magazine in cozy home interior, wearing Bella Canvas 3001 t-shirt</t>
  </si>
  <si>
    <t>1:16.99;10:11.33;25:9.76;50:8.10;100:6.77;250:5.62;</t>
  </si>
  <si>
    <t>yes</t>
  </si>
  <si>
    <t>no</t>
  </si>
  <si>
    <t>&lt;span data-sheets-root="1"&gt;Stay on top of your week with the Dorchester Horizon Pocket Diary - Week to View. Featuring a soft Vegan Leather Horizon design, white paper, and a ribbon marker, this compact diary combines style and practicality for easy weekly planning.&lt;/span&gt;_x000D_\n&lt;div class="trade-info"&gt;_x000D_\n&lt;div class="trade-info__item"&gt;_x000D_\n&lt;div class="product-popup-modal__text rte"&gt;_x000D_\n_x000D_\n&amp;nbsp;_x000D_\n_x000D_\n&lt;/div&gt;_x000D_\n&lt;/div&gt;_x000D_\n&lt;/div&gt;</t>
  </si>
  <si>
    <t>Diaries, Dorchester Collection, Diaries &gt; Pocket Diaries</t>
  </si>
  <si>
    <t>Dorchester-Horizon-Pocket-Week-to-View</t>
  </si>
  <si>
    <t>https://corporate.abbeygate-england.com/wp-content/uploads/2025/12/Front-Copy-53.png, https://corporate.abbeygate-england.com/wp-content/uploads/2025/12/UC95-scaled.webp</t>
  </si>
  <si>
    <t>Dorchester</t>
  </si>
  <si>
    <t>Layout</t>
  </si>
  <si>
    <t>Week To View</t>
  </si>
  <si>
    <t>a:4:{i:0;a:3:{s:5:"title";s:12:"Description ";s:2:"id";s:11:"description";s:7:"content";s:1038:"&lt;span style="color: #000000;"&gt;The Dorchester Horizon Pocket Diary - White Paper – Week to View offers an elegant and efficient way to stay organized with a sleek, modern design. Bound in premium materials, this pocket-sized diary featuring a soft Vegan Leather horizon design that combines contemporary style with functionality. The Horizon range is known for its attention to detail, and this diary is no exception, offering a sophisticated yet practical solution for those who need a compact, high-quality planning tool.With its week-to-view layout, the diary provides a full overview of your week across two pages, making it easy to manage appointments, meetings, and notes. The white paper enhances readability, while the smooth texture ensures a pleasant writing experience. Complete with a ribbon marker and real perimeter stitching, the Horizon Pocket Diary is as durable as it is stylish. Whether for professional use or as a personal planning companion, this diary is designed to impress and support your busy lifestyle.&lt;/span&gt;";}i:1;a:3:{s:5:"title";s:15:"Special Feature";s:2:"id";s:15:"special-feature";s:7:"content";s:508:"&lt;ul style="color: rgba(0, 0, 0, 0.7);"&gt;_x000D_
 	&lt;li&gt;Material: Soft Vegan Leather with Premium horizon design for a modern&lt;/li&gt;_x000D_
 	&lt;li&gt;Layout: Week to view across two pages for a clear and organized weekly schedule&lt;/li&gt;_x000D_
 	&lt;li&gt;Design: Pocket-sized with a ribbon marker and real perimeter stitching for added durability and ease of use&lt;/li&gt;_x000D_
 	&lt;li&gt;Pages: White paper for smooth, readable writing&lt;/li&gt;_x000D_
 	&lt;li&gt;Ideal For: On-the-go professionals, stylish weekly organization, and compact planning solutions&lt;/li&gt;_x000D_
&lt;/ul&gt;";}i:2;a:3:{s:5:"title";s:8:"Shipping";s:2:"id";s:8:"shipping";s:7:"content";s:206:"&lt;ul style="color: rgba(0, 0, 0, 0.7);"&gt;_x000D_
 	&lt;li&gt;Express delivery&lt;/li&gt;_x000D_
 	&lt;li&gt;Customise with your company logo&lt;/li&gt;_x000D_
 	&lt;li&gt;Personalisation options available&lt;/li&gt;_x000D_
 	&lt;li&gt;Further details in checkout&lt;/li&gt;_x000D_
&lt;/ul&gt;";}i:3;a:3:{s:5:"title";s:19:"Quality Information";s:2:"id";s:19:"quality-information";s:7:"content";s:103:"&lt;ul style="color: rgba(0, 0, 0, 0.7);"&gt;_x000D_
 	&lt;li&gt;FSC certified&lt;/li&gt;_x000D_
 	&lt;li&gt;Manufactured in UK&lt;/li&gt;_x000D_
&lt;/ul&gt;";}}</t>
  </si>
  <si>
    <t>1:9.99;10:7.05;25:5.30;50:3.77;100:3.28;250:3.07;500:2.95;750:2.77;</t>
  </si>
  <si>
    <t>https://corporate.abbeygate-england.com/wp-content/uploads/2025/12/Front-Copy-54.png, https://corporate.abbeygate-england.com/wp-content/uploads/2025/12/UC95-scaled.webp</t>
  </si>
  <si>
    <t>Black, Grey</t>
  </si>
  <si>
    <t>https://corporate.abbeygate-england.com/wp-content/uploads/2025/12/Front-Copy-55.png, https://corporate.abbeygate-england.com/wp-content/uploads/2025/12/UC95-scaled.webp</t>
  </si>
  <si>
    <t>Black, Red</t>
  </si>
  <si>
    <t>https://corporate.abbeygate-england.com/wp-content/uploads/2025/12/Front-106.png, https://corporate.abbeygate-england.com/wp-content/uploads/2025/12/UC95-scaled.webp</t>
  </si>
  <si>
    <t>Black, Yellow</t>
  </si>
  <si>
    <t>https://corporate.abbeygate-england.com/wp-content/uploads/2025/12/Front-Copy-56.png, https://corporate.abbeygate-england.com/wp-content/uploads/2025/12/UC95-scaled.webp</t>
  </si>
  <si>
    <t>Green</t>
  </si>
  <si>
    <t>https://corporate.abbeygate-england.com/wp-content/uploads/2025/12/Front-Copy-57.png, https://corporate.abbeygate-england.com/wp-content/uploads/2025/12/UC95-scaled.webp</t>
  </si>
  <si>
    <t>Black, Blue</t>
  </si>
  <si>
    <t>Dorchester Newhide Bicolor Pocket, Week to View, Black-Aqua</t>
  </si>
  <si>
    <t>Stay organized in style with the Dorchester Bicolor Pocket Diary - Week to View. Featuring a unique bicolour design, cream paper, and a ribbon marker, it offers sophisticated weekly planning in a portable, compact size._x000D_\n&lt;div class="trade-info"&gt;_x000D_\n&lt;div class="trade-info__item"&gt;_x000D_\n&lt;div class="product-popup-modal__text rte"&gt;_x000D_\n_x000D_\n&amp;nbsp;_x000D_\n_x000D_\n&lt;/div&gt;_x000D_\n&lt;/div&gt;_x000D_\n&lt;/div&gt;</t>
  </si>
  <si>
    <t>Dorchester-Newhide-Bicolor-Pocket-Week-to-View</t>
  </si>
  <si>
    <t>https://corporate.abbeygate-england.com/wp-content/uploads/2025/12/Front-Copy-58.png, https://corporate.abbeygate-england.com/wp-content/uploads/2025/12/UC96-scaled.webp</t>
  </si>
  <si>
    <t>Aqua, Black</t>
  </si>
  <si>
    <t>a:4:{i:0;a:3:{s:5:"title";s:12:"Description ";s:2:"id";s:11:"description";s:7:"content";s:1065:"The Dorchester Bicolour Pocket Diary - Cream Paper – Week to View is a sophisticated and practical organizational tool designed for those who seek both style and functionality. Featuring a unique bicolour design, this pocket-sized diary is wrapped in the high-quality Dorchester material, offering a luxurious, soft feel and a sleek finish. The combination of contrasting colours adds a contemporary, stylish edge, making this diary stand out in both professional and personal settings._x000D_
_x000D_
With a week-to-view layout across two pages, the diary provides a clear and efficient overview of your weekly schedule, ensuring that your appointments and tasks are organized. The cream-colored paper enhances readability and adds a touch of warmth to the diary, while the real perimeter stitching and sleek ribbon marker ensure durability and ease of use. Perfect for professionals on the go, students, or anyone who appreciates an elegant, compact planning solution, the Dorchester Bicolour Pocket Diary is an ideal companion for those looking to stay organized in style.";}i:1;a:3:{s:5:"title";s:15:"Special Feature";s:2:"id";s:15:"special-feature";s:7:"content";s:530:"&lt;ul style="color: rgba(0, 0, 0, 0.7);"&gt;_x000D_
 	&lt;li&gt;Material: Premium Dorchester cover with a sleek bicolour design for added style&lt;/li&gt;_x000D_
 	&lt;li&gt;Layout: Week to view across two pages for efficient weekly planning&lt;/li&gt;_x000D_
 	&lt;li&gt;Design: Pocket-sized with real perimeter stitching and a ribbon marker for easy navigation&lt;/li&gt;_x000D_
 	&lt;li&gt;Pages: Cream-colored paper for a smooth, easy-to-read writing surface&lt;/li&gt;_x000D_
 	&lt;li&gt;Ideal For: On-the-go professionals, students, and those who need a compact yet stylish weekly planner&lt;/li&gt;_x000D_
 	&lt;li&gt;&lt;/li&gt;_x000D_
&lt;/ul&gt;";}i:2;a:3:{s:5:"title";s:8:"Shipping";s:2:"id";s:8:"shipping";s:7:"content";s:206:"&lt;ul style="color: rgba(0, 0, 0, 0.7);"&gt;_x000D_
 	&lt;li&gt;Express delivery&lt;/li&gt;_x000D_
 	&lt;li&gt;Customise with your company logo&lt;/li&gt;_x000D_
 	&lt;li&gt;Personalisation options available&lt;/li&gt;_x000D_
 	&lt;li&gt;Further details in checkout&lt;/li&gt;_x000D_
&lt;/ul&gt;";}i:3;a:3:{s:5:"title";s:19:"Quality Information";s:2:"id";s:19:"quality-information";s:7:"content";s:103:"&lt;ul style="color: rgba(0, 0, 0, 0.7);"&gt;_x000D_
 	&lt;li&gt;FSC certified&lt;/li&gt;_x000D_
 	&lt;li&gt;Manufactured in UK&lt;/li&gt;_x000D_
&lt;/ul&gt;";}}</t>
  </si>
  <si>
    <t>Dorchester Newhide Bicolor Pocket, Week to View, Black-Orange</t>
  </si>
  <si>
    <t>https://corporate.abbeygate-england.com/wp-content/uploads/2025/12/Front-Copy-59.png, https://corporate.abbeygate-england.com/wp-content/uploads/2025/12/UC96-scaled.webp</t>
  </si>
  <si>
    <t>Black, Orange</t>
  </si>
  <si>
    <t>Dorchester Newhide Bicolor Pocket, Week to View, Black-Purple</t>
  </si>
  <si>
    <t>https://corporate.abbeygate-england.com/wp-content/uploads/2025/12/Front-Copy-60.png, https://corporate.abbeygate-england.com/wp-content/uploads/2025/12/UC96-scaled.webp</t>
  </si>
  <si>
    <t>Black, Purple</t>
  </si>
  <si>
    <t>Dorchester Newhide Bicolor Pocket, Week to View, Black-Red</t>
  </si>
  <si>
    <t>Stay organized in style with the Dorchester Bicolor Pocket Diary - Week to View. Featuring a unique bicolour design, cream paper, and a ribbon marker, it offers sophisticated weekly planning in a portable, compact size.</t>
  </si>
  <si>
    <t>https://corporate.abbeygate-england.com/wp-content/uploads/2025/12/Front-Copy-61.png, https://corporate.abbeygate-england.com/wp-content/uploads/2025/12/UC96-scaled.webp</t>
  </si>
  <si>
    <t>Dorchester Newhide Bicolor Pocket, Week to View, Blue- Royal blue</t>
  </si>
  <si>
    <t>https://corporate.abbeygate-england.com/wp-content/uploads/2025/12/Front-Copy-62.png, https://corporate.abbeygate-england.com/wp-content/uploads/2025/12/UC96-scaled.webp</t>
  </si>
  <si>
    <t>Dorchester NewHide Pocket, Week to View, Aqua</t>
  </si>
  <si>
    <t>Organize your 2026 in style with the Dorchester Premium Pocket Diary?featuring a soft faux leather cover, recycled white paper, and a convenient Week to View layout. Eco-friendly and elegant_x000D_\n&lt;div class="trade-info"&gt;_x000D_\n&lt;div class="trade-info__item"&gt;_x000D_\n&lt;div class="product-popup-modal__text rte"&gt;_x000D_\n_x000D_\n&amp;nbsp;_x000D_\n_x000D_\n&lt;/div&gt;_x000D_\n&lt;/div&gt;_x000D_\n&lt;/div&gt;</t>
  </si>
  <si>
    <t>Dorchester-NewHide-Pocket-Week-to-View</t>
  </si>
  <si>
    <t>https://corporate.abbeygate-england.com/wp-content/uploads/2025/12/Front-Copy-63.png, https://corporate.abbeygate-england.com/wp-content/uploads/2025/12/UC95-scaled.webp</t>
  </si>
  <si>
    <t>Aqua</t>
  </si>
  <si>
    <t>a:4:{i:0;a:3:{s:5:"title";s:12:"Description ";s:2:"id";s:11:"description";s:7:"content";s:1227:"Introducing the Dorchester Premium Pocket Diary – White Paper – Week to View, the ideal companion for staying organized and stylish in 2025. Crafted from the same high-quality, durable faux leather as the rest of our Dorchester range, this diary offers a premium feel while being designed for maximum comfort. With a softer, lighter, and more flexible cover, it combines elegance with functionality, perfect for everyday use._x000D_
_x000D_
The exterior of the diary is finished with meticulously coordinated perimeter stitching, adding a polished and refined look. Inside, you’ll find crisp, FSC-certified recycled white paper, ensuring a sustainable choice without sacrificing quality. The Week to View layout makes planning your week a breeze, offering ample space for appointments, notes, and reminders at a glance. Its compact size allows it to slip effortlessly into your pocket or bag, making it an ideal companion for those who like to stay organized on the go._x000D_
_x000D_
Built for both practicality and style, this diary’s sleek design stands out, whether you're in the boardroom or at a coffee shop. The Dorchester Premium Pocket Diary is more than just an organizational tool—it’s a statement of quality and sustainability.";}i:1;a:3:{s:5:"title";s:15:"Special Feature";s:2:"id";s:15:"special-feature";s:7:"content";s:637:"&lt;ul style="color: rgba(0, 0, 0, 0.7);"&gt;_x000D_
 	&lt;li&gt;Material: Premium faux leather cover with a softer, lighter, and more flexible feel&lt;/li&gt;_x000D_
 	&lt;li&gt;Design: Coordinated perimeter stitching for a polished and professional look&lt;/li&gt;_x000D_
 	&lt;li&gt;Paper: FSC-certified recycled white paper for sustainable planning&lt;/li&gt;_x000D_
 	&lt;li&gt;Layout: Week to View format for easy organization and planning&lt;/li&gt;_x000D_
 	&lt;li&gt;Compact: Pocket-sized for convenience and portability&lt;/li&gt;_x000D_
 	&lt;li&gt;Eco-Friendly: Combines sustainable materials with a premium design&lt;/li&gt;_x000D_
 	&lt;li&gt;2026 Edition: A standout diary for stylish and organized planning in the new year&lt;/li&gt;_x000D_
 	&lt;li&gt;&lt;/li&gt;_x000D_
&lt;/ul&gt;";}i:2;a:3:{s:5:"title";s:8:"Shipping";s:2:"id";s:8:"shipping";s:7:"content";s:206:"&lt;ul style="color: rgba(0, 0, 0, 0.7);"&gt;_x000D_
 	&lt;li&gt;Express delivery&lt;/li&gt;_x000D_
 	&lt;li&gt;Customise with your company logo&lt;/li&gt;_x000D_
 	&lt;li&gt;Personalisation options available&lt;/li&gt;_x000D_
 	&lt;li&gt;Further details in checkout&lt;/li&gt;_x000D_
&lt;/ul&gt;";}i:3;a:3:{s:5:"title";s:19:"Quality Information";s:2:"id";s:19:"quality-information";s:7:"content";s:103:"&lt;ul style="color: rgba(0, 0, 0, 0.7);"&gt;_x000D_
 	&lt;li&gt;FSC certified&lt;/li&gt;_x000D_
 	&lt;li&gt;Manufactured in UK&lt;/li&gt;_x000D_
&lt;/ul&gt;";}}</t>
  </si>
  <si>
    <t>1:8.99;10:6.34;25:5.20;50:4.33;100:3.60;250:2.98;500:2.61;750:2.50;1000:2.31;</t>
  </si>
  <si>
    <t>Dorchester NewHide Pocket, Week to View, Black</t>
  </si>
  <si>
    <t>Organize your 2026 in style with the Dorchester Premium Pocket Diary?featuring a soft faux leather cover, recycled white paper, and a convenient Week to View layout. Eco-friendly and elegant</t>
  </si>
  <si>
    <t>https://corporate.abbeygate-england.com/wp-content/uploads/2025/12/Front-Copy-64.png, https://corporate.abbeygate-england.com/wp-content/uploads/2025/12/UC95-scaled.webp</t>
  </si>
  <si>
    <t>Dorchester NewHide Pocket, Week to View, Blue</t>
  </si>
  <si>
    <t>https://corporate.abbeygate-england.com/wp-content/uploads/2025/12/Front-Copy-65.png, https://corporate.abbeygate-england.com/wp-content/uploads/2025/12/UC95-scaled.webp</t>
  </si>
  <si>
    <t>Blue</t>
  </si>
  <si>
    <t>Dorchester NewHide Pocket, Week to View, Burgundy</t>
  </si>
  <si>
    <t>https://corporate.abbeygate-england.com/wp-content/uploads/2025/12/Front-Copy-66.png, https://corporate.abbeygate-england.com/wp-content/uploads/2025/12/UC95-scaled.webp</t>
  </si>
  <si>
    <t>Burgundy</t>
  </si>
  <si>
    <t>&lt;p class="p1"&gt;Chelsea Leather range, luxury soft grained real leather?day per page layout.&lt;span class="Apple-converted-space"&gt;?&lt;/span&gt;Smyth sewn sections for strength and durability printed on white or cream FSC paper.&lt;span class="Apple-converted-space"&gt;?&lt;/span&gt;Self-colour cotton perimeter stitched flexible cover, ribbon marker, general information pages, forward planners, UK and international holidays, contacts directory, notes page and full colour map section&lt;/p&gt;</t>
  </si>
  <si>
    <t>Diaries &gt; A5 Diary, Chelsea Collection, Diaries, Diaries &gt; A5 Diary &gt; DPP, Foil blocked, Diaries &gt; Real Leather</t>
  </si>
  <si>
    <t>https://corporate.abbeygate-england.com/wp-content/uploads/2025/12/without-background-scaled.png, https://corporate.abbeygate-england.com/wp-content/uploads/2025/12/UC71-scaled.webp</t>
  </si>
  <si>
    <t>a:3:{i:0;a:3:{s:5:"title";s:15:"Special Feature";s:2:"id";s:15:"special-feature";s:7:"content";s:666:"&lt;ul style="color: rgba(0, 0, 0, 0.7);"&gt;_x000D_
 	&lt;li&gt;&lt;span style="color: #000000;"&gt;Material: luxury soft grained real leather&lt;/span&gt;&lt;/li&gt;_x000D_
 	&lt;li&gt;&lt;span style="color: #000000;"&gt;Layout: Day per page for detailed and organized planning of daily tasks and appointments&lt;/span&gt;&lt;/li&gt;_x000D_
 	&lt;li&gt;&lt;span style="color: #000000;"&gt;Design: A5 size with real perimeter stitching and a ribbon marker for ease of use and durability&lt;/span&gt;&lt;/li&gt;_x000D_
 	&lt;li&gt;&lt;span style="color: #000000;"&gt;Pages: Crisp white paper for a clear and enjoyable writing experience&lt;/span&gt;&lt;/li&gt;_x000D_
 	&lt;li&gt;&lt;span style="color: #000000;"&gt;Ideal For: Professionals, detailed daily planning, and stylish organization&lt;/span&gt;&lt;/li&gt;_x000D_
&lt;/ul&gt;";}i:1;a:3:{s:5:"title";s:8:"Shipping";s:2:"id";s:8:"shipping";s:7:"content";s:354:"&lt;ul style="color: rgba(0, 0, 0, 0.7);"&gt;_x000D_
 	&lt;li&gt;&lt;span style="color: #000000;"&gt;Express delivery&lt;/span&gt;&lt;/li&gt;_x000D_
 	&lt;li&gt;&lt;span style="color: #000000;"&gt;Customise with your company logo&lt;/span&gt;&lt;/li&gt;_x000D_
 	&lt;li&gt;&lt;span style="color: #000000;"&gt;Personalisation options available&lt;/span&gt;&lt;/li&gt;_x000D_
 	&lt;li&gt;&lt;span style="color: #000000;"&gt;Further details in checkout&lt;/span&gt;&lt;/li&gt;_x000D_
&lt;/ul&gt;";}i:2;a:3:{s:5:"title";s:19:"Quality Information";s:2:"id";s:19:"quality-information";s:7:"content";s:177:"&lt;ul style="color: rgba(0, 0, 0, 0.7);"&gt;_x000D_
 	&lt;li&gt;&lt;span style="color: #000000;"&gt;FSC certified&lt;/span&gt;&lt;/li&gt;_x000D_
 	&lt;li&gt;&lt;span style="color: #000000;"&gt;Manufactured in UK&lt;/span&gt;&lt;/li&gt;_x000D_
&lt;/ul&gt;";}}</t>
  </si>
  <si>
    <t>1:19.99;10:15.58;25:15.93;50:14.77;100:12.88;</t>
  </si>
  <si>
    <t>&lt;p class="p1"&gt;Organize your day with the Dorchester Horizon A5 Desk Diary - Day per Page. Featuring a sleek Horizon design, white paper, and ample space for daily planning, this stylish diary is perfect for busy professionals on the go.&lt;/p&gt;</t>
  </si>
  <si>
    <t>The Dorchester horizon A5 Diary - White Paper ? Day per Page is designed for those who need both elegance and practicality in their daily planning. Featuring a striking bicolour design, this A5-sized diary is bound in premium materials that offer a smooth, luxurious feel, while its contrasting colours add a modern touch to your desk or workspace. This diary is the perfect balance of style and function, ideal for busy professionals or anyone looking for an organized, high-quality planning solution._x000D_\n_x000D_\nWith a day-per-page layout, each page offers ample space for your appointments, notes, and to-do lists. The white paper enhances readability and provides a clean, crisp backdrop for your writing. Whether you need to keep track of meetings, deadlines, or personal goals, this diary ensures you have everything in one place, clearly organized. The real perimeter stitching and elegant ribbon marker add both durability and style, making this diary a practical and luxurious choice for anyone who values attention to detail in their organizational tools.</t>
  </si>
  <si>
    <t>Diaries &gt; A5 Diary, Diaries, Dorchester Collection, Diaries &gt; A5 Diary &gt; DPP</t>
  </si>
  <si>
    <t>Dorchester-Horizon-A5-Desk-Diary-Day-Per-Page</t>
  </si>
  <si>
    <t>https://corporate.abbeygate-england.com/wp-content/uploads/2025/12/Front-69.png, https://corporate.abbeygate-england.com/wp-content/uploads/2025/12/UC71-scaled.webp</t>
  </si>
  <si>
    <t>a:3:{i:0;a:3:{s:5:"title";s:15:"Special Feature";s:2:"id";s:15:"special-feature";s:7:"content";s:517:"&lt;ul style="color: rgba(0, 0, 0, 0.7);"&gt;_x000D_
 	&lt;li&gt;Material: Premium Horizon design with smooth, luxurious feel for a modern look&lt;/li&gt;_x000D_
 	&lt;li&gt;Layout: Day per page for detailed and organized planning of daily tasks and appointments&lt;/li&gt;_x000D_
 	&lt;li&gt;Design: A5 size with real perimeter stitching and a ribbon marker for ease of use and durability&lt;/li&gt;_x000D_
 	&lt;li&gt;Pages: Crisp white paper for a clear and enjoyable writing experience&lt;/li&gt;_x000D_
 	&lt;li&gt;Ideal For: Professionals, detailed daily planning, and stylish organization&lt;/li&gt;_x000D_
&lt;/ul&gt;";}i:1;a:3:{s:5:"title";s:8:"Shipping";s:2:"id";s:8:"shipping";s:7:"content";s:206:"&lt;ul style="color: rgba(0, 0, 0, 0.7);"&gt;_x000D_
 	&lt;li&gt;Express delivery&lt;/li&gt;_x000D_
 	&lt;li&gt;Customise with your company logo&lt;/li&gt;_x000D_
 	&lt;li&gt;Personalisation options available&lt;/li&gt;_x000D_
 	&lt;li&gt;Further details in checkout&lt;/li&gt;_x000D_
&lt;/ul&gt;";}i:2;a:3:{s:5:"title";s:19:"Quality Information";s:2:"id";s:19:"quality-information";s:7:"content";s:177:"&lt;ul style="color: rgba(0, 0, 0, 0.7);"&gt;_x000D_
 	&lt;li&gt;&lt;span style="color: #000000;"&gt;FSC certified&lt;/span&gt;&lt;/li&gt;_x000D_
 	&lt;li&gt;&lt;span style="color: #000000;"&gt;Manufactured in UK&lt;/span&gt;&lt;/li&gt;_x000D_
&lt;/ul&gt;";}}</t>
  </si>
  <si>
    <t>1:15.99;10:11.50;25:10.01;50:8.94;100:8.87;250:8.09;</t>
  </si>
  <si>
    <t>&lt;p class="p1"&gt;Organize your day with the Dorchester Horizon A5 Desk Diary - Day per Page. Featuring a sleek Horizon design, white paper, and ample space for daily planning, this stylish diary is perfect for busy professionals on the go.&lt;/p&gt;_x000D_\n&amp;nbsp;</t>
  </si>
  <si>
    <t>https://corporate.abbeygate-england.com/wp-content/uploads/2025/12/Front-73.png, https://corporate.abbeygate-england.com/wp-content/uploads/2025/12/UC71-scaled.webp</t>
  </si>
  <si>
    <t>https://corporate.abbeygate-england.com/wp-content/uploads/2025/12/Front-Copy-24.png, https://corporate.abbeygate-england.com/wp-content/uploads/2025/12/UC71-scaled.webp</t>
  </si>
  <si>
    <t>https://corporate.abbeygate-england.com/wp-content/uploads/2025/12/Front-Copy-25.png, https://corporate.abbeygate-england.com/wp-content/uploads/2025/12/UC71-scaled.webp</t>
  </si>
  <si>
    <t>https://corporate.abbeygate-england.com/wp-content/uploads/2025/12/Front-Copy-26.png, https://corporate.abbeygate-england.com/wp-content/uploads/2025/12/UC71-scaled.webp</t>
  </si>
  <si>
    <t>NB-BK/BK-P-076</t>
  </si>
  <si>
    <t>Dorchester Horizon A5 Desk, Week To View, Black-Black</t>
  </si>
  <si>
    <t>Diaries &gt; A5 Diary, Diaries, Dorchester Collection, Diaries &gt; A5 Diary &gt; WTV</t>
  </si>
  <si>
    <t>Dorchester-Horizon-A5-Desk-Week-To-View</t>
  </si>
  <si>
    <t>https://corporate.abbeygate-england.com/wp-content/uploads/2025/12/Front-81.png, https://corporate.abbeygate-england.com/wp-content/uploads/2025/12/UC82-scaled.webp</t>
  </si>
  <si>
    <t>1:15.95;25:10.63;50:9.97;100:8.64;</t>
  </si>
  <si>
    <t>NB-BK/GY-P-076</t>
  </si>
  <si>
    <t>Dorchester Horizon A5 Desk, Week To View, Black-Grey</t>
  </si>
  <si>
    <t>The Dorchester Bicolour A5 Diary - Cream Paper ? Week to View brings a bold and stylish twist to traditional planning. With its striking bicolour design and luxurious Dorchester cover, this A5-sized diary offers both elegance and practicality for those who like to stay organized in style. The smooth, leather-like texture of the Dorchester material is complemented by a modern bicolour scheme, making this diary a statement piece that?s perfect for professional or personal use._x000D_\n_x000D_\nThe week-to-view layout allows for clear, organized planning across two pages, providing ample space for your appointments, notes, and to-do lists. The cream-colored paper adds a refined touch, making the writing experience enjoyable and easy on the eyes. Finished with perimeter stitching and a sleek ribbon marker, this diary offers both durability and convenience. Ideal for anyone who needs a stylish yet functional planning solution, the Dorchester Bicolour A5 Diary is the perfect companion for anyone who values both form and function.</t>
  </si>
  <si>
    <t>https://corporate.abbeygate-england.com/wp-content/uploads/2025/12/Front-Copy-27.png, https://corporate.abbeygate-england.com/wp-content/uploads/2025/12/UC82-scaled.webp</t>
  </si>
  <si>
    <t>a:3:{i:0;a:3:{s:5:"title";s:15:"Special Feature";s:2:"id";s:15:"special-feature";s:7:"content";s:519:"&lt;ul style="color: rgba(0, 0, 0, 0.7);"&gt;_x000D_
 	&lt;li&gt;Material: Luxurious Dorchester cover with a bold bicolour design for a sophisticated look&lt;/li&gt;_x000D_
 	&lt;li&gt;Layout: Week to view across two pages for organized and easy-to-read scheduling&lt;/li&gt;_x000D_
 	&lt;li&gt;Design: A5 size with perimeter stitching and a ribbon marker for added style and usability&lt;/li&gt;_x000D_
 	&lt;li&gt;Pages: Elegant cream-colored paper for smooth, comfortable writing&lt;/li&gt;_x000D_
 	&lt;li&gt;Ideal For: Professional use, stylish weekly planning, and a chic organizational tool&lt;/li&gt;_x000D_
&lt;/ul&gt;";}i:1;a:3:{s:5:"title";s:8:"Shipping";s:2:"id";s:8:"shipping";s:7:"content";s:206:"&lt;ul style="color: rgba(0, 0, 0, 0.7);"&gt;_x000D_
 	&lt;li&gt;Express delivery&lt;/li&gt;_x000D_
 	&lt;li&gt;Customise with your company logo&lt;/li&gt;_x000D_
 	&lt;li&gt;Personalisation options available&lt;/li&gt;_x000D_
 	&lt;li&gt;Further details in checkout&lt;/li&gt;_x000D_
&lt;/ul&gt;";}i:2;a:3:{s:5:"title";s:19:"Quality Information";s:2:"id";s:19:"quality-information";s:7:"content";s:103:"&lt;ul style="color: rgba(0, 0, 0, 0.7);"&gt;_x000D_
 	&lt;li&gt;FSC certified&lt;/li&gt;_x000D_
 	&lt;li&gt;Manufactured in UK&lt;/li&gt;_x000D_
&lt;/ul&gt;";}}</t>
  </si>
  <si>
    <t>NB-BK/RD-P-076</t>
  </si>
  <si>
    <t>Dorchester Horizon A5 Desk, Week To View, Black-Red</t>
  </si>
  <si>
    <t>&lt;p class="p1"&gt;Plan your week in style with the Dorchester Horizon A5 Diary - Week to View. Featuring a chic bicolour design, cream paper, and a ribbon marker, this sleek diary offers organized planning in a modern, compact format.&lt;/p&gt;</t>
  </si>
  <si>
    <t>https://corporate.abbeygate-england.com/wp-content/uploads/2025/12/Front-Copy-24.png, https://corporate.abbeygate-england.com/wp-content/uploads/2025/12/UC73-2048x2048-1.webp</t>
  </si>
  <si>
    <t>NB-BK/RB-P-076</t>
  </si>
  <si>
    <t>Dorchester Horizon A5 Desk, Week To View, Black-Royal Blue</t>
  </si>
  <si>
    <t>https://corporate.abbeygate-england.com/wp-content/uploads/2025/12/Front-Copy-28.png, https://corporate.abbeygate-england.com/wp-content/uploads/2025/12/UC73-2048x2048-1.webp</t>
  </si>
  <si>
    <t>NB-BK/YE-P-076</t>
  </si>
  <si>
    <t>Dorchester Horizon A5 Desk, Week To View, Black-Yellow</t>
  </si>
  <si>
    <t>https://corporate.abbeygate-england.com/wp-content/uploads/2025/12/Front-Copy-25.png, https://corporate.abbeygate-england.com/wp-content/uploads/2025/12/UC82-scaled.webp</t>
  </si>
  <si>
    <t>NB-GN/GN-P-076</t>
  </si>
  <si>
    <t>Dorchester Horizon A5 Desk, Week To View, Green-Green</t>
  </si>
  <si>
    <t>The Dorchester Bicolour A5 Diary - Cream Paper ? Week to View brings a bold and stylish twist to traditional planning. With its striking bicolour design and luxurious Dorchester cover, this A5-sized diary offers both elegance and practicality for those who like to stay organized in style. The smooth, leather-like texture of the Dorchester material is complemented bya  modern bicolour scheme, making this diary a statement piece that?s perfect for professional or personal use._x000D_\n_x000D_\nThe week-to-view layout allows for clear, organized planning across two pages, providing ample space for your appointments, notes, and to-do lists. The cream-colored paper adds a refined touch, making the writing experience enjoyable and easy on the eyes. Finished with perimeter stitching and a sleek ribbon marker, this diary offers both durability and convenience. Ideal for anyone who needs a stylish yet functional planning solution, the Dorchester Bicolour A5 Diary is the perfect companion for anyone who values both form and function.</t>
  </si>
  <si>
    <t>https://corporate.abbeygate-england.com/wp-content/uploads/2025/12/Front-Copy-29.png, https://corporate.abbeygate-england.com/wp-content/uploads/2025/12/UC73-2048x2048-1.webp</t>
  </si>
  <si>
    <t>Dorchester NewHide A5 Desk Diary, Day Per Page, Black</t>
  </si>
  <si>
    <t>Plan your 2026 in detail with the Dorchester newhide A5 Desk Diary? Self?colour perimeter cotton stitched flexible cover, FSC-certified recycled white paper, and a Day per Page layout. Elegant, sustainable, and practical._x000D_\n_x000D_\n&amp;nbsp;</t>
  </si>
  <si>
    <t>&lt;div class="about"&gt;_x000D_\n&lt;div class="about__accordion-item"&gt;_x000D_\n&lt;div class="about__accordion-description richtext__content"&gt;_x000D_\n&lt;div class="metafield-rich_text_field"&gt;_x000D_\n_x000D_\nIntroducing the Dorchester Newhide A5 Desk Diary ? White Paper ? Day per Page, the perfect planning solution for those who need detailed, day-by-day organization in 2025. Crafted from the same high-quality, vegan leather durable as the rest of our Dorchester range, this diary has been designed for maximum comfort and practicality. Its soft, lightweight, and flexible cover combines luxury with functionality, ensuring it holds up to daily use while feeling great in hand._x000D_\n_x000D_\nThe diary is meticulously finished with coordinated perimeter stitching, giving it a refined and polished appearance. Inside, you?ll find FSC-certified recycled white paper, offering an eco-conscious choice for professionals and planners alike. The Day per Page layout provides ample space for detailed scheduling, note-taking, or task tracking, allowing you to manage each day with precision._x000D_\n_x000D_\nIdeal for busy professionals, students, or anyone who values structured, daily planning, this A5 desk diary is compact enough to sit neatly on your desk or slip into your bag for on-the-go organization. Its thoughtful design, premium feel, and sustainability make it more than just a diary?it?s an essential tool for maintaining productivity and style throughout the year._x000D_\n_x000D_\n&lt;/div&gt;_x000D_\n&lt;/div&gt;_x000D_\n&lt;/div&gt;_x000D_\n&lt;/div&gt;_x000D_\n&lt;div class="about"&gt;_x000D_\n&lt;div id="special_features" class="about__accordion-item"&gt;&lt;button class="about__accordion-toggle focus-inset button--unstyled" aria-label="Special Features" aria-controls="special_features-content"&gt;&lt;span class="about__accordion-title"&gt;Special Features&lt;/span&gt;&lt;/button&gt;&lt;/div&gt;_x000D_\n&lt;/div&gt;</t>
  </si>
  <si>
    <t>Dorchester-NewHide-A5-Desk-Diary-Day-Per-Page</t>
  </si>
  <si>
    <t>https://corporate.abbeygate-england.com/wp-content/uploads/2025/12/Front-Copy-30.png, https://corporate.abbeygate-england.com/wp-content/uploads/2025/12/UC71-scaled.webp</t>
  </si>
  <si>
    <t>a:3:{i:0;a:3:{s:5:"title";s:15:"Special Feature";s:2:"id";s:15:"special-feature";s:7:"content";s:473:"&lt;ul style="color: rgba(0, 0, 0, 0.7);"&gt;_x000D_
 	&lt;li&gt;Material: Dorchester Newhide design for a modern, stylish look&lt;/li&gt;_x000D_
 	&lt;li&gt;Layout: Day-per-page design for ample writing space&lt;/li&gt;_x000D_
 	&lt;li&gt;Design: A5-sized with a ribbon marker and real perimeter stitching for added durability and ease of use&lt;/li&gt;_x000D_
 	&lt;li&gt;Pages: White FSC paper for smooth, readable writing&lt;/li&gt;_x000D_
 	&lt;li&gt;Ideal For: On-the-go professionals, stylish weekly organization, and compact planning solutions&lt;/li&gt;_x000D_
&lt;/ul&gt;";}i:1;a:3:{s:5:"title";s:8:"Shipping";s:2:"id";s:8:"shipping";s:7:"content";s:206:"&lt;ul style="color: rgba(0, 0, 0, 0.7);"&gt;_x000D_
 	&lt;li&gt;Express delivery&lt;/li&gt;_x000D_
 	&lt;li&gt;Customise with your company logo&lt;/li&gt;_x000D_
 	&lt;li&gt;Personalisation options available&lt;/li&gt;_x000D_
 	&lt;li&gt;Further details in checkout&lt;/li&gt;_x000D_
&lt;/ul&gt;";}i:2;a:3:{s:5:"title";s:19:"Quality Information";s:2:"id";s:19:"quality-information";s:7:"content";s:103:"&lt;ul style="color: rgba(0, 0, 0, 0.7);"&gt;_x000D_
 	&lt;li&gt;FSC certified&lt;/li&gt;_x000D_
 	&lt;li&gt;Manufactured in UK&lt;/li&gt;_x000D_
&lt;/ul&gt;";}}</t>
  </si>
  <si>
    <t>1:17.99;10:12.75;25:12.35;50:9.38;100:8.62;250:7.78;</t>
  </si>
  <si>
    <t>Dorchester NewHide A5 Desk Diary, Day Per Page, Blue</t>
  </si>
  <si>
    <t>Plan your 2026 in detail with the Dorchester newhide A5 Desk Diary? Self?colour perimeter cotton stitched flexible cover, FSC-certified recycled white paper, and a Day per Page layout. Elegant, sustainable, and practical.</t>
  </si>
  <si>
    <t>&lt;div class="about"&gt;_x000D_\n&lt;div class="about__accordion-item"&gt;_x000D_\n&lt;div class="about__accordion-description richtext__content"&gt;_x000D_\n&lt;div class="metafield-rich_text_field"&gt;_x000D_\n_x000D_\nIntroducing the Dorchester Newhide A5 Desk Diary ? White Paper ? Day per Page, the perfect planning solution for those who need detailed, day-by-day organization in 2025. Crafted from the same high-quality, vegan leather durable as the rest of our Dorchester range, this diary has been designed for maximum comfort and practicality. Its soft, lightweight, and flexible cover combines luxury with functionality, ensuring it holds up to daily use while feeling great in hand._x000D_\n_x000D_\nThe diary is meticulously finished with coordinated perimeter stitching, giving it a refined and polished appearance. Inside, you?ll find FSC-certified recycled white paper, offering an eco-conscious choice for professionals and planners alike. The Day per Page layout provides ample space for detailed scheduling, note-taking, or task tracking, allowing you to manage each day with precision._x000D_\n_x000D_\nIdeal for busy professionals, students, or anyone who values structured, daily planning, this A5 desk diary is compact enough to sit neatly on your desk or slip into your bag for on-the-go organization. Its thoughtful design, premium feel, and sustainability make it more than just a diary?it?s an essential tool for maintaining productivity and style throughout the year._x000D_\n_x000D_\n&lt;/div&gt;_x000D_\n&lt;/div&gt;_x000D_\n&lt;/div&gt;_x000D_\n&lt;/div&gt;_x000D_\n&lt;div class="about"&gt;_x000D_\n&lt;div id="special_features" class="about__accordion-item"&gt;&lt;/div&gt;_x000D_\n&lt;/div&gt;</t>
  </si>
  <si>
    <t>https://corporate.abbeygate-england.com/wp-content/uploads/2025/12/Front-Copy-31.png, https://corporate.abbeygate-england.com/wp-content/uploads/2025/12/UC71-scaled.webp</t>
  </si>
  <si>
    <t>Dorchester NewHide A5 Desk Diary, Day Per Page, Green</t>
  </si>
  <si>
    <t>https://corporate.abbeygate-england.com/wp-content/uploads/2025/12/Front-Copy-32.png, https://corporate.abbeygate-england.com/wp-content/uploads/2025/12/UC71-scaled.webp</t>
  </si>
  <si>
    <t>Dorchester NewHide A5 Desk Diary, Day Per Page, Grey</t>
  </si>
  <si>
    <t>https://corporate.abbeygate-england.com/wp-content/uploads/2025/12/Front-Copy-33.png, https://corporate.abbeygate-england.com/wp-content/uploads/2025/12/UC71-scaled.webp</t>
  </si>
  <si>
    <t>Grey</t>
  </si>
  <si>
    <t>Dorchester NewHide A5 Desk Diary, Day Per Page, Red</t>
  </si>
  <si>
    <t>https://corporate.abbeygate-england.com/wp-content/uploads/2025/12/Front-Copy-34.png, https://corporate.abbeygate-england.com/wp-content/uploads/2025/12/UC71-scaled.webp</t>
  </si>
  <si>
    <t>Red</t>
  </si>
  <si>
    <t>Dorchester NewHide A5 Desk Diary, Day Per Page, Tan</t>
  </si>
  <si>
    <t>&lt;div class="about"&gt;_x000D_\n&lt;div class="about__accordion-item"&gt;_x000D_\n&lt;div class="about__accordion-description richtext__content"&gt;_x000D_\n&lt;div class="metafield-rich_text_field"&gt;_x000D_\n_x000D_\nIntroducing the Dorchester Newhide A5 Desk Diary ? White Paper ? Day per Page, the perfect planning solution for those who need detailed, day-by-day organization in 2025. Crafted from the same high-quality, vegan leather durable as the rest of our Dorchester range, this diary has been designed for maximum comfort and practicality. Its soft, lightweight, and flexible cover combines luxury with functionality, ensuring it holds up to daily use while feeling great in hand._x000D_\n_x000D_\nThe diary is meticulously finished with coordinated perimeter stitching, giving it a refined and polished appearance. Inside, you?ll find FSC-certified recycled white paper, offering an eco-conscious choice for professionals and planners alike. The Day per Page layout provides ample space for detailed scheduling, note-taking, or task tracking, allowing you to manage each day with precision._x000D_\n_x000D_\nIdeal for busy professionals, students, or anyone who values structured, daily planning, this A5 desk diary is compact enough to sit neatly on your desk or slip into your bag for on-the-go organization. Its thoughtful design, premium feel, and sustainability make it more than just a diary?it?s an essential tool for maintaining productivity and style throughout the year._x000D_\n_x000D_\n&lt;/div&gt;_x000D_\n&lt;/div&gt;_x000D_\n&lt;/div&gt;_x000D_\n&lt;/div&gt;</t>
  </si>
  <si>
    <t>https://corporate.abbeygate-england.com/wp-content/uploads/2025/12/Front-Copy-35.png, https://corporate.abbeygate-england.com/wp-content/uploads/2025/12/UC71-scaled.webp</t>
  </si>
  <si>
    <t>Tan</t>
  </si>
  <si>
    <t>Dorchester NewHide A5 Desk Diary, Week To View, Black</t>
  </si>
  <si>
    <t>&lt;p dir="ltr"&gt;Organize 2026 in style with the Dorchester Premium A5 Desk Diary?a sleek, flexible faux leather diary with FSC-certified recycled white paper and a Week to View layout. Perfect for everyday planning.&lt;/p&gt;_x000D_\n&amp;nbsp;</t>
  </si>
  <si>
    <t>&lt;div class="about"&gt;_x000D_\n&lt;div class="about__accordion-item"&gt;_x000D_\n&lt;div class="about__accordion-description richtext__content"&gt;_x000D_\n&lt;div class="metafield-rich_text_field"&gt;_x000D_\n_x000D_\nIntroducing the Dorchester NewHide Premium A5 Desk Diary ? White FSC recycled aper ? Week to View diary layout, a perfect combination of elegance and functionality for 2026. Crafted from the same durable soft feel vegan leather material. A cover that defines the Dorchester range, this diary has been re-engineered for an even softer, lighter, and more flexible feel. The result is a sleek and luxurious accessory that complements both professional and personal settings.The exterior features coordinated cotton perimeter stitching, giving the diary a refined, polished look that enhances its premium feel. Inside, you?ll find FSC-recycled white paper, making this diary not only beautiful but also an environmentally responsible choice. The Week to View layout provides an efficient overview of your schedule, allowing for easy planning and organization.Designed to be both practical and stylish, this A5 desk diary?s compact size ensures it?s the perfect companion for your desk or on-the-go use. Whether you're jotting down appointments, managing deadlines, or keeping track of personal tasks, the Dorchester NewHide Premium A5 Desk Diary stands out as a high-quality, eco-conscious solution that blends seamlessly into your daily routine. This diary is more than just a planning tool?it?s an accessory that reflects your taste and values._x000D_\n_x000D_\n&lt;/div&gt;_x000D_\n&lt;/div&gt;_x000D_\n&lt;/div&gt;_x000D_\n&lt;/div&gt;</t>
  </si>
  <si>
    <t>Diaries &gt; A5 Diary, Diaries, Dorchester Collection, Diaries &gt; Faux Leather Diaries, Diaries &gt; A5 Diary &gt; WTV</t>
  </si>
  <si>
    <t>Dorchester-NewHide-A5-Desk-Diary-Week-To-View</t>
  </si>
  <si>
    <t>https://corporate.abbeygate-england.com/wp-content/uploads/2025/12/Front-Copy-30.png, https://corporate.abbeygate-england.com/wp-content/uploads/2025/12/UC73-scaled.webp</t>
  </si>
  <si>
    <t>a:3:{i:0;a:3:{s:5:"title";s:15:"Special Feature";s:2:"id";s:15:"special-feature";s:7:"content";s:525:"&lt;ul style="color: rgba(0, 0, 0, 0.7);"&gt;_x000D_
 	&lt;li&gt;Material: Soft, lightweight, and flexible soft feel vegan leather&lt;/li&gt;_x000D_
 	&lt;li&gt;Design: Coordinated perimeter stitching for a polished, professional look&lt;/li&gt;_x000D_
 	&lt;li&gt;Pages: FSC-certified recycled white paper for eco-conscious planning&lt;/li&gt;_x000D_
 	&lt;li&gt;Layout: Week to View format for easy scheduling and organization&lt;/li&gt;_x000D_
 	&lt;li&gt;Size: A5, perfect for desk use or on-the-go convenience&lt;/li&gt;_x000D_
 	&lt;li&gt;Ideal for: A premium diary that stands out for both quality and practicality&lt;/li&gt;_x000D_
&lt;/ul&gt;";}i:1;a:3:{s:5:"title";s:8:"Shipping";s:2:"id";s:8:"shipping";s:7:"content";s:206:"&lt;ul style="color: rgba(0, 0, 0, 0.7);"&gt;_x000D_
 	&lt;li&gt;Express delivery&lt;/li&gt;_x000D_
 	&lt;li&gt;Customise with your company logo&lt;/li&gt;_x000D_
 	&lt;li&gt;Personalisation options available&lt;/li&gt;_x000D_
 	&lt;li&gt;Further details in checkout&lt;/li&gt;_x000D_
&lt;/ul&gt;";}i:2;a:3:{s:5:"title";s:19:"Quality Information";s:2:"id";s:19:"quality-information";s:7:"content";s:103:"&lt;ul style="color: rgba(0, 0, 0, 0.7);"&gt;_x000D_
 	&lt;li&gt;FSC certified&lt;/li&gt;_x000D_
 	&lt;li&gt;Manufactured in UK&lt;/li&gt;_x000D_
&lt;/ul&gt;";}}</t>
  </si>
  <si>
    <t>1:13.50;10:9.56;25:7.28;50:6.18;100:5.74;250:5.54;</t>
  </si>
  <si>
    <t>Dorchester NewHide A5 Desk Diary, Week To View, Blue</t>
  </si>
  <si>
    <t>https://corporate.abbeygate-england.com/wp-content/uploads/2025/12/Front-Copy-31.png, https://corporate.abbeygate-england.com/wp-content/uploads/2025/12/UC73-scaled.webp</t>
  </si>
  <si>
    <t>Dorchester NewHide A5 Desk Diary, Week To View, Green</t>
  </si>
  <si>
    <t>https://corporate.abbeygate-england.com/wp-content/uploads/2025/12/Front-Copy-32.png, https://corporate.abbeygate-england.com/wp-content/uploads/2025/12/UC73-scaled.webp</t>
  </si>
  <si>
    <t>Dorchester NewHide A5 Desk Diary, Week To View, Grey</t>
  </si>
  <si>
    <t>https://corporate.abbeygate-england.com/wp-content/uploads/2025/12/Front-Copy-33.png, https://corporate.abbeygate-england.com/wp-content/uploads/2025/12/UC73-scaled.webp</t>
  </si>
  <si>
    <t>Dorchester NewHide A5 Desk Diary, Week To View, Red</t>
  </si>
  <si>
    <t>https://corporate.abbeygate-england.com/wp-content/uploads/2025/12/Front-Copy-34.png, https://corporate.abbeygate-england.com/wp-content/uploads/2025/12/UC73-scaled.webp</t>
  </si>
  <si>
    <t>Harrogate SaharaHide Faux Leather A5 Diary, Day Per Page, Black</t>
  </si>
  <si>
    <t>&lt;p dir="ltr"&gt;Stay organized in style with the Harrogate A5 Diary - Day per Page. Featuring a luxurious leather-like Harrogate cover, cream FSC paper, and a Self?colour cotton stitched flexible cover gold ribbon marker, this diary is the perfect blend of elegance and practicality for daily planning.&lt;/p&gt;</t>
  </si>
  <si>
    <t>&lt;div class="about"&gt;_x000D_\n&lt;div class="about__accordion-item"&gt;_x000D_\n&lt;div class="about__accordion-description richtext__content"&gt;_x000D_\n&lt;div class="metafield-rich_text_field"&gt;_x000D_\n_x000D_\nThe Harrogate A5 Diary - Cream Paper - Day per Page is crafted for those who value luxury in their daily organization. Bound in our exclusive Harrogate material, this diary offers a plush, smooth, and glossy leather-like finish that?s both durable and sophisticated. Perfectly suited for the branding and luxury design markets, Harrogate combines high-end aesthetics with exceptional durability, making it a standout choice for corporate gifting and personal use alike._x000D_\n_x000D_\nInside, each page is dedicated to a single day, allowing ample space for detailed planning and note-taking. The cream-colored pages offer a premium writing experience, while a gold ribbon page marker ensures easy navigation, keeping your place with elegance. Real perimeter stitching and a blind-embossed year date enhance the overall refined design, while the flexible, sturdy cover maintains a polished appearance with daily use._x000D_\n_x000D_\nWhether you?re managing a busy work schedule or organizing personal plans, the Harrogate A5 Diary is designed to add a touch of class to your routine, setting the standard for high-value, impressionable branding or personal accessories._x000D_\n_x000D_\n&lt;/div&gt;_x000D_\n&lt;/div&gt;_x000D_\n&lt;/div&gt;_x000D_\n&lt;/div&gt;</t>
  </si>
  <si>
    <t>Diaries &gt; A5 Diary, Diaries, Diaries &gt; A5 Diary &gt; DPP, Diaries &gt; Faux Leather Diaries, Harrogate Collection</t>
  </si>
  <si>
    <t>Harrogate-SaharaHide-Faux-Leather-A5-Diary-Day-Per-Page</t>
  </si>
  <si>
    <t>https://corporate.abbeygate-england.com/wp-content/uploads/2025/12/Front-Copy-36.png, https://corporate.abbeygate-england.com/wp-content/uploads/2025/12/UC82-scaled.webp</t>
  </si>
  <si>
    <t>Harrogate</t>
  </si>
  <si>
    <t>a:3:{i:0;a:3:{s:5:"title";s:15:"Special Feature";s:2:"id";s:15:"special-feature";s:7:"content";s:522:"&lt;ul style="color: rgba(0, 0, 0, 0.7);"&gt;_x000D_
 	&lt;li&gt;Material: Premium Harrogate PU with smooth, glossy, leather-like finish&lt;/li&gt;_x000D_
 	&lt;li&gt;Layout: Day per page format for comprehensive daily planning&lt;/li&gt;_x000D_
 	&lt;li&gt;Design: Real perimeter stitching with blind-embossed year date for elegance&lt;/li&gt;_x000D_
 	&lt;li&gt;Pages: Cream-colored paper for a refined writing experience&lt;/li&gt;_x000D_
 	&lt;li&gt;Marker: Gold ribbon page marker for easy navigation&lt;/li&gt;_x000D_
 	&lt;li&gt;Ideal For: High-end branding, gifting, and daily organization in a sleek A5 format&lt;/li&gt;_x000D_
&lt;/ul&gt;";}i:1;a:3:{s:5:"title";s:8:"Shipping";s:2:"id";s:8:"shipping";s:7:"content";s:206:"&lt;ul style="color: rgba(0, 0, 0, 0.7);"&gt;_x000D_
 	&lt;li&gt;Express delivery&lt;/li&gt;_x000D_
 	&lt;li&gt;Customise with your company logo&lt;/li&gt;_x000D_
 	&lt;li&gt;Personalisation options available&lt;/li&gt;_x000D_
 	&lt;li&gt;Further details in checkout&lt;/li&gt;_x000D_
&lt;/ul&gt;";}i:2;a:3:{s:5:"title";s:19:"Quality Information";s:2:"id";s:19:"quality-information";s:7:"content";s:103:"&lt;ul style="color: rgba(0, 0, 0, 0.7);"&gt;_x000D_
 	&lt;li&gt;FSC certified&lt;/li&gt;_x000D_
 	&lt;li&gt;Manufactured in UK&lt;/li&gt;_x000D_
&lt;/ul&gt;";}}</t>
  </si>
  <si>
    <t>1:14.99;10:10.26;25:9.54;50:8.47;100:8.26;250:7.54;</t>
  </si>
  <si>
    <t>Harrogate SaharaHide Faux Leather A5 Diary, Day Per Page, Burgundy</t>
  </si>
  <si>
    <t>https://corporate.abbeygate-england.com/wp-content/uploads/2025/12/Front-Copy-37.png, https://corporate.abbeygate-england.com/wp-content/uploads/2025/12/UC82-scaled.webp</t>
  </si>
  <si>
    <t>Harrogate SaharaHide Faux Leather A5 Diary, Day Per Page, Dark Blue</t>
  </si>
  <si>
    <t>&lt;div class="about"&gt;_x000D_\n&lt;div class="about__accordion-item"&gt;_x000D_\n&lt;div class="about__accordion-description richtext__content"&gt;_x000D_\n&lt;div class="metafield-rich_text_field"&gt;_x000D_\n&lt;blockquote&gt;The Harrogate A5 Diary - Cream Paper - Day per Page is crafted for those who value luxury in their daily organization. Bound in our exclusive Harrogate material, this diary offers a plush, smooth, and glossy leather-like finish that?s both durable and sophisticated. Perfectly suited for the branding and luxury design markets, Harrogate combines high-end aesthetics with exceptional durability, making it a standout choice for corporate gifting and personal use alike.&lt;/blockquote&gt;_x000D_\nInside, each page is dedicated to a single day, allowing ample space for detailed planning and note-taking. The cream-colored pages offer a premium writing experience, while a gold ribbon page marker ensures easy navigation, keeping your place with elegance. Real perimeter stitching and a blind-embossed year date enhance the overall refined design, while the flexible, sturdy cover maintains a polished appearance with daily use._x000D_\n_x000D_\nWhether you?re managing a busy work schedule or organizing personal plans, the Harrogate A5 Diary is designed to add a touch of class to your routine, setting the standard for high-value, impressionable branding or personal accessories._x000D_\n_x000D_\n&lt;/div&gt;_x000D_\n&lt;/div&gt;_x000D_\n&lt;/div&gt;_x000D_\n&lt;/div&gt;</t>
  </si>
  <si>
    <t>https://corporate.abbeygate-england.com/wp-content/uploads/2025/12/Front-Copy-38.png, https://corporate.abbeygate-england.com/wp-content/uploads/2025/12/UC82-scaled.webp</t>
  </si>
  <si>
    <t>Harrogate SaharaHide Faux Leather A5 Diary, Day Per Page, Green</t>
  </si>
  <si>
    <t>https://corporate.abbeygate-england.com/wp-content/uploads/2025/12/Front-Copy-39.png, https://corporate.abbeygate-england.com/wp-content/uploads/2025/12/UC82-scaled.webp</t>
  </si>
  <si>
    <t>Lewes SmoothGrain A5 Desk Diary, Day Per Page, Black</t>
  </si>
  <si>
    <t>&lt;p dir="ltr"&gt;Organize your days with the Lewes A5 Desk Diary ? White Paper ? Day per Page! Featuring a chic matte PU cover, durable thread-bound pages, and a spacious day-per-page layout, this diary is perfect for your busy schedule. Made with FSC-certified recycled white paper, it includes a white ribbon marker and stylish debossed year dates for an elegant touch!&lt;/p&gt;</t>
  </si>
  <si>
    <t>&lt;div class="about"&gt;_x000D_\n&lt;div class="about__accordion-item"&gt;_x000D_\n&lt;div class="about__accordion-description richtext__content"&gt;_x000D_\n&lt;div class="metafield-rich_text_field"&gt;_x000D_\n_x000D_\nIntroducing the Lewes A5 Desk Diary ? White Paper ? Day per Page, a sophisticated solution for those who prioritize both style and functionality in their daily planning. Bound in a contemporary matte PU covering material, this diary offers a sleek, modern aesthetic that serves as a fantastic alternative to our traditional FineGrain range._x000D_\n_x000D_\nDesigned for durability, the internal pages are thread-bound in small sections, ensuring they withstand the rigors of daily use while providing a smooth writing experience. The day-per-page layout allows for ample space to jot down your thoughts, appointments, and tasks, making it ideal for busy professionals and students alike._x000D_\n_x000D_\nEach diary in our Lewes collection features FSC-certified recycled white paper, showcasing our commitment to sustainability and responsible sourcing. A white ribbon marker provides easy access to your current date, while the debossed year dates add a touch of elegance and sophistication to the overall design. Elevate your organizational skills with the Lewes A5 Desk Diary?where contemporary design meets practicality for an enhanced planning experience._x000D_\n_x000D_\n&lt;/div&gt;_x000D_\n&lt;/div&gt;_x000D_\n&lt;/div&gt;_x000D_\n&lt;/div&gt;</t>
  </si>
  <si>
    <t>Diaries &gt; A5 Diary, Diaries, Diaries &gt; A5 Diary &gt; DPP, Foil blocked, Lewes Collection</t>
  </si>
  <si>
    <t>Lewes-SmoothGrain-A5-Desk-Diary-Day-Per-Page</t>
  </si>
  <si>
    <t>https://corporate.abbeygate-england.com/wp-content/uploads/2025/12/Front-Copy-40.png, https://corporate.abbeygate-england.com/wp-content/uploads/2025/12/UC71-scaled.webp</t>
  </si>
  <si>
    <t>Lewes</t>
  </si>
  <si>
    <t>a:3:{i:0;a:3:{s:5:"title";s:15:"Special Feature";s:2:"id";s:15:"special-feature";s:7:"content";s:455:"&lt;ul style="color: rgba(0, 0, 0, 0.7);"&gt;_x000D_
 	&lt;li&gt;Material: Contemporary and vibrant finish material&lt;/li&gt;_x000D_
 	&lt;li&gt;Layout: Day-per-page design for ample writing space&lt;/li&gt;_x000D_
 	&lt;li&gt;Pages: Made with FSC-certified recycled white paper&lt;/li&gt;_x000D_
 	&lt;li&gt;Design: Elegant debossed year dates for added sophistication, White ribbon marker for quick date access&lt;/li&gt;_x000D_
 	&lt;li&gt;Ideal for: Professionals and students seeking effective organization and stylish planning&lt;/li&gt;_x000D_
&lt;/ul&gt;";}i:1;a:3:{s:5:"title";s:8:"Shipping";s:2:"id";s:8:"shipping";s:7:"content";s:206:"&lt;ul style="color: rgba(0, 0, 0, 0.7);"&gt;_x000D_
 	&lt;li&gt;Express delivery&lt;/li&gt;_x000D_
 	&lt;li&gt;Customise with your company logo&lt;/li&gt;_x000D_
 	&lt;li&gt;Personalisation options available&lt;/li&gt;_x000D_
 	&lt;li&gt;Further details in checkout&lt;/li&gt;_x000D_
&lt;/ul&gt;";}i:2;a:3:{s:5:"title";s:19:"Quality Information";s:2:"id";s:19:"quality-information";s:7:"content";s:103:"&lt;ul style="color: rgba(0, 0, 0, 0.7);"&gt;_x000D_
 	&lt;li&gt;FSC certified&lt;/li&gt;_x000D_
 	&lt;li&gt;Manufactured in UK&lt;/li&gt;_x000D_
&lt;/ul&gt;";}}</t>
  </si>
  <si>
    <t>1:12.50;10:8.68;25:6.90;50:5.98;100:5.35;250:4.83;500:4.48;</t>
  </si>
  <si>
    <t>Lewes SmoothGrain A5 Desk Diary, Day Per Page, Blue</t>
  </si>
  <si>
    <t>https://corporate.abbeygate-england.com/wp-content/uploads/2025/12/Front-Copy-41.png, https://corporate.abbeygate-england.com/wp-content/uploads/2025/12/UC71-scaled.webp</t>
  </si>
  <si>
    <t>Lewes SmoothGrain A5 Desk Diary, Day Per Page, Grey</t>
  </si>
  <si>
    <t>https://corporate.abbeygate-england.com/wp-content/uploads/2025/12/Front-Copy-42.png, https://corporate.abbeygate-england.com/wp-content/uploads/2025/12/UC71-scaled.webp</t>
  </si>
  <si>
    <t>Lewes SmoothGrain A5 Desk Diary, Day Per Page, Red</t>
  </si>
  <si>
    <t>https://corporate.abbeygate-england.com/wp-content/uploads/2025/12/Front-Copy-43.png, https://corporate.abbeygate-england.com/wp-content/uploads/2025/12/UC71-scaled.webp</t>
  </si>
  <si>
    <t>Lewes SmoothGrain A5 Desk Diary, Day Per Page, Royal Blue</t>
  </si>
  <si>
    <t>https://corporate.abbeygate-england.com/wp-content/uploads/2025/12/Front-Copy-44.png, https://corporate.abbeygate-england.com/wp-content/uploads/2025/12/UC71-scaled.webp</t>
  </si>
  <si>
    <t>Lewes SmoothGrain A5 Desk Diary, Week To View, Black</t>
  </si>
  <si>
    <t>Keep your week organized with the Lewes A5 Desk Diary ? White Paper ? Week to View! Featuring a chic matte PU cover and durable thread-bound pages, this diary offers a spacious week-to-view layout for all your planning needs. Made from FSC-certified recycled white paper, it includes a white ribbon marker and stylish debossed year dates for a touch of elegance!</t>
  </si>
  <si>
    <t>&lt;div class="about"&gt;_x000D_\n&lt;div class="about__accordion-item"&gt;_x000D_\n&lt;div class="about__accordion-description richtext__content"&gt;_x000D_\n&lt;div class="metafield-rich_text_field"&gt;_x000D_\n_x000D_\nIntroducing the Lewes A5 Desk Diary ? White Paper ? Week to View, a sophisticated and practical choice for anyone looking to stay organized in style. This diary features a smart, contemporary matte PU covering that not only enhances its aesthetic appeal but also provides durability and protection._x000D_\n_x000D_\nEach diary is meticulously crafted with thread-bound internal pages, organized into small sections for added strength and longevity. The week-to-view layout allows you to easily see your upcoming appointments and tasks, making it ideal for busy professionals, students, and anyone managing a packed schedule._x000D_\n_x000D_\nOur entire Lewes collection is made with FSC-certified recycled white paper, reflecting our commitment to sustainability and responsible sourcing practices. The addition of a white ribbon marker allows for quick access to your current week, while the debossed year dates provide a touch of elegance and sophistication. Elevate your planning experience with the Lewes A5 Desk Diary?a perfect fusion of style and functionality for effective time management._x000D_\n_x000D_\n&lt;/div&gt;_x000D_\n&lt;/div&gt;_x000D_\n&lt;/div&gt;_x000D_\n&lt;/div&gt;</t>
  </si>
  <si>
    <t>Diaries &gt; A5 Diary, Diaries, Lewes Collection, Diaries &gt; A5 Diary &gt; WTV</t>
  </si>
  <si>
    <t>Lewes-SmoothGrain-A5-Desk-Diary-Week-To-View</t>
  </si>
  <si>
    <t>https://corporate.abbeygate-england.com/wp-content/uploads/2025/12/Front-Copy-45.png, https://corporate.abbeygate-england.com/wp-content/uploads/2025/12/UC73-scaled.webp</t>
  </si>
  <si>
    <t>a:3:{i:0;a:3:{s:5:"title";s:15:"Special Feature";s:2:"id";s:15:"special-feature";s:7:"content";s:456:"&lt;ul style="color: rgba(0, 0, 0, 0.7);"&gt;_x000D_
 	&lt;li&gt;Material: Contemporary and vibrant finish material&lt;/li&gt;_x000D_
 	&lt;li&gt;Layout: Week-to-view design for efficient scheduling&lt;/li&gt;_x000D_
 	&lt;li&gt;Pages: Made with FSC-certified recycled white paper&lt;/li&gt;_x000D_
 	&lt;li&gt;Design: Elegant debossed year dates for added sophistication, White ribbon marker for quick date access&lt;/li&gt;_x000D_
 	&lt;li&gt;Ideal for: Professionals and students seeking effective organization and stylish planning&lt;/li&gt;_x000D_
&lt;/ul&gt;";}i:1;a:3:{s:5:"title";s:8:"Shipping";s:2:"id";s:8:"shipping";s:7:"content";s:206:"&lt;ul style="color: rgba(0, 0, 0, 0.7);"&gt;_x000D_
 	&lt;li&gt;Express delivery&lt;/li&gt;_x000D_
 	&lt;li&gt;Customise with your company logo&lt;/li&gt;_x000D_
 	&lt;li&gt;Personalisation options available&lt;/li&gt;_x000D_
 	&lt;li&gt;Further details in checkout&lt;/li&gt;_x000D_
&lt;/ul&gt;";}i:2;a:3:{s:5:"title";s:19:"Quality Information";s:2:"id";s:19:"quality-information";s:7:"content";s:103:"&lt;ul style="color: rgba(0, 0, 0, 0.7);"&gt;_x000D_
 	&lt;li&gt;FSC certified&lt;/li&gt;_x000D_
 	&lt;li&gt;Manufactured in UK&lt;/li&gt;_x000D_
&lt;/ul&gt;";}}</t>
  </si>
  <si>
    <t>1:9.58;25:7.66;50:7.19;100:6.23;</t>
  </si>
  <si>
    <t>Lewes SmoothGrain A5 Desk Diary, Week To View, Blue</t>
  </si>
  <si>
    <t>Keep your week organized with the Lewes A5 Desk Diary ? White Paper ? Week to View! Featuring a chic matte PU cover and durable thread-bound pages, this diary offers a spacious week-to-view layout for all your planning needs. Made from FSC-certified recycled white paper, it includes a white ribbon marker and stylish debossed year dates for a touch of elegance!_x000D_\n_x000D_\n&amp;nbsp;</t>
  </si>
  <si>
    <t>https://corporate.abbeygate-england.com/wp-content/uploads/2025/12/Front-Copy-41.png, https://corporate.abbeygate-england.com/wp-content/uploads/2025/12/UC73-scaled.webp</t>
  </si>
  <si>
    <t>Lewes SmoothGrain A5 Desk Diary, Week To View, Grey</t>
  </si>
  <si>
    <t>https://corporate.abbeygate-england.com/wp-content/uploads/2025/12/Front-Copy-42.png, https://corporate.abbeygate-england.com/wp-content/uploads/2025/12/UC73-scaled.webp</t>
  </si>
  <si>
    <t>Lewes SmoothGrain A5 Desk Diary, Week To View, Red</t>
  </si>
  <si>
    <t>https://corporate.abbeygate-england.com/wp-content/uploads/2025/12/Front-Copy-43.png, https://corporate.abbeygate-england.com/wp-content/uploads/2025/12/UC73-scaled.webp</t>
  </si>
  <si>
    <t>Lewes SmoothGrain A5 Desk Diary, Week To View, Royal Blue</t>
  </si>
  <si>
    <t>https://corporate.abbeygate-england.com/wp-content/uploads/2025/12/Front-Copy-44.png, https://corporate.abbeygate-england.com/wp-content/uploads/2025/12/UC73-scaled.webp</t>
  </si>
  <si>
    <t>Richmond FineGrain A5 Desk Diary, Day Per Page, Black</t>
  </si>
  <si>
    <t>Organize your day in style with the Richmond FineGrain A5 Desk Diary - Day Per Page layout. With a leather-like cover, white paper, and a full page for each day, it?s the perfect blend of elegance and functionality.</t>
  </si>
  <si>
    <t>&lt;div class="about"&gt;_x000D_\n&lt;div class="about__accordion-item"&gt;_x000D_\n&lt;div class="about__accordion-description richtext__content"&gt;_x000D_\n&lt;div class="metafield-rich_text_field"&gt;_x000D_\n_x000D_\nThe Richmond FineGrain A5 Diary ? FSC certified, White recycled Paper - Day Per Page offers the ultimate blend of elegance and practicality for detailed daily planning. Bound in our luxurious Richmond Faux Leather material, this diary features a refined, leather-like texture that exudes classic sophistication, making it an ideal choice for professionals, students, and anyone who appreciates timeless design.The Richmond FineGrain with an elegant appearance that?s perfect for daily use and corporate gifting alike._x000D_\n_x000D_\nEach day is spread across a full page, offering ample space for scheduling, notes, and reflections, making it perfect for busy planners who need room to organize their day in detail. The FSC certified, white recycled paper provides a crisp, clean writing surface that enhances readability and supports smooth writing. The diary includes thoughtful touches like real smyth-sewn stitching and a sleek ribbon marker to keep you on track with ease._x000D_\n_x000D_\nWith its day-per-page layout, the Richmond FineGrain A5 Diary is a practical yet stylish tool for daily planning, balancing functionality with classic charm. Ideal for gifting or personal use, this diary is designed to stand out as a high-quality accessory that brings a touch of luxury to everyday organization._x000D_\n_x000D_\n&lt;/div&gt;_x000D_\n&lt;/div&gt;_x000D_\n&lt;/div&gt;_x000D_\n&lt;/div&gt;</t>
  </si>
  <si>
    <t>Diaries &gt; A5 Diary, Diaries, Diaries &gt; A5 Diary &gt; DPP, Foil blocked, Richmond Collection</t>
  </si>
  <si>
    <t>Richmond-FineGrain-A5-Desk-Diary-Day-per-Page</t>
  </si>
  <si>
    <t>https://corporate.abbeygate-england.com/wp-content/uploads/2025/12/Front-Copy-46.png, https://corporate.abbeygate-england.com/wp-content/uploads/2025/12/UC82-scaled.webp</t>
  </si>
  <si>
    <t>Richmond</t>
  </si>
  <si>
    <t>a:3:{i:0;a:3:{s:5:"title";s:15:"Special Feature";s:2:"id";s:15:"special-feature";s:7:"content";s:467:"&lt;ul style="color: rgba(0, 0, 0, 0.7);"&gt;_x000D_
 	&lt;li&gt;Material: Luxurious Richmond FineGrain cover with soft, leather-like texture&lt;/li&gt;_x000D_
 	&lt;li&gt;Layout: Day per page, offering ample space for detailed planning&lt;/li&gt;_x000D_
 	&lt;li&gt;Design: Elegant A5 size with real smyth-sewn and ribbon marker&lt;/li&gt;_x000D_
 	&lt;li&gt;Pages: High-quality white paper for a clear, clean writing experience&lt;/li&gt;_x000D_
 	&lt;li&gt;Ideal For: Sophisticated daily planning, corporate gifting, and personal organization&lt;/li&gt;_x000D_
&lt;/ul&gt;";}i:1;a:3:{s:5:"title";s:8:"Shipping";s:2:"id";s:8:"shipping";s:7:"content";s:206:"&lt;ul style="color: rgba(0, 0, 0, 0.7);"&gt;_x000D_
 	&lt;li&gt;Express delivery&lt;/li&gt;_x000D_
 	&lt;li&gt;Customise with your company logo&lt;/li&gt;_x000D_
 	&lt;li&gt;Personalisation options available&lt;/li&gt;_x000D_
 	&lt;li&gt;Further details in checkout&lt;/li&gt;_x000D_
&lt;/ul&gt;";}i:2;a:3:{s:5:"title";s:19:"Quality Information";s:2:"id";s:19:"quality-information";s:7:"content";s:103:"&lt;ul style="color: rgba(0, 0, 0, 0.7);"&gt;_x000D_
 	&lt;li&gt;FSC certified&lt;/li&gt;_x000D_
 	&lt;li&gt;Manufactured in UK&lt;/li&gt;_x000D_
&lt;/ul&gt;";}}</t>
  </si>
  <si>
    <t>Richmond FineGrain A5 Desk Diary, Day Per-Page, Black</t>
  </si>
  <si>
    <t>Organize your day in style with the Richmond FineGrain A5 Desk Diary - Day Per Page layout. With a leather-like cover, cream paper, and a full page for each day, it?s the perfect blend of elegance and functionality.</t>
  </si>
  <si>
    <t>The Richmond Faux Leather A5 Diary - Cream Paper - Day Per Page combines elegance and functionality in a sophisticated daily planner. Encased in our premium Richmond Faux Leather material, this diary features a soft, leather-like texture that exudes timeless appeal, making it an excellent choice for those who value classic design in a practical format. The Richmond Faux Leather cover provides both durability and refined style, ideal for daily use and corporate gifting alike._x000D_\n_x000D_\nInside, each day is allocated a full page, offering ample room for comprehensive planning, notes, and reflections. The cream-colored pages add a warm, sophisticated touch, enhancing readability and creating a luxurious writing experience. With its real perimeter stitching and sleek ribbon marker, this diary makes it easy to keep track of your day while adding a touch of class to your daily routine._x000D_\n_x000D_\nPerfect for professionals, students, and anyone who appreciates high-quality daily organization, the Richmond Faux Leather A5 Diary combines practical design with premium materials, making it a standout choice for those seeking both style and substance in their planners.</t>
  </si>
  <si>
    <t>Richmond-FineGrain-A5-Desk-Diary-Day-per-Page-1</t>
  </si>
  <si>
    <t>https://corporate.abbeygate-england.com/wp-content/uploads/2025/12/Front-Copy-46.png, https://corporate.abbeygate-england.com/wp-content/uploads/2025/12/UC71-scaled.webp</t>
  </si>
  <si>
    <t>Richmond FineGrain A5 Desk Diary, Day Per Page, Blue</t>
  </si>
  <si>
    <t>https://corporate.abbeygate-england.com/wp-content/uploads/2025/12/Front-Copy-47.png, https://corporate.abbeygate-england.com/wp-content/uploads/2025/12/UC71-scaled.webp</t>
  </si>
  <si>
    <t>https://corporate.abbeygate-england.com/wp-content/uploads/2025/12/Front-Copy-47.png, https://corporate.abbeygate-england.com/wp-content/uploads/2025/12/UC82-scaled.webp</t>
  </si>
  <si>
    <t>Richmond FineGrain A5 Desk Diary, Day Per Page, Burgundy</t>
  </si>
  <si>
    <t>https://corporate.abbeygate-england.com/wp-content/uploads/2025/12/Front-Copy-48.png, https://corporate.abbeygate-england.com/wp-content/uploads/2025/12/UC71-scaled.webp</t>
  </si>
  <si>
    <t>https://corporate.abbeygate-england.com/wp-content/uploads/2025/12/Front-Copy-48.png, https://corporate.abbeygate-england.com/wp-content/uploads/2025/12/UC82-scaled.webp</t>
  </si>
  <si>
    <t>Richmond FineGrain A5 Desk Diary, Day Per Page, Dark Blue</t>
  </si>
  <si>
    <t>https://corporate.abbeygate-england.com/wp-content/uploads/2025/12/Front-Copy-49.png, https://corporate.abbeygate-england.com/wp-content/uploads/2025/12/UC71-scaled.webp</t>
  </si>
  <si>
    <t>https://corporate.abbeygate-england.com/wp-content/uploads/2025/12/Front-Copy-49.png, https://corporate.abbeygate-england.com/wp-content/uploads/2025/12/UC82-scaled.webp</t>
  </si>
  <si>
    <t>Richmond FineGrain A5 Desk Diary, Day Per Page, Green</t>
  </si>
  <si>
    <t>Organize your day in style with the Richmond FineGrain A5 Desk Diary - Day Per Page layout. With a leather-like cover, white paper, and a full page for each day, it?s the perfect blend of elegance and functionality._x000D_\n_x000D_\n&amp;nbsp;</t>
  </si>
  <si>
    <t>https://corporate.abbeygate-england.com/wp-content/uploads/2025/12/Front-Copy-50.png, https://corporate.abbeygate-england.com/wp-content/uploads/2025/12/UC82-scaled.webp</t>
  </si>
  <si>
    <t>https://corporate.abbeygate-england.com/wp-content/uploads/2025/12/Front-Copy-50.png, https://corporate.abbeygate-england.com/wp-content/uploads/2025/12/UC71-scaled.webp</t>
  </si>
  <si>
    <t>Richmond FineGrain A5 Desk Diary, Day Per Page, Purple</t>
  </si>
  <si>
    <t>https://corporate.abbeygate-england.com/wp-content/uploads/2025/12/Front-Copy-51.png, https://corporate.abbeygate-england.com/wp-content/uploads/2025/12/UC71-scaled.webp</t>
  </si>
  <si>
    <t>Pink</t>
  </si>
  <si>
    <t>https://corporate.abbeygate-england.com/wp-content/uploads/2025/12/Front-Copy-51.png, https://corporate.abbeygate-england.com/wp-content/uploads/2025/12/UC82-scaled.webp</t>
  </si>
  <si>
    <t>Purple</t>
  </si>
  <si>
    <t>Richmond FineGrain A5 Desk Diary, Day Per Page, Red</t>
  </si>
  <si>
    <t>https://corporate.abbeygate-england.com/wp-content/uploads/2025/12/Front-Copy-52.png, https://corporate.abbeygate-england.com/wp-content/uploads/2025/12/UC71-scaled.webp</t>
  </si>
  <si>
    <t>https://corporate.abbeygate-england.com/wp-content/uploads/2025/12/Front-Copy-52.png, https://corporate.abbeygate-england.com/wp-content/uploads/2025/12/UC82-scaled.webp</t>
  </si>
  <si>
    <t>Richmond FineGrain A5 Desk Diary, Week To View, Black</t>
  </si>
  <si>
    <t>Stay on top of your schedule with the Richmond FineGrain A5 Diary - Week to View layout. Featuring a luxurious leather-like cover, white FSC recycled paper, and a convenient ribbon marker, it?s a sleek essential for weekly planning.</t>
  </si>
  <si>
    <t>The Richmond Faux Leather A5 Diary - White Paper - Week to View is crafted to meet the needs of those who value both elegance and streamlined organization. Featuring our Richmond Faux Leather cover material, this diary has a refined, leather-like texture that offers a classic look and feel. Perfect for professionals and students alike, the Richmond Faux Leather A5 Diary combines a timeless aesthetic with everyday durability, making it an ideal companion for any schedule._x000D_\n_x000D_\nEach week is displayed across two pages, allowing you to see all your engagements, tasks, and notes at a glance. The diary is printed on high-quality white paper, which provides a smooth, crisp writing surface, while a real perimeter-stitched cover and sleek ribbon marker lend a touch of sophistication and practicality. With a compact A5 size, it?s easy to carry on the go, ensuring that you?re organized wherever life takes you._x000D_\n_x000D_\nWhether for personal use or corporate gifting, the Richmond Faux Leather A5 Diary brings together premium quality and classic styling, making it a beautiful yet practical choice for organized living.</t>
  </si>
  <si>
    <t>Diaries &gt; A5 Diary, Diaries, Foil blocked, Richmond Collection, Diaries &gt; A5 Diary &gt; WTV</t>
  </si>
  <si>
    <t>Richmond-FineGrain-A5-Desk-Diary-Week-To-View</t>
  </si>
  <si>
    <t>https://corporate.abbeygate-england.com/wp-content/uploads/2025/12/Front-Copy-46.png, https://corporate.abbeygate-england.com/wp-content/uploads/2025/12/UC73-scaled.webp</t>
  </si>
  <si>
    <t>a:3:{i:0;a:3:{s:5:"title";s:15:"Special Feature";s:2:"id";s:15:"special-feature";s:7:"content";s:485:"&lt;ul style="color: rgba(0, 0, 0, 0.7);"&gt;_x000D_
 	&lt;li&gt;Material: Classic Richmond Faux Leather cover with soft, leather-like texture&lt;/li&gt;_x000D_
 	&lt;li&gt;Layout: Week to view across two pages for clear, organized planning&lt;/li&gt;_x000D_
 	&lt;li&gt;Design: A5 size with real perimeter stitching and a ribbon marker for convenience&lt;/li&gt;_x000D_
 	&lt;li&gt;Pages: High-quality white paper for a smooth writing experience&lt;/li&gt;_x000D_
 	&lt;li&gt;Ideal For: Compact, elegant weekly planning, corporate gifting, and daily organization&lt;/li&gt;_x000D_
&lt;/ul&gt;";}i:1;a:3:{s:5:"title";s:8:"Shipping";s:2:"id";s:8:"shipping";s:7:"content";s:206:"&lt;ul style="color: rgba(0, 0, 0, 0.7);"&gt;_x000D_
 	&lt;li&gt;Express delivery&lt;/li&gt;_x000D_
 	&lt;li&gt;Customise with your company logo&lt;/li&gt;_x000D_
 	&lt;li&gt;Personalisation options available&lt;/li&gt;_x000D_
 	&lt;li&gt;Further details in checkout&lt;/li&gt;_x000D_
&lt;/ul&gt;";}i:2;a:3:{s:5:"title";s:19:"Quality Information";s:2:"id";s:19:"quality-information";s:7:"content";s:103:"&lt;ul style="color: rgba(0, 0, 0, 0.7);"&gt;_x000D_
 	&lt;li&gt;FSC certified&lt;/li&gt;_x000D_
 	&lt;li&gt;Manufactured in UK&lt;/li&gt;_x000D_
&lt;/ul&gt;";}}</t>
  </si>
  <si>
    <t>Richmond FineGrain A5 Desk Diary, Week To View, Blue</t>
  </si>
  <si>
    <t>https://corporate.abbeygate-england.com/wp-content/uploads/2025/12/Front-Copy-47.png, https://corporate.abbeygate-england.com/wp-content/uploads/2025/12/UC73-scaled.webp</t>
  </si>
  <si>
    <t>Richmond FineGrain A5 Desk Diary, Week To View, Burgundy</t>
  </si>
  <si>
    <t>https://corporate.abbeygate-england.com/wp-content/uploads/2025/12/Front-Copy-48.png, https://corporate.abbeygate-england.com/wp-content/uploads/2025/12/UC73-scaled.webp</t>
  </si>
  <si>
    <t>Richmond FineGrain A5 Desk Diary, Week To View, Green</t>
  </si>
  <si>
    <t>https://corporate.abbeygate-england.com/wp-content/uploads/2025/12/Front-Copy-50.png, https://corporate.abbeygate-england.com/wp-content/uploads/2025/12/UC73-scaled.webp</t>
  </si>
  <si>
    <t>Richmond FineGrain A5 Desk Diary, Week To View, Purple</t>
  </si>
  <si>
    <t>https://corporate.abbeygate-england.com/wp-content/uploads/2025/12/Front-Copy-51.png, https://corporate.abbeygate-england.com/wp-content/uploads/2025/12/UC73-scaled.webp</t>
  </si>
  <si>
    <t>Richmond FineGrain A5 Desk Diary, Week To View, Red</t>
  </si>
  <si>
    <t>https://corporate.abbeygate-england.com/wp-content/uploads/2025/12/Front-Copy-52.png, https://corporate.abbeygate-england.com/wp-content/uploads/2025/12/UC73-scaled.webp</t>
  </si>
  <si>
    <t>Stay organized and stylish with the Graphic Prints Full Colour A5 Diary - Day per Page. Featuring a vibrant, customizable full-colour cover, white paper, and a spacious day-per-page layout, this diary is the perfect tool for detailed daily planning.</t>
  </si>
  <si>
    <t>The Graphic Prints Full Colour A5 Diary - White Paper ? Day Per Page combines bold, vibrant design with practicality and sophistication. Bound in high-quality Graphic Prints material, this diary is perfect for those who want a customizable, durable, and sleek way to organize their daily schedule. The full-colour cover allows for complete personalization, making it an excellent choice for businesses or individuals looking to showcase their brand or personality._x000D_\n_x000D_\nWith a day-per-page layout, this diary provides ample space to write down daily appointments, to-do lists, notes, and reminders. Each page offers a clean, white backdrop that enhances readability and makes writing a smooth and enjoyable experience. The A5 size is perfect for those who need a bit more room for their daily planning without being overly bulky. The diary also includes a ribbon marker for easy access to the current day, as well as durable perimeter stitching, ensuring that it stands the test of time. Whether you're managing personal tasks or professional commitments, the Graphic Prints Full Colour A5 Diary ensures you do it in style and with organization.</t>
  </si>
  <si>
    <t>Diaries &gt; A5 Diary, Diaries, Diaries &gt; A5 Diary &gt; DPP, Graphic Print Collection</t>
  </si>
  <si>
    <t>Graphic-Prints-A5-Diary-Week-to-View</t>
  </si>
  <si>
    <t>https://corporate.abbeygate-england.com/wp-content/uploads/2025/12/Front-202-e1776058415531.png, https://corporate.abbeygate-england.com/wp-content/uploads/2025/12/UC71-scaled.webp</t>
  </si>
  <si>
    <t>a:3:{i:0;a:3:{s:5:"title";s:15:"Special Feature";s:2:"id";s:15:"special-feature";s:7:"content";s:550:"&lt;ul style="color: rgba(0, 0, 0, 0.7);"&gt;_x000D_
 	&lt;li&gt;Material: High-quality Graphic Prints material with a customizable full-colour cover for a vibrant, personalized look&lt;/li&gt;_x000D_
 	&lt;li&gt;Layout: Day per page for detailed organization of daily tasks, meetings, and notes&lt;/li&gt;_x000D_
 	&lt;li&gt;Design: A5 size with a ribbon marker and sturdy perimeter stitching for durability and ease of use&lt;/li&gt;_x000D_
 	&lt;li&gt;Pages: White paper for clear, smooth writing and easy readability&lt;/li&gt;_x000D_
 	&lt;li&gt;Ideal For: Custom branding, detailed daily planning, and stylish organization&lt;/li&gt;_x000D_
&lt;/ul&gt;";}i:1;a:3:{s:5:"title";s:8:"Shipping";s:2:"id";s:8:"shipping";s:7:"content";s:206:"&lt;ul style="color: rgba(0, 0, 0, 0.7);"&gt;_x000D_
 	&lt;li&gt;Express delivery&lt;/li&gt;_x000D_
 	&lt;li&gt;Customise with your company logo&lt;/li&gt;_x000D_
 	&lt;li&gt;Personalisation options available&lt;/li&gt;_x000D_
 	&lt;li&gt;Further details in checkout&lt;/li&gt;_x000D_
&lt;/ul&gt;";}i:2;a:3:{s:5:"title";s:19:"Quality Information";s:2:"id";s:19:"quality-information";s:7:"content";s:103:"&lt;ul style="color: rgba(0, 0, 0, 0.7);"&gt;_x000D_
 	&lt;li&gt;FSC certified&lt;/li&gt;_x000D_
 	&lt;li&gt;Manufactured in UK&lt;/li&gt;_x000D_
&lt;/ul&gt;";}}</t>
  </si>
  <si>
    <t>Diaries &gt; A5 Diary, Diaries, Graphic Print Collection, Diaries &gt; A5 Diary &gt; WTV</t>
  </si>
  <si>
    <t>https://corporate.abbeygate-england.com/wp-content/uploads/2025/12/Front-202-e1776058415531.png, https://corporate.abbeygate-england.com/wp-content/uploads/2025/12/UC73-scaled.webp</t>
  </si>
  <si>
    <t>Graphic Prints</t>
  </si>
  <si>
    <t>Full Colour</t>
  </si>
  <si>
    <t>Chelsea Leather Quarto Diary, Week To View, Black</t>
  </si>
  <si>
    <t>&lt;p class="p1"&gt;Chelsea Leather range, luxury soft grained real leather?week to view layout.&lt;span class="Apple-converted-space"&gt;?&lt;/span&gt;Smyth sewn sections for strength and durability printed on white or cream FSC paper.&lt;span class="Apple-converted-space"&gt;?&lt;/span&gt;Self-colour cotton perimeter stitched flexible cover, ribbon marker, general information pages, forward planners, UK and international holidays, contacts directory, notes page and full colour map section&lt;/p&gt;_x000D_\n&amp;nbsp;</t>
  </si>
  <si>
    <t>Chelsea Leather range, luxury soft grained real leather week to view layout. Smyth sewn sections for strength and durability printed on white or cream FSC paper. Self-colour cotton perimeter stitched flexible cover, ribbon marker, general information pages, forward planners, UK and international holidays, contacts directory, notes page and full colour map section</t>
  </si>
  <si>
    <t>Chelsea Collection, Diaries, Foil blocked, Diaries &gt; Quarto Diary, Diaries &gt; Quarto Diary &gt; Quarto WTV, Diaries &gt; Real Leather</t>
  </si>
  <si>
    <t>Chelsea-Leather-Quarto-Diary-Week-To-View</t>
  </si>
  <si>
    <t>https://corporate.abbeygate-england.com/wp-content/uploads/2025/12/Front-Copy-67.png, https://corporate.abbeygate-england.com/wp-content/uploads/2025/12/UC76-1-scaled.webp</t>
  </si>
  <si>
    <t>a:3:{i:0;a:3:{s:5:"title";s:15:"Special Feature";s:2:"id";s:15:"special-feature";s:7:"content";s:485:"&lt;ul style="color: rgba(0, 0, 0, 0.7);"&gt;_x000D_
 	&lt;li&gt;Material: luxury soft grained real leather&lt;/li&gt;_x000D_
 	&lt;li&gt;Layout: Week to view for detailed and organized planning of daily tasks and appointments&lt;/li&gt;_x000D_
 	&lt;li&gt;Design: Pocket size with real perimeter stitching and a ribbon marker for ease of use and durability&lt;/li&gt;_x000D_
 	&lt;li&gt;Pages: Crisp white paper for a clear and enjoyable writing experience&lt;/li&gt;_x000D_
 	&lt;li&gt;Ideal For: Professionals, detailed daily planning, and stylish organization&lt;/li&gt;_x000D_
&lt;/ul&gt;";}i:1;a:3:{s:5:"title";s:8:"Shipping";s:2:"id";s:8:"shipping";s:7:"content";s:206:"&lt;ul style="color: rgba(0, 0, 0, 0.7);"&gt;_x000D_
 	&lt;li&gt;Express delivery&lt;/li&gt;_x000D_
 	&lt;li&gt;Customise with your company logo&lt;/li&gt;_x000D_
 	&lt;li&gt;Personalisation options available&lt;/li&gt;_x000D_
 	&lt;li&gt;Further details in checkout&lt;/li&gt;_x000D_
&lt;/ul&gt;";}i:2;a:3:{s:5:"title";s:19:"Quality Information";s:2:"id";s:19:"quality-information";s:7:"content";s:103:"&lt;ul style="color: rgba(0, 0, 0, 0.7);"&gt;_x000D_
 	&lt;li&gt;FSC certified&lt;/li&gt;_x000D_
 	&lt;li&gt;Manufactured in UK&lt;/li&gt;_x000D_
&lt;/ul&gt;";}}</t>
  </si>
  <si>
    <t>1:26.99;10:19.13;25:19.35;50:15.29;100:13.03;</t>
  </si>
  <si>
    <t>Quarto Diary</t>
  </si>
  <si>
    <t>Chelsea Leather Quarto Diary, Week To View, Blue</t>
  </si>
  <si>
    <t>https://corporate.abbeygate-england.com/wp-content/uploads/2025/12/Front-Copy-68.png, https://corporate.abbeygate-england.com/wp-content/uploads/2025/12/UC76-1-scaled.webp</t>
  </si>
  <si>
    <t>Dorchester Bicolour Quarto Desk Diary, Week to View, Black - Red</t>
  </si>
  <si>
    <t>Stay organized with the Dorchester Bicolor Quarto Diary - Week to View. With a sleek one or two design,?cream paper?paper, and a spacious week-to-view layout, this stylish diary is perfect for keeping track of your week in a modern, professional format.</t>
  </si>
  <si>
    <t>The Dorchester Bicolour Quarto Diary - White Paper ? Week to View brings together functionality and contemporary style in a compact, high-quality design. With its bold bicolour cover and premium construction, this diary is ideal for those who seek a modern solution to their planning needs. The Quarto size offers a spacious layout, making it perfect for professionals, creatives, or anyone who needs ample space for their weekly appointments and tasks._x000D_\n_x000D_\nFeaturing a week-to-view format, the diary presents your schedule across two pages, allowing for easy organization of meetings, deadlines, and personal notes. The crisp white paper enhances readability and adds a touch of sophistication. The diary is also equipped with a ribbon marker and perimeter stitching, adding both durability and style to this must-have planning tool. With its sleek design and practical features, the Dorchester Bicolour Quarto Diary is perfect for anyone who wants a reliable, stylish companion for their week-to-week organization.</t>
  </si>
  <si>
    <t>Diaries, Dorchester Collection, Diaries &gt; Quarto Diary, Diaries &gt; Quarto Diary &gt; Quarto WTV</t>
  </si>
  <si>
    <t>Dorchester-Bicolour-Quarto-Desk-Diary-Week-to-View</t>
  </si>
  <si>
    <t>https://corporate.abbeygate-england.com/wp-content/uploads/2025/12/Front-Copy-69.png, https://corporate.abbeygate-england.com/wp-content/uploads/2025/12/UC84-scaled.webp</t>
  </si>
  <si>
    <t>a:3:{i:0;a:3:{s:5:"title";s:15:"Special Feature";s:2:"id";s:15:"special-feature";s:7:"content";s:506:"&lt;ul style="color: rgba(0, 0, 0, 0.7);"&gt;_x000D_
 	&lt;li&gt;Material: Premium bicolour design for a modern, stylish appearance&lt;/li&gt;_x000D_
 	&lt;li&gt;Layout: Week to view across two pages for clear and organized weekly planning&lt;/li&gt;_x000D_
 	&lt;li&gt;Design: Quarto size with perimeter stitching and a ribbon marker for durability and ease of use&lt;/li&gt;_x000D_
 	&lt;li&gt;Pages: Crisp white paper for smooth writing and excellent readability&lt;/li&gt;_x000D_
 	&lt;li&gt;Ideal For: Professionals, creatives, and anyone looking for spacious weekly organization&lt;/li&gt;_x000D_
&lt;/ul&gt;";}i:1;a:3:{s:5:"title";s:8:"Shipping";s:2:"id";s:8:"shipping";s:7:"content";s:206:"&lt;ul style="color: rgba(0, 0, 0, 0.7);"&gt;_x000D_
 	&lt;li&gt;Express delivery&lt;/li&gt;_x000D_
 	&lt;li&gt;Customise with your company logo&lt;/li&gt;_x000D_
 	&lt;li&gt;Personalisation options available&lt;/li&gt;_x000D_
 	&lt;li&gt;Further details in checkout&lt;/li&gt;_x000D_
&lt;/ul&gt;";}i:2;a:3:{s:5:"title";s:19:"Quality Information";s:2:"id";s:19:"quality-information";s:7:"content";s:103:"&lt;ul style="color: rgba(0, 0, 0, 0.7);"&gt;_x000D_
 	&lt;li&gt;FSC certified&lt;/li&gt;_x000D_
 	&lt;li&gt;Manufactured in UK&lt;/li&gt;_x000D_
&lt;/ul&gt;";}}</t>
  </si>
  <si>
    <t>1:14.13;25:11.30;50:10.59;100:9.18;</t>
  </si>
  <si>
    <t>https://corporate.abbeygate-england.com/wp-content/uploads/2025/12/Front-Copy-70.png, https://corporate.abbeygate-england.com/wp-content/uploads/2025/12/UC84-scaled.webp</t>
  </si>
  <si>
    <t>Stay organized with the Dorchester Bicolor Quarto Diary - Week to View. With a sleek one or two design,?cream paper?paper, and a spacious week-to-view layout, this stylish diary is perfect for keeping track of your week in a modern, professional format._x000D_\n_x000D_\n&amp;nbsp;</t>
  </si>
  <si>
    <t>https://corporate.abbeygate-england.com/wp-content/uploads/2025/12/Front-Copy-71.png, https://corporate.abbeygate-england.com/wp-content/uploads/2025/12/UC84-scaled.webp</t>
  </si>
  <si>
    <t>https://corporate.abbeygate-england.com/wp-content/uploads/2025/12/Front-Copy-72.png, https://corporate.abbeygate-england.com/wp-content/uploads/2025/12/UC84-scaled.webp</t>
  </si>
  <si>
    <t>https://corporate.abbeygate-england.com/wp-content/uploads/2025/12/Front-Copy-73.png, https://corporate.abbeygate-england.com/wp-content/uploads/2025/12/UC84-scaled.webp</t>
  </si>
  <si>
    <t>Dorchester-Horizon-Quarto-Desk-Diary-Week-to-View</t>
  </si>
  <si>
    <t>https://corporate.abbeygate-england.com/wp-content/uploads/2025/12/Front-Copy-74.png, https://corporate.abbeygate-england.com/wp-content/uploads/2025/12/UC73-1-scaled.webp</t>
  </si>
  <si>
    <t>1:16.99;10:12.01;25:11.80;50:10.67;100:9.71;250:9.64;</t>
  </si>
  <si>
    <t>Dorchester Horizon Quarto Desk Diary- Week to View- Black-Black</t>
  </si>
  <si>
    <t>https://corporate.abbeygate-england.com/wp-content/uploads/2025/12/Front-Copy-75.png, https://corporate.abbeygate-england.com/wp-content/uploads/2025/12/CB83-scaled.webp</t>
  </si>
  <si>
    <t>https://corporate.abbeygate-england.com/wp-content/uploads/2025/12/Front-Copy-76.png, https://corporate.abbeygate-england.com/wp-content/uploads/2025/12/UC73-1-scaled.webp</t>
  </si>
  <si>
    <t>https://corporate.abbeygate-england.com/wp-content/uploads/2025/12/Front-Copy-77.png, https://corporate.abbeygate-england.com/wp-content/uploads/2025/12/UC73-1-scaled.webp</t>
  </si>
  <si>
    <t>https://corporate.abbeygate-england.com/wp-content/uploads/2025/12/Front-Copy-78.png, https://corporate.abbeygate-england.com/wp-content/uploads/2025/12/UC73-1-scaled.webp</t>
  </si>
  <si>
    <t>https://corporate.abbeygate-england.com/wp-content/uploads/2025/12/Front-Copy-79.png, https://corporate.abbeygate-england.com/wp-content/uploads/2025/12/UC73-1-scaled.webp</t>
  </si>
  <si>
    <t>Plan each day in style with the Graphic Prints Full Colour Quarto Diary - Day per Page. Featuring a customizable full-colour cover and premium cream paper, this diary provides ample space for detailed daily planning in an elegant, durable format._x000D_\n_x000D_\n&amp;nbsp;</t>
  </si>
  <si>
    <t>The Graphic PrintsFull Colour Quarto Diary - Cream Paper ? Day Per Page combines premium craftsmanship with customizable flair to provide an exceptional daily planner. Bound in high-quality Graphic Prints material, this diary features a smooth and durable full-colour cover, ideal for those looking for a personalized design. Whether for corporate branding, gifts, or personal use, the vibrant cover can be fully customized to reflect your unique style, making it both functional and eye-catching._x000D_\n_x000D_\nWith a day-per-page layout, this diary offers an organized and spacious format for your daily appointments, meetings, tasks, and notes. The cream paper provides a soft, professional touch, reducing glare and enhancing the readability of your writing. The Quarto size offers generous space to plan your day in detail, while the ribbon marker and sturdy perimeter stitching ensure easy navigation and durability throughout the year. Whether you?re managing a busy schedule or jotting down personal thoughts, the Graphic Prints Full Colour Quarto Diary is the perfect choice for staying organized with style.</t>
  </si>
  <si>
    <t>Diaries, Graphic Print Collection, Diaries &gt; Quarto Diary, Diaries &gt; Quarto Diary &gt; Quarto DPP</t>
  </si>
  <si>
    <t>Graphic-Prints-Quarto-Diary-Week-to-View</t>
  </si>
  <si>
    <t>https://corporate.abbeygate-england.com/wp-content/uploads/2026/01/Front-70-e1769752295970.png, https://corporate.abbeygate-england.com/wp-content/uploads/2025/12/UC71-scaled.webp</t>
  </si>
  <si>
    <t>a:3:{i:0;a:3:{s:5:"title";s:15:"Special Feature";s:2:"id";s:15:"special-feature";s:7:"content";s:512:"&lt;ul style="color: rgba(0, 0, 0, 0.7);"&gt;_x000D_
 	&lt;li&gt;Material: Premium Graphic Prints material with a customizable full-colour cover for a personalized look&lt;/li&gt;_x000D_
 	&lt;li&gt;Layout: Day per page for detailed daily planning and organization&lt;/li&gt;_x000D_
 	&lt;li&gt;Design: Quarto size with a ribbon marker and sturdy perimeter stitching for durability and easy access&lt;/li&gt;_x000D_
 	&lt;li&gt;Pages: Cream paper for smooth writing and excellent readability&lt;/li&gt;_x000D_
 	&lt;li&gt;Ideal For: Custom branding, daily planning, and stylish organization&lt;/li&gt;_x000D_
&lt;/ul&gt;";}i:1;a:3:{s:5:"title";s:8:"Shipping";s:2:"id";s:8:"shipping";s:7:"content";s:206:"&lt;ul style="color: rgba(0, 0, 0, 0.7);"&gt;_x000D_
 	&lt;li&gt;Express delivery&lt;/li&gt;_x000D_
 	&lt;li&gt;Customise with your company logo&lt;/li&gt;_x000D_
 	&lt;li&gt;Personalisation options available&lt;/li&gt;_x000D_
 	&lt;li&gt;Further details in checkout&lt;/li&gt;_x000D_
&lt;/ul&gt;";}i:2;a:3:{s:5:"title";s:19:"Quality Information";s:2:"id";s:19:"quality-information";s:7:"content";s:103:"&lt;ul style="color: rgba(0, 0, 0, 0.7);"&gt;_x000D_
 	&lt;li&gt;FSC certified&lt;/li&gt;_x000D_
 	&lt;li&gt;Manufactured in UK&lt;/li&gt;_x000D_
&lt;/ul&gt;";}}</t>
  </si>
  <si>
    <t>&lt;p dir="ltr"&gt;Stay on top of your week in style with the Graphic Prints Full Colour Quarto Diary - Week to View. Featuring a vibrant, customizable full-colour cover and a spacious week-to-view layout, this sleek diary offers a professional touch for your weekly organization.&lt;/p&gt;</t>
  </si>
  <si>
    <t>The Graphic Prints Full Colour Quarto Diary - White Paper ? Week to View offers a sophisticated and practical way to keep track of your week, all within a stylish, customizable format. Crafted from premium Graphic Prints material, this diary is designed to stand out with its smooth, vibrant full-colour cover, perfect for those looking for both functionality and a personal touch. The eye-catching cover can be fully customized to represent your brand, logo, or personal style, making it an excellent choice for corporate gifts, promotions, or individual use._x000D_\n_x000D_\nInside, the diary features a spacious week-to-view layout, offering two pages to display all of your weekly plans, appointments, meetings, and notes. This clear and organized format allows for easy access and efficient planning, making it ideal for professionals, creatives, or anyone managing a busy week. The high-quality white paper enhances the readability of your writing, while the Quarto size offers ample space for your scheduling needs. With a ribbon marker and sturdy perimeter stitching, this diary is built to last while maintaining its elegant appearance throughout the year. The Graphic Prints Full Colour Quarto Diary combines stylish design with exceptional practicality, ensuring your week is organized with flair.</t>
  </si>
  <si>
    <t>Diaries, Graphic Print Collection, Diaries &gt; Quarto Diary, Diaries &gt; Quarto Diary &gt; Quarto WTV</t>
  </si>
  <si>
    <t>https://corporate.abbeygate-england.com/wp-content/uploads/2026/01/Front-70-e1769752295970.png, https://corporate.abbeygate-england.com/wp-content/uploads/2025/12/UC73-1-scaled.webp, https://corporate.abbeygate-england.com/wp-content/uploads/2025/12/Mock1-35.png, https://corporate.abbeygate-england.com/wp-content/uploads/2025/12/Mockup2.png</t>
  </si>
  <si>
    <t>a:3:{i:0;a:3:{s:5:"title";s:15:"Special Feature";s:2:"id";s:15:"special-feature";s:7:"content";s:546:"&lt;ul style="color: rgba(0, 0, 0, 0.7);"&gt;_x000D_
 	&lt;li&gt;Material: Premium Graphic Prints material with a customizable full-colour cover for a bold, personal touch&lt;/li&gt;_x000D_
 	&lt;li&gt;Layout: Week to view across two pages for clear and organized weekly planning&lt;/li&gt;_x000D_
 	&lt;li&gt;Design: Quarto size with a ribbon marker and sturdy perimeter stitching for ease of use and durability&lt;/li&gt;_x000D_
 	&lt;li&gt;Pages: High-quality white paper for smooth writing and excellent readability&lt;/li&gt;_x000D_
 	&lt;li&gt;Ideal For: Custom branding, corporate gifts, and efficient weekly planning&lt;/li&gt;_x000D_
&lt;/ul&gt;";}i:1;a:3:{s:5:"title";s:8:"Shipping";s:2:"id";s:8:"shipping";s:7:"content";s:206:"&lt;ul style="color: rgba(0, 0, 0, 0.7);"&gt;_x000D_
 	&lt;li&gt;Express delivery&lt;/li&gt;_x000D_
 	&lt;li&gt;Customise with your company logo&lt;/li&gt;_x000D_
 	&lt;li&gt;Personalisation options available&lt;/li&gt;_x000D_
 	&lt;li&gt;Further details in checkout&lt;/li&gt;_x000D_
&lt;/ul&gt;";}i:2;a:3:{s:5:"title";s:19:"Quality Information";s:2:"id";s:19:"quality-information";s:7:"content";s:103:"&lt;ul style="color: rgba(0, 0, 0, 0.7);"&gt;_x000D_
 	&lt;li&gt;FSC certified&lt;/li&gt;_x000D_
 	&lt;li&gt;Manufactured in UK&lt;/li&gt;_x000D_
&lt;/ul&gt;";}}</t>
  </si>
  <si>
    <t>Harrogate SaharaHide Faux Leather Quarto Diary, Week to View, Black</t>
  </si>
  <si>
    <t>&lt;p dir="ltr"&gt;Elevate your weekly planning with the Harrogate Quarto Diary - Week to View. Crafted with luxurious Harrogate material, cream paper, and a ribbon marker for a sophisticated and practical organization solution.&lt;/p&gt;</t>
  </si>
  <si>
    <t>The Harrogate Quarto Diary - Cream Paper – Week to View is a premium choice for those who appreciate luxury, style, and efficiency in their planning. Bound in the exquisite Harrogate material, this diary boasts a smooth, glossy finish that mimics the appearance and feel of fine leather, providing a refined, high-end touch. The Quarto size offers generous space for all your weekly plans while maintaining a sleek and portable design._x000D_\n_x000D_\nInside, the diary features a week-to-view layout across two pages, allowing for an organized and clear overview of your schedule. The cream-colored paper gives the pages a warm, elegant feel, enhancing both readability and the writing experience. Finished with a real perimeter stitch and a sophisticated ribbon marker, the Harrogate Quarto Diary is the perfect blend of functionality and luxury. Ideal for professionals, corporate gifting, or personal use, this diary stands out with its refined craftsmanship and premium materials, making it an indispensable tool for the discerning planner.</t>
  </si>
  <si>
    <t>Diaries, Harrogate Collection, Diaries &gt; Quarto Diary, Diaries &gt; Quarto Diary &gt; Quarto WTV</t>
  </si>
  <si>
    <t>Harrogate-SaharaHide-Faux-Leather-Quarto-Diary</t>
  </si>
  <si>
    <t>https://corporate.abbeygate-england.com/wp-content/uploads/2025/12/Front-Copy-80.png, https://corporate.abbeygate-england.com/wp-content/uploads/2025/12/UC84-scaled.webp</t>
  </si>
  <si>
    <t>a:3:{i:0;a:3:{s:5:"title";s:15:"Special Feature";s:2:"id";s:15:"special-feature";s:7:"content";s:490:"&lt;ul style="color: rgba(0, 0, 0, 0.7);"&gt;_x000D_
 	&lt;li&gt;Material: Premium Harrogate cover with a glossy, leather-like finish&lt;/li&gt;_x000D_
 	&lt;li&gt;Layout: Week to view across two pages for organized, efficient planning&lt;/li&gt;_x000D_
 	&lt;li&gt;Design: Quarto size with real perimeter stitching and a ribbon marker for easy navigation&lt;/li&gt;_x000D_
 	&lt;li&gt;Pages: Elegant cream-colored paper for a refined writing experience&lt;/li&gt;_x000D_
 	&lt;li&gt;Ideal For: Professional use, stylish weekly organization, and luxury corporate gifts&lt;/li&gt;_x000D_
&lt;/ul&gt;";}i:1;a:3:{s:5:"title";s:8:"Shipping";s:2:"id";s:8:"shipping";s:7:"content";s:206:"&lt;ul style="color: rgba(0, 0, 0, 0.7);"&gt;_x000D_
 	&lt;li&gt;Express delivery&lt;/li&gt;_x000D_
 	&lt;li&gt;Customise with your company logo&lt;/li&gt;_x000D_
 	&lt;li&gt;Personalisation options available&lt;/li&gt;_x000D_
 	&lt;li&gt;Further details in checkout&lt;/li&gt;_x000D_
&lt;/ul&gt;";}i:2;a:3:{s:5:"title";s:19:"Quality Information";s:2:"id";s:19:"quality-information";s:7:"content";s:103:"&lt;ul style="color: rgba(0, 0, 0, 0.7);"&gt;_x000D_
 	&lt;li&gt;FSC certified&lt;/li&gt;_x000D_
 	&lt;li&gt;Manufactured in UK&lt;/li&gt;_x000D_
&lt;/ul&gt;";}}</t>
  </si>
  <si>
    <t>1:15.5;10:10.94;25:11.12;50:9.81;100:9.48;250:8.65;</t>
  </si>
  <si>
    <t>Harrogate SaharaHide Faux Leather Quarto Diary, Week to View, Burgundy</t>
  </si>
  <si>
    <t>https://corporate.abbeygate-england.com/wp-content/uploads/2025/12/Front-Copy-81.png, https://corporate.abbeygate-england.com/wp-content/uploads/2025/12/UC84-scaled.webp</t>
  </si>
  <si>
    <t>Harrogate SaharaHide Faux Leather Quarto Diary, Week to View, Dark Blue</t>
  </si>
  <si>
    <t>https://corporate.abbeygate-england.com/wp-content/uploads/2025/12/Front-Copy-82.png, https://corporate.abbeygate-england.com/wp-content/uploads/2025/12/UC84-scaled.webp</t>
  </si>
  <si>
    <t>Harrogate SaharaHide Faux Leather Quarto Diary, Week to View, Green</t>
  </si>
  <si>
    <t>The Harrogate Quarto Diary - Cream Paper ? Week to View is a premium choice for those who appreciate luxury, style, and efficiency in their planning. Bound in the exquisite Harrogate material, this diary boasts a smooth, glossy finish that mimics the appearance and feel of fine leather, providing a refined, high-end touch. The Quarto size offers generous space for all your weekly plans while maintaining a sleek and portable design._x000D_\n_x000D_\nInside, the diary features a week-to-view layout across two pages, allowing for an organized and clear overview of your schedule. The cream-colored paper gives the pages a warm, elegant feel, enhancing both readability and the writing experience. Finished with a real perimeter stitch and a sophisticated ribbon marker, the Harrogate Quarto Diary is the perfect blend of functionality and luxury. Ideal for professionals, corporate gifting, or personal use, this diary stands out with its refined craftsmanship and premium materials, making it an indispensable tool for the discerning planner.</t>
  </si>
  <si>
    <t>https://corporate.abbeygate-england.com/wp-content/uploads/2025/12/Front-Copy-83.png, https://corporate.abbeygate-england.com/wp-content/uploads/2025/12/UC84-scaled.webp</t>
  </si>
  <si>
    <t>FG-BK-P-082</t>
  </si>
  <si>
    <t>Richmond FineGrain Quarto Desk Diary, Day Per Page, Black</t>
  </si>
  <si>
    <t>Keep your week organized in style with the Richmond FineGrain Quarto Desk Diary - Day Per Page. A leather-like cover, white FSC recycled paper, and elegant ribbon marker make it the perfect blend of sophistication and functionality._x000D_\n_x000D_\n&amp;nbsp;</t>
  </si>
  <si>
    <t>The Richmond Faux Leather Quarto Diary - Cream Paper - Day Per Page offers the perfect blend of luxury and practicality, designed for individuals who demand the finest in both form and function. Wrapped in our premium Richmond Faux Leather material, the diary exudes a rich, leather-like texture that is both sophisticated and durable. The Quarto size provides ample space for daily planning, while remaining compact enough for easy portability._x000D_\n_x000D_\nEach page is dedicated to a single day, providing an expansive writing area for appointments, notes, and personal reflections. The cream-colored pages enhance the reading experience with their warm tone and smooth surface, making it easy to write for long periods without straining your eyes. The diary?s real perimeter stitching, combined with a sleek ribbon marker, ensures durability while offering a polished, professional appearance. Whether used for personal organization or as a high-end corporate gift, this diary offers both elegance and the functionality needed for detailed daily planning.</t>
  </si>
  <si>
    <t>Diaries, Diaries &gt; Quarto Diary, Diaries &gt; Quarto Diary &gt; Quarto DPP, Richmond Collection</t>
  </si>
  <si>
    <t>Richmond-FineGrain-Quarto-Desk-Diary</t>
  </si>
  <si>
    <t>https://corporate.abbeygate-england.com/wp-content/uploads/2025/12/Front-Copy-84.png, https://corporate.abbeygate-england.com/wp-content/uploads/2025/12/UC82-scaled.webp</t>
  </si>
  <si>
    <t>a:3:{i:0;a:3:{s:5:"title";s:15:"Special Feature";s:2:"id";s:15:"special-feature";s:7:"content";s:466:"&lt;ul style="color: rgba(0, 0, 0, 0.7);"&gt;_x000D_
 	&lt;li&gt;Material: High-quality Richmond Faux Leather cover with a leather-like texture&lt;/li&gt;_x000D_
 	&lt;li&gt;Layout: Day per page for detailed, organized planning&lt;/li&gt;_x000D_
 	&lt;li&gt;Design: Quarto size with real perimeter stitching and a convenient ribbon marker&lt;/li&gt;_x000D_
 	&lt;li&gt;Pages: Cream-colored paper for a warm, smooth writing surface&lt;/li&gt;_x000D_
 	&lt;li&gt;Ideal For: In-depth daily planning, professional use, and premium corporate gifting&lt;/li&gt;_x000D_
&lt;/ul&gt;";}i:1;a:3:{s:5:"title";s:8:"Shipping";s:2:"id";s:8:"shipping";s:7:"content";s:206:"&lt;ul style="color: rgba(0, 0, 0, 0.7);"&gt;_x000D_
 	&lt;li&gt;Express delivery&lt;/li&gt;_x000D_
 	&lt;li&gt;Customise with your company logo&lt;/li&gt;_x000D_
 	&lt;li&gt;Personalisation options available&lt;/li&gt;_x000D_
 	&lt;li&gt;Further details in checkout&lt;/li&gt;_x000D_
&lt;/ul&gt;";}i:2;a:3:{s:5:"title";s:19:"Quality Information";s:2:"id";s:19:"quality-information";s:7:"content";s:103:"&lt;ul style="color: rgba(0, 0, 0, 0.7);"&gt;_x000D_
 	&lt;li&gt;FSC certified&lt;/li&gt;_x000D_
 	&lt;li&gt;Manufactured in UK&lt;/li&gt;_x000D_
&lt;/ul&gt;";}}</t>
  </si>
  <si>
    <t>1:15.21;25:12.17;50:11.41;100:9.89;</t>
  </si>
  <si>
    <t>FG-BL-P-082</t>
  </si>
  <si>
    <t>Richmond FineGrain Quarto Desk Diary, Day Per Page, Blue</t>
  </si>
  <si>
    <t>Keep your week organized in style with the Richmond FineGrain Quarto Desk Diary - Day Per Page. A leather-like cover, white FSC recycled paper, and elegant ribbon marker make it the perfect blend of sophistication and functionality.</t>
  </si>
  <si>
    <t>Diaries, Foil blocked, Diaries &gt; Quarto Diary, Diaries &gt; Quarto Diary &gt; Quarto DPP, Richmond Collection</t>
  </si>
  <si>
    <t>https://corporate.abbeygate-england.com/wp-content/uploads/2025/12/Front-238.png, https://corporate.abbeygate-england.com/wp-content/uploads/2025/12/UC82-scaled.webp</t>
  </si>
  <si>
    <t>FG-BG-P-082</t>
  </si>
  <si>
    <t>Richmond FineGrain Quarto Desk Diary, Day Per Page, Burgundy</t>
  </si>
  <si>
    <t>https://corporate.abbeygate-england.com/wp-content/uploads/2026/01/Front-78.png, https://corporate.abbeygate-england.com/wp-content/uploads/2025/12/UC82-1-scaled.webp</t>
  </si>
  <si>
    <t>FG-DB-P-082</t>
  </si>
  <si>
    <t>Richmond FineGrain Quarto Desk Diary, Day Per Page, Dark Blue</t>
  </si>
  <si>
    <t>https://corporate.abbeygate-england.com/wp-content/uploads/2026/01/Front-80.png, https://corporate.abbeygate-england.com/wp-content/uploads/2025/12/UC82-1-scaled.webp</t>
  </si>
  <si>
    <t>FG-GN-P-082</t>
  </si>
  <si>
    <t>Richmond FineGrain Quarto Desk Diary, Day Per Page, Green</t>
  </si>
  <si>
    <t>https://corporate.abbeygate-england.com/wp-content/uploads/2026/01/Front-81.png, https://corporate.abbeygate-england.com/wp-content/uploads/2025/12/UC82-1-scaled.webp</t>
  </si>
  <si>
    <t>FG-PU-P-082</t>
  </si>
  <si>
    <t>Richmond FineGrain Quarto Desk Diary, Day Per Page, Purple</t>
  </si>
  <si>
    <t>https://corporate.abbeygate-england.com/wp-content/uploads/2026/01/Front-82.png, https://corporate.abbeygate-england.com/wp-content/uploads/2025/12/UC82-1-scaled.webp</t>
  </si>
  <si>
    <t>FG-RD-P-082</t>
  </si>
  <si>
    <t>Richmond FineGrain Quarto Desk Diary, Day Per Page, Red</t>
  </si>
  <si>
    <t>https://corporate.abbeygate-england.com/wp-content/uploads/2026/01/Front-83.png, https://corporate.abbeygate-england.com/wp-content/uploads/2025/12/UC82-1-scaled.webp</t>
  </si>
  <si>
    <t>Richmond FineGrain Quarto Desk Diary, Week to View, Black</t>
  </si>
  <si>
    <t>Keep your week organized in style with the Richmond FineGrain Quarto Desk Diary - Week to View. A leather-like cover, white FSC recycled paper, and elegant ribbon marker make it the perfect blend of sophistication and functionality.</t>
  </si>
  <si>
    <t>The Richmond Faux Leather Quarto Diary - White Paper - Week to View is the ideal choice for those seeking a refined look with a practical weekly layout. Wrapped in our luxurious Richmond Faux Leather material, this diary offers a soft, leather-like texture that exudes timeless sophistication, suitable for professionals, students, and anyone who values premium design in their everyday essentials. The Quarto size strikes a perfect balance between ample space and portability, making it convenient to carry while still allowing for detailed weekly planning._x000D_\n_x000D_\nInside, the diary features a week-to-view layout across two pages, giving you a clear and organized view of your weekly schedule. Crafted with crisp, high-quality white paper, it offers a smooth writing experience, while the real perimeter stitching and elegant ribbon marker add a finishing touch of class. With its minimalist, clean layout, this diary combines functionality with an upscale aesthetic, making it perfect for personal use or as a sophisticated corporate gift.</t>
  </si>
  <si>
    <t>Diaries, Foil blocked, Diaries &gt; Quarto Diary, Diaries &gt; Quarto Diary &gt; Quarto WTV, Richmond Collection</t>
  </si>
  <si>
    <t>Richmond-FineGrain-Quarto-Desk-Diary-Week-to-View</t>
  </si>
  <si>
    <t>https://corporate.abbeygate-england.com/wp-content/uploads/2026/01/Front-84.png, https://corporate.abbeygate-england.com/wp-content/uploads/2025/12/UC83_Website-1-scaled.webp</t>
  </si>
  <si>
    <t>a:3:{i:0;a:3:{s:5:"title";s:15:"Special Feature";s:2:"id";s:15:"special-feature";s:7:"content";s:486:"&lt;ul style="color: rgba(0, 0, 0, 0.7);"&gt;_x000D_
 	&lt;li&gt;Material: Luxurious Richmond Faux Leathercover with a soft, leather-like feel&lt;/li&gt;_x000D_
 	&lt;li&gt;Layout: Week to view across two pages for streamlined planning&lt;/li&gt;_x000D_
 	&lt;li&gt;Design: Quarto size with real perimeter stitching and a ribbon marker for ease of use&lt;/li&gt;_x000D_
 	&lt;li&gt;Pages: High-quality white paper for a smooth, clean writing surface&lt;/li&gt;_x000D_
 	&lt;li&gt;Ideal For: Elegant weekly organization, professional settings, and corporate gifting&lt;/li&gt;_x000D_
&lt;/ul&gt;";}i:1;a:3:{s:5:"title";s:8:"Shipping";s:2:"id";s:8:"shipping";s:7:"content";s:206:"&lt;ul style="color: rgba(0, 0, 0, 0.7);"&gt;_x000D_
 	&lt;li&gt;Express delivery&lt;/li&gt;_x000D_
 	&lt;li&gt;Customise with your company logo&lt;/li&gt;_x000D_
 	&lt;li&gt;Personalisation options available&lt;/li&gt;_x000D_
 	&lt;li&gt;Further details in checkout&lt;/li&gt;_x000D_
&lt;/ul&gt;";}i:2;a:3:{s:5:"title";s:19:"Quality Information";s:2:"id";s:19:"quality-information";s:7:"content";s:103:"&lt;ul style="color: rgba(0, 0, 0, 0.7);"&gt;_x000D_
 	&lt;li&gt;FSC certified&lt;/li&gt;_x000D_
 	&lt;li&gt;Manufactured in UK&lt;/li&gt;_x000D_
&lt;/ul&gt;";}}</t>
  </si>
  <si>
    <t>1:14.5;10:10.09;25:8.07;50:7.24;100:6.11;250:5.68;</t>
  </si>
  <si>
    <t>The Richmond Faux LeatherQuarto Diary - Cream Paper - Week to View is a perfect blend of elegance and functionality, crafted for those who appreciate refined design in their organizational tools. This diary is encased in our high-quality Richmond Faux Leather cover, featuring a luxurious, leather-like texture that adds a sophisticated touch to any workspace. The Quarto size provides a balance between spaciousness and portability, making it easy to carry without compromising on ample writing space._x000D_\n_x000D_\nEach week is laid out across two pages, offering a clear overview of appointments, notes, and plans. The cream-colored paper inside adds warmth and an upscale feel to the diary, enhancing readability while reducing glare. Real perimeter stitching and a convenient ribbon marker complete the design, ensuring a durable, timeless style. This diary is ideal for professionals, students, or anyone who values organized, efficient weekly planning in a stylish format, making it a thoughtful corporate gift as well.</t>
  </si>
  <si>
    <t>https://corporate.abbeygate-england.com/wp-content/uploads/2026/01/Front-84.png, https://corporate.abbeygate-england.com/wp-content/uploads/2025/12/UC84_Website-scaled.webp</t>
  </si>
  <si>
    <t>a:3:{i:0;a:3:{s:5:"title";s:15:"Special Feature";s:2:"id";s:15:"special-feature";s:7:"content";s:528:"&lt;ul style="color: rgba(0, 0, 0, 0.7);"&gt;_x000D_
 	&lt;li&gt;Material: Premium Richmond Faux Leather cover with a leather-like, sophisticated finish&lt;/li&gt;_x000D_
 	&lt;li&gt;Layout: Week to view across two pages for clear, organized planning&lt;/li&gt;_x000D_
 	&lt;li&gt;Design: Quarto size with real perimeter stitching and a ribbon marker for added convenience&lt;/li&gt;_x000D_
 	&lt;li&gt;Pages: Cream-colored paper for a warm, professional look and a comfortable writing experience&lt;/li&gt;_x000D_
 	&lt;li&gt;Ideal For: Elegant weekly organization, professional use, and corporate gifting&lt;/li&gt;_x000D_
&lt;/ul&gt;";}i:1;a:3:{s:5:"title";s:8:"Shipping";s:2:"id";s:8:"shipping";s:7:"content";s:206:"&lt;ul style="color: rgba(0, 0, 0, 0.7);"&gt;_x000D_
 	&lt;li&gt;Express delivery&lt;/li&gt;_x000D_
 	&lt;li&gt;Customise with your company logo&lt;/li&gt;_x000D_
 	&lt;li&gt;Personalisation options available&lt;/li&gt;_x000D_
 	&lt;li&gt;Further details in checkout&lt;/li&gt;_x000D_
&lt;/ul&gt;";}i:2;a:3:{s:5:"title";s:19:"Quality Information";s:2:"id";s:19:"quality-information";s:7:"content";s:103:"&lt;ul style="color: rgba(0, 0, 0, 0.7);"&gt;_x000D_
 	&lt;li&gt;FSC certified&lt;/li&gt;_x000D_
 	&lt;li&gt;Manufactured in UK&lt;/li&gt;_x000D_
&lt;/ul&gt;";}}</t>
  </si>
  <si>
    <t>&lt;p class="p1"&gt;Chelsea Leather range, luxury soft grained real leather day per page layout.&lt;span class="Apple-converted-space"&gt; &lt;/span&gt;Smyth sewn sections for strength and durability printed on white or cream FSC paper.&lt;span class="Apple-converted-space"&gt; &lt;/span&gt;Self-colour cotton perimeter stitched flexible cover, ribbon marker, general information pages, forward planners, UK and international holidays, contacts directory, notes page and full colour map section&lt;/p&gt;_x000D_\n&amp;nbsp;</t>
  </si>
  <si>
    <t>Diaries &gt; A4 Diary, Chelsea Collection, Diaries, Foil blocked</t>
  </si>
  <si>
    <t>Chelsea-Leather-A4-Desk-Diary-Day-Per-Page</t>
  </si>
  <si>
    <t>https://corporate.abbeygate-england.com/wp-content/uploads/2025/12/Front-Copy.png, https://corporate.abbeygate-england.com/wp-content/uploads/2025/12/UC71-scaled.webp</t>
  </si>
  <si>
    <t>a:3:{i:0;a:3:{s:5:"title";s:15:"Special Feature";s:2:"id";s:15:"special-feature";s:7:"content";s:481:"&lt;ul style="color: rgba(0, 0, 0, 0.7);"&gt;_x000D_
 	&lt;li&gt;Material: luxury soft grained real leather&lt;/li&gt;_x000D_
 	&lt;li&gt;Layout: Day per page for detailed and organized planning of daily tasks and appointments&lt;/li&gt;_x000D_
 	&lt;li&gt;Design: A4 size with real perimeter stitching and a ribbon marker for ease of use and durability&lt;/li&gt;_x000D_
 	&lt;li&gt;Pages: Crisp white paper for a clear and enjoyable writing experience&lt;/li&gt;_x000D_
 	&lt;li&gt;Ideal For: Professionals, detailed daily planning, and stylish organization&lt;/li&gt;_x000D_
&lt;/ul&gt;";}i:1;a:3:{s:5:"title";s:8:"Shipping";s:2:"id";s:8:"shipping";s:7:"content";s:206:"&lt;ul style="color: rgba(0, 0, 0, 0.7);"&gt;_x000D_
 	&lt;li&gt;Express delivery&lt;/li&gt;_x000D_
 	&lt;li&gt;Customise with your company logo&lt;/li&gt;_x000D_
 	&lt;li&gt;Personalisation options available&lt;/li&gt;_x000D_
 	&lt;li&gt;Further details in checkout&lt;/li&gt;_x000D_
&lt;/ul&gt;";}i:2;a:3:{s:5:"title";s:19:"Quality Information";s:2:"id";s:19:"quality-information";s:7:"content";s:103:"&lt;ul style="color: rgba(0, 0, 0, 0.7);"&gt;_x000D_
 	&lt;li&gt;FSC certified&lt;/li&gt;_x000D_
 	&lt;li&gt;Manufactured in UK&lt;/li&gt;_x000D_
&lt;/ul&gt;";}}</t>
  </si>
  <si>
    <t>1:35.99;10:25.50;25:25.68;50:23.88;100:20.76;</t>
  </si>
  <si>
    <t>https://corporate.abbeygate-england.com/wp-content/uploads/2025/12/f1-without-background-scaled.png, https://corporate.abbeygate-england.com/wp-content/uploads/2025/12/UC71-scaled.webp</t>
  </si>
  <si>
    <t>Lewes SmoothGrain A4 Desk Diary, Day Per Page, Black</t>
  </si>
  <si>
    <t>Plan each day with the Lewes A4 Diary - White Paper - Day Per Page! Featuring a sleek black matte PU cover, durable thread-bound pages, and a spacious day-per-page layout, this diary ensures ample room for detailed notes. Made from FSC-certified recycled white paper, it includes a white ribbon marker and stylish debossed year dates for a touch of elegance!</t>
  </si>
  <si>
    <t>Introducing the Lewes A4 Diary - White Paper - Day Per Page, designed for those who value comprehensive daily planning with a touch of sophistication. This premium diary is crafted with a refined matte PU cover, ensuring a stylish yet durable exterior to withstand daily use._x000D_\n_x000D_\nThe interior features high-quality, thread-bound pages for added durability, providing a smooth writing experience across its spacious day-per-page layout. This design allows for ample space to jot down detailed plans, notes, and schedules, making it ideal for professionals, students, or anyone with a busy agenda requiring detailed organization._x000D_\n_x000D_\nEach diary is made from FSC-certified recycled white paper, demonstrating our commitment to sustainability and responsible resource management. The black cover is complemented by a white ribbon marker, offering quick access to your current page, and elegant debossed year dates to add a timeless charm to your planning experience. Elevate your daily organization with the Lewes A4 Diary—a blend of practicality, elegance, and environmental responsibility.</t>
  </si>
  <si>
    <t>Diaries &gt; A4 Diary, Diaries, Lewes Collection</t>
  </si>
  <si>
    <t>Lewes-SmoothGrain-A4-Desk-Diary-Day-Per-Page</t>
  </si>
  <si>
    <t>https://corporate.abbeygate-england.com/wp-content/uploads/2025/12/Front-44-e1775272348446.png, https://corporate.abbeygate-england.com/wp-content/uploads/2025/12/UC71-scaled.webp</t>
  </si>
  <si>
    <t>a:3:{i:0;a:3:{s:5:"title";s:15:"Special Feature";s:2:"id";s:15:"special-feature";s:7:"content";s:609:"&lt;ul style="color: rgba(0, 0, 0, 0.7);"&gt;_x000D_
 	&lt;li&gt;Material: Sleek black matte PU cover for a professional look&lt;/li&gt;_x000D_
 	&lt;li&gt;Durability: Thread-bound internal pages ensure longevity and strength&lt;/li&gt;_x000D_
 	&lt;li&gt;Layout: Day-per-page design for comprehensive daily planning&lt;/li&gt;_x000D_
 	&lt;li&gt;Sustainability: Crafted with FSC-certified recycled white paper&lt;/li&gt;_x000D_
 	&lt;li&gt;Features: White ribbon marker for easy access to your current day&lt;/li&gt;_x000D_
 	&lt;li&gt;Design: Timeless debossed year dates for added sophistication&lt;/li&gt;_x000D_
 	&lt;li&gt;Ideal for: Professionals, students, and planners seeking efficient daily organization in style&lt;/li&gt;_x000D_
&lt;/ul&gt;";}i:1;a:3:{s:5:"title";s:8:"Shipping";s:2:"id";s:8:"shipping";s:7:"content";s:206:"&lt;ul style="color: rgba(0, 0, 0, 0.7);"&gt;_x000D_
 	&lt;li&gt;Express delivery&lt;/li&gt;_x000D_
 	&lt;li&gt;Customise with your company logo&lt;/li&gt;_x000D_
 	&lt;li&gt;Personalisation options available&lt;/li&gt;_x000D_
 	&lt;li&gt;Further details in checkout&lt;/li&gt;_x000D_
&lt;/ul&gt;";}i:2;a:3:{s:5:"title";s:19:"Quality Information";s:2:"id";s:19:"quality-information";s:7:"content";s:103:"&lt;ul style="color: rgba(0, 0, 0, 0.7);"&gt;_x000D_
 	&lt;li&gt;FSC certified&lt;/li&gt;_x000D_
 	&lt;li&gt;Manufactured in UK&lt;/li&gt;_x000D_
&lt;/ul&gt;";}}</t>
  </si>
  <si>
    <t>1:17.5;10:12.47;25:13.19;50:9.89;100:9.22;250:8.35;</t>
  </si>
  <si>
    <t>Lewes SmoothGrain A4 Desk Diary, Day Per Page, Blue</t>
  </si>
  <si>
    <t>https://corporate.abbeygate-england.com/wp-content/uploads/2025/12/Front-45.png, https://corporate.abbeygate-england.com/wp-content/uploads/2025/12/UC71-scaled.webp</t>
  </si>
  <si>
    <t>Lewes SmoothGrain A4 Desk Diary, Day Per Page, Grey</t>
  </si>
  <si>
    <t>https://corporate.abbeygate-england.com/wp-content/uploads/2025/12/Front-Copy-2.png, https://corporate.abbeygate-england.com/wp-content/uploads/2025/12/UC71-scaled.webp</t>
  </si>
  <si>
    <t>Lewes SmoothGrain A4 Desk Diary, Day Per Page, Light Blue</t>
  </si>
  <si>
    <t>https://corporate.abbeygate-england.com/wp-content/uploads/2025/12/Front-Copy-3.png, https://corporate.abbeygate-england.com/wp-content/uploads/2025/12/UC71-scaled.webp</t>
  </si>
  <si>
    <t>Lewes SmoothGrain A4 Desk Diary, Day Per Page, Light Pink</t>
  </si>
  <si>
    <t>https://corporate.abbeygate-england.com/wp-content/uploads/2025/12/Front-Copy-4.png, https://corporate.abbeygate-england.com/wp-content/uploads/2025/12/UC71-scaled.webp</t>
  </si>
  <si>
    <t>Lewes SmoothGrain A4 Desk Diary, Day Per Page, Lime</t>
  </si>
  <si>
    <t>https://corporate.abbeygate-england.com/wp-content/uploads/2025/12/Front-Copy-5.png, https://corporate.abbeygate-england.com/wp-content/uploads/2025/12/UC71-scaled.webp</t>
  </si>
  <si>
    <t>Lewes SmoothGrain A4 Desk Diary, Day Per Page, Orange</t>
  </si>
  <si>
    <t>Introducing the Lewes A4 Diary - White Paper - Day Per Page, designed for those who value comprehensive daily planning with a touch of sophistication. This premium diary is crafted with a refined matte PU cover, ensuring a stylish yet durable exterior to withstand daily use._x000D_\n_x000D_\nThe interior features high-quality, thread-bound pages for added durability, providing a smooth writing experience across its spacious day-per-page layout. This design allows for ample space to jot down detailed plans, notes, and schedules, making it ideal for professionals, students, or anyone with a busy agenda requiring detailed organization._x000D_\n_x000D_\nEach diary is made from FSC-certified recycled white paper, demonstrating our commitment to sustainability and responsible resource management. The black cover is complemented by a white ribbon marker, offering quick access to your current page, and elegant debossed year dates to add a timeless charm to your planning experience. Elevate your daily organization with the Lewes A4 Diary?a blend of practicality, elegance, and environmental responsibility.</t>
  </si>
  <si>
    <t>https://corporate.abbeygate-england.com/wp-content/uploads/2025/12/Front-Copy-6.png, https://corporate.abbeygate-england.com/wp-content/uploads/2025/12/UC71-scaled.webp</t>
  </si>
  <si>
    <t>Orange</t>
  </si>
  <si>
    <t>Lewes SmoothGrain A4 Desk Diary, Day Per Page, Red</t>
  </si>
  <si>
    <t>https://corporate.abbeygate-england.com/wp-content/uploads/2025/12/Front-Copy-7.png, https://corporate.abbeygate-england.com/wp-content/uploads/2025/12/UC71-scaled.webp</t>
  </si>
  <si>
    <t>SG-BK-F-067</t>
  </si>
  <si>
    <t>Lewes SmoothGrain A4 Garage Desk Diary, Day Per Page, Black</t>
  </si>
  <si>
    <t>Organize each day with the Lewes A4 Garage Diary - White Paper - Day Per Page! Built for durability, this diary features a sturdy matte PU cover and spacious day-per-page format, perfect for detailed notes. Made from FSC-certified recycled white paper, it includes a white ribbon marker and debossed year dates for a polished look._x000D_\n_x000D_\n&amp;nbsp;</t>
  </si>
  <si>
    <t>Lewes-SmoothGrain-A4-Garage-Desk-Diary-Day-Per-Page</t>
  </si>
  <si>
    <t>https://corporate.abbeygate-england.com/wp-content/uploads/2025/12/Front-Copy-9.png, https://corporate.abbeygate-england.com/wp-content/uploads/2025/12/UC67-scaled.webp</t>
  </si>
  <si>
    <t>1:16.63;25:13.30;50:12.47;100:10.81;</t>
  </si>
  <si>
    <t>SG-BL-F-067</t>
  </si>
  <si>
    <t>Lewes SmoothGrain A4 Garage Desk Diary, Day Per Page, Blue</t>
  </si>
  <si>
    <t>https://corporate.abbeygate-england.com/wp-content/uploads/2025/12/Front-Copy-10.png, https://corporate.abbeygate-england.com/wp-content/uploads/2025/12/UC67-scaled.webp</t>
  </si>
  <si>
    <t>SG-GY-F-067</t>
  </si>
  <si>
    <t>Lewes SmoothGrain A4 Garage Desk Diary, Day Per Page, Grey</t>
  </si>
  <si>
    <t>https://corporate.abbeygate-england.com/wp-content/uploads/2025/12/Front-Copy-13.png, https://corporate.abbeygate-england.com/wp-content/uploads/2025/12/UC67-scaled.webp</t>
  </si>
  <si>
    <t>SG-RD-F-067</t>
  </si>
  <si>
    <t>Lewes SmoothGrain A4 Garage Desk Diary, Day Per Page, Red</t>
  </si>
  <si>
    <t>https://corporate.abbeygate-england.com/wp-content/uploads/2025/12/Front-Copy-12.png, https://corporate.abbeygate-england.com/wp-content/uploads/2025/12/UC67-scaled.webp</t>
  </si>
  <si>
    <t>SG-RB-F-067</t>
  </si>
  <si>
    <t>Lewes SmoothGrain A4 Garage Desk Diary, Day Per Page, Royal Blue</t>
  </si>
  <si>
    <t>https://corporate.abbeygate-england.com/wp-content/uploads/2025/12/Front-Copy-15.png, https://corporate.abbeygate-england.com/wp-content/uploads/2025/12/UC67-scaled.webp</t>
  </si>
  <si>
    <t>Richmond FineGrain A4 Desk Diary, Day Per Page, Black</t>
  </si>
  <si>
    <t>The Richmond FineGrain A4 Diary - Day Per Page provides elegant, spacious daily planning with a luxurious leather-like cover, crisp FSC recycled white paper, and ribbon marker. Perfect for organized professionals who value both style and substance.</t>
  </si>
  <si>
    <t>The Richmond FineGrain A4 Diary - White Paper - Day Per Page offers a sophisticated and spacious layout ideal for those with busy schedules. Encased in our premium Richmond FineGrain cover, this diary brings a refined, leather-like texture that radiates professionalism and style. The A4 size provides ample writing space, allowing each day to occupy a full page?a perfect layout for detailed planning, notes, and daily reflections._x000D_\n_x000D_\nCrafted with high-quality white paper, this diary ensures a crisp, smooth writing experience, enhancing both readability and aesthetics. A sleek ribbon marker lets you keep track of your current page with ease. This diary?s combination of a classic look and practical features makes it a valuable asset for professionals, students, and those seeking efficient daily organization._x000D_\n_x000D_\nWhether as a personal planner or a premium corporate gift, the Richmond FineGrain A4 Diary merges elegance with functionality, adding a touch of luxury to your everyday planning.</t>
  </si>
  <si>
    <t>Diaries &gt; A4 Diary, Diaries, Foil blocked, Richmond Collection</t>
  </si>
  <si>
    <t>Richmond-FineGrain-A4-Desk-Diary</t>
  </si>
  <si>
    <t>https://corporate.abbeygate-england.com/wp-content/uploads/2025/12/Front-Copy-16.png, https://corporate.abbeygate-england.com/wp-content/uploads/2025/12/UC71-scaled.webp</t>
  </si>
  <si>
    <t>a:3:{i:0;a:3:{s:5:"title";s:15:"Special Feature";s:2:"id";s:15:"special-feature";s:7:"content";s:467:"&lt;ul style="color: rgba(0, 0, 0, 0.7);"&gt;_x000D_
 	&lt;li&gt;Material: Luxurious Richmond FineGrain cover with soft, leather-like texture&lt;/li&gt;_x000D_
 	&lt;li&gt;Layout: Day per page, offering ample space for detailed planning&lt;/li&gt;_x000D_
 	&lt;li&gt;Design: Elegant A4 size with real smyth-sewn and ribbon marker&lt;/li&gt;_x000D_
 	&lt;li&gt;Pages: High-quality white paper for a clear, clean writing experience&lt;/li&gt;_x000D_
 	&lt;li&gt;Ideal For: Sophisticated daily planning, corporate gifting, and personal organization&lt;/li&gt;_x000D_
&lt;/ul&gt;";}i:1;a:3:{s:5:"title";s:8:"Shipping";s:2:"id";s:8:"shipping";s:7:"content";s:206:"&lt;ul style="color: rgba(0, 0, 0, 0.7);"&gt;_x000D_
 	&lt;li&gt;Express delivery&lt;/li&gt;_x000D_
 	&lt;li&gt;Customise with your company logo&lt;/li&gt;_x000D_
 	&lt;li&gt;Personalisation options available&lt;/li&gt;_x000D_
 	&lt;li&gt;Further details in checkout&lt;/li&gt;_x000D_
&lt;/ul&gt;";}i:2;a:3:{s:5:"title";s:19:"Quality Information";s:2:"id";s:19:"quality-information";s:7:"content";s:103:"&lt;ul style="color: rgba(0, 0, 0, 0.7);"&gt;_x000D_
 	&lt;li&gt;FSC certified&lt;/li&gt;_x000D_
 	&lt;li&gt;Manufactured in UK&lt;/li&gt;_x000D_
&lt;/ul&gt;";}}</t>
  </si>
  <si>
    <t>Richmond FineGrain A4 Desk Diary, Day Per Page, Blue</t>
  </si>
  <si>
    <t>https://corporate.abbeygate-england.com/wp-content/uploads/2025/12/Front-Copy-17.png, https://corporate.abbeygate-england.com/wp-content/uploads/2025/12/UC71-scaled.webp</t>
  </si>
  <si>
    <t>Richmond FineGrain A4 Desk Diary, Day Per Page, Burgundy</t>
  </si>
  <si>
    <t>https://corporate.abbeygate-england.com/wp-content/uploads/2025/12/Front-Copy-18.png, https://corporate.abbeygate-england.com/wp-content/uploads/2025/12/UC71-scaled.webp</t>
  </si>
  <si>
    <t>Brown</t>
  </si>
  <si>
    <t>Richmond FineGrain A4 Desk Diary, Day Per Page, Green</t>
  </si>
  <si>
    <t>https://corporate.abbeygate-england.com/wp-content/uploads/2025/12/Front-Copy-19.png, https://corporate.abbeygate-england.com/wp-content/uploads/2025/12/UC71-scaled.webp</t>
  </si>
  <si>
    <t>Richmond FineGrain A4 Desk Diary, Day Per Page, Purple</t>
  </si>
  <si>
    <t>The Richmond FineGrain A4 Diary - White Paper - Day Per Page offers a sophisticated and spacious layout ideal for those with busy schedules. Encased in our premium Richmond FineGrain cover, this diary brings a refined, leather-like texture that radiates professionalism and style. The A4 size provides ample writing space, allowing each day to occupy a full page—a perfect layout for detailed planning, notes, and daily reflections._x000D_\n_x000D_\nCrafted with high-quality white paper, this diary ensures a crisp, smooth writing experience, enhancing both readability and aesthetics. A sleek ribbon marker lets you keep track of your current page with ease. This diary’s combination of a classic look and practical features makes it a valuable asset for professionals, students, and those seeking efficient daily organization._x000D_\n_x000D_\nWhether as a personal planner or a premium corporate gift, the Richmond FineGrain A4 Diary merges elegance with functionality, adding a touch of luxury to your everyday planning.</t>
  </si>
  <si>
    <t>https://corporate.abbeygate-england.com/wp-content/uploads/2025/12/Front-Copy-20.png, https://corporate.abbeygate-england.com/wp-content/uploads/2025/12/UC71-scaled.webp</t>
  </si>
  <si>
    <t>NH-BL-U-21-E</t>
  </si>
  <si>
    <t>Dorchester Newhide A6 Notebook, Feint Ruled, Blue</t>
  </si>
  <si>
    <t>&lt;p dir="ltr"&gt;Top selling, classic soft feel NewHide notebook range material are available in a wide range of colours.?Smyth sewn sections for strength and durability.?White and cream feint ruled pages features include ribbon marker, elastic strap and gusset pocket.&lt;/p&gt;</t>
  </si>
  <si>
    <t>The Dorchester Newhide A6 Notebook is the perfect blend of style, convenience, and durability, ideal for those who need a compact yet high-quality notebook. Made from our signature Dorchester vegan leather, this notebook offers a soft-touch, premium finish that?s both eco-friendly and luxurious. The A6 size is perfect for slipping into pockets or bags, making it an ideal choice for on-the-go notes, thoughts, or sketches._x000D_\n_x000D_\nInside, the notebook contains white feint-ruled pages that are Smyth-sewn for long-lasting durability and a seamless lay-flat design. This thoughtful feature makes writing or sketching a pleasure. Equipped with a ribbon marker for keeping track of your place and an elastic closure for secure storage, the Dorchester A6 Notebook is as practical as it is stylish. Compact yet packed with features, this notebook is perfect for busy professionals, students, and creatives.</t>
  </si>
  <si>
    <t>Notebooks &gt; A6 Notebooks, Dorchester Collection, Notebooks</t>
  </si>
  <si>
    <t>dorchester-a6</t>
  </si>
  <si>
    <t>https://corporate.abbeygate-england.com/wp-content/uploads/2025/12/dorchester-a6-notebook-blue-NH-BL-U-21-E-P.webp, https://corporate.abbeygate-england.com/wp-content/uploads/2025/12/UC31_Website-scaled.webp</t>
  </si>
  <si>
    <t>A6</t>
  </si>
  <si>
    <t>a:3:{i:0;a:3:{s:5:"title";s:15:"Special Feature";s:2:"id";s:15:"special-feature";s:7:"content";s:491:"&lt;ul style="color: rgba(0, 0, 0, 0.7);"&gt;_x000D_
 	&lt;li&gt;Material: Soft-touch Dorchester vegan leather with a premium, eco-friendly feel&lt;/li&gt;_x000D_
 	&lt;li&gt;Pages: White feint-ruled pages, Smyth-sewn binding for durability and a lay-flat design&lt;/li&gt;_x000D_
 	&lt;li&gt;Features: Ribbon marker and elastic closure for easy use and secure storage&lt;/li&gt;_x000D_
 	&lt;li&gt;Size: A6, ideal for portability and on-the-go note-taking&lt;/li&gt;_x000D_
 	&lt;li&gt;Ideal For: Professionals, students, and anyone seeking a compact, stylish notebook&lt;/li&gt;_x000D_
&lt;/ul&gt;";}i:1;a:3:{s:5:"title";s:8:"Shipping";s:2:"id";s:8:"shipping";s:7:"content";s:206:"&lt;ul style="color: rgba(0, 0, 0, 0.7);"&gt;_x000D_
 	&lt;li&gt;Express delivery&lt;/li&gt;_x000D_
 	&lt;li&gt;Customise with your company logo&lt;/li&gt;_x000D_
 	&lt;li&gt;Personalisation options available&lt;/li&gt;_x000D_
 	&lt;li&gt;Further details in checkout&lt;/li&gt;_x000D_
&lt;/ul&gt;";}i:2;a:3:{s:5:"title";s:19:"Quality Information";s:2:"id";s:19:"quality-information";s:7:"content";s:103:"&lt;ul style="color: rgba(0, 0, 0, 0.7);"&gt;_x000D_
 	&lt;li&gt;FSC certified&lt;/li&gt;_x000D_
 	&lt;li&gt;Manufactured in UK&lt;/li&gt;_x000D_
&lt;/ul&gt;";}}</t>
  </si>
  <si>
    <t>1:7.25;25:3.63;50:3.02;100:2.48;</t>
  </si>
  <si>
    <t>NH-TN-U-21-E</t>
  </si>
  <si>
    <t>Dorchester Newhide A6 Notebook, Feint Ruled, Chocolate</t>
  </si>
  <si>
    <t>https://corporate.abbeygate-england.com/wp-content/uploads/2025/12/dorchester-a6-notebook-tan-NH-TN-U-21-E-P.webp, https://corporate.abbeygate-england.com/wp-content/uploads/2025/12/UC31_Website-scaled.webp</t>
  </si>
  <si>
    <t>NH-GP-U-21-E</t>
  </si>
  <si>
    <t>Dorchester NewHide A6 Notebook, Feint Ruled, Graphite</t>
  </si>
  <si>
    <t>https://corporate.abbeygate-england.com/wp-content/uploads/2025/12/dorchester-a6-notebook-grey-NH-GY-U-21-E-P.jpg, https://corporate.abbeygate-england.com/wp-content/uploads/2025/12/UC31_Website-scaled.webp</t>
  </si>
  <si>
    <t>NH-PU-U-21-E</t>
  </si>
  <si>
    <t>Dorchester NewHide A6 Notebook, Feint Ruled, Purple</t>
  </si>
  <si>
    <t>&lt;p dir="ltr"&gt;Top selling, classic soft feel NewHide notebook range material are available in a wide range of colours.?Smyth sewn sections for strength and durability.?White and cream feint ruled pages features include ribbon marker, elastic strap and gusset pocket.&lt;/p&gt;_x000D_\n&amp;nbsp;</t>
  </si>
  <si>
    <t>https://corporate.abbeygate-england.com/wp-content/uploads/2025/12/dorchester-a6-notebook-purple-NH-PU-U-21-E-P.webp, https://corporate.abbeygate-england.com/wp-content/uploads/2025/12/UC31_Website-scaled.webp</t>
  </si>
  <si>
    <t>NH-RD-U-21-E</t>
  </si>
  <si>
    <t>Dorchester NewHide A6 Notebook, Feint Ruled, Red</t>
  </si>
  <si>
    <t>https://corporate.abbeygate-england.com/wp-content/uploads/2025/12/dorchester-a6-notebook-red-NH-RD-U-21-E-P.webp, https://corporate.abbeygate-england.com/wp-content/uploads/2025/12/UC31_Website-scaled.webp</t>
  </si>
  <si>
    <t>SG-BK-F-21-E</t>
  </si>
  <si>
    <t>Lewes SmoothGrain A6 Notebook, Feint Ruled, Black</t>
  </si>
  <si>
    <t>Notebooks &gt; A6 Notebooks, Lewes Collection, Notebooks</t>
  </si>
  <si>
    <t>Lewes-SmoothGrain-A6-Notebook-Feint-Ruled</t>
  </si>
  <si>
    <t>https://corporate.abbeygate-england.com/wp-content/uploads/2025/12/lewes-a6-notebook-black-SG-BK-F-21-E.webp, https://corporate.abbeygate-england.com/wp-content/uploads/2025/12/UC31_Website-scaled.webp</t>
  </si>
  <si>
    <t>1:4.5825:2.75;50:2.29;100:1.88;</t>
  </si>
  <si>
    <t>SG-BL-F-21-E</t>
  </si>
  <si>
    <t>Lewes SmoothGrain A6 Notebook, Feint Ruled, Blue</t>
  </si>
  <si>
    <t>https://corporate.abbeygate-england.com/wp-content/uploads/2025/12/lewes-a6-notebook-blue-SG-BL-F-21-E.webp, https://corporate.abbeygate-england.com/wp-content/uploads/2025/12/UC31_Website-scaled.webp</t>
  </si>
  <si>
    <t>1:4.58;25:2.75;50:2.29;100:1.88;</t>
  </si>
  <si>
    <t>SG-GY-F-21-E</t>
  </si>
  <si>
    <t>Lewes SmoothGrain A6 Notebook, Feint Ruled, Grey</t>
  </si>
  <si>
    <t>https://corporate.abbeygate-england.com/wp-content/uploads/2025/12/lewes-a6-notebook-grey-SG-GY-F-21-E.webp, https://corporate.abbeygate-england.com/wp-content/uploads/2025/12/UC31_Website-scaled.webp</t>
  </si>
  <si>
    <t>SG-RD-F-21-E</t>
  </si>
  <si>
    <t>Lewes SmoothGrain A6 Notebook, Feint Ruled, Red</t>
  </si>
  <si>
    <t>https://corporate.abbeygate-england.com/wp-content/uploads/2025/12/lewes-a6-notebook-red-SG-RD-F-21-E.webp, https://corporate.abbeygate-england.com/wp-content/uploads/2025/12/UC31_Website-scaled.webp</t>
  </si>
  <si>
    <t>Dorchester NewHide A5 Notebook, Feint Ruled, Black</t>
  </si>
  <si>
    <t>This is our top-selling soft feel Vegan Leather Notebook range that comes in a wide range of colours. It has Smyth sewn sections for strength and durability printed on white FSC recycled lined paper. The cover is a self-colour cotton-stitched flexible cover with a ribbon marker, elastic strap, and pen loop._x000D_\n_x000D_\n&amp;nbsp;</t>
  </si>
  <si>
    <t>The Dorchester Newhide A5 Notebook combines eco-friendly materials with a premium look and feel, making it the perfect choice for stylish, everyday note-taking. Bound in our signature Dorchester vegan leather, this notebook has a soft, luxurious texture that adds a professional touch. Its A5 size offers the perfect balance of portability and writing space, making it ideal for meetings, journaling, or daily to-do lists._x000D_\n_x000D_\nInside, the notebook contains white feint-ruled pages crafted from FSC-certified paper, ensuring an environmentally conscious product. The Smyth-sewn binding provides long-lasting durability, allowing the notebook to lay flat for a smoother writing experience. Thoughtful features like a ribbon marker, elastic closure, and a convenient pen loop make this notebook as practical as it is stylish. The Dorchester A5 Notebook offers quality and functionality for professionals, students, and creatives alike.</t>
  </si>
  <si>
    <t>Notebooks &gt; A5 Notebooks, Dorchester Collection, Notebooks &gt; Faux Leather Notebooks, Notebooks</t>
  </si>
  <si>
    <t>Dorchester-NewHide-A5-Notebook-Feint-Ruled</t>
  </si>
  <si>
    <t>https://corporate.abbeygate-england.com/wp-content/uploads/2025/12/Dorchester-A5-Notebook-Black.webp, https://corporate.abbeygate-england.com/wp-content/uploads/2025/12/UC31_Website-scaled.webp</t>
  </si>
  <si>
    <t>a:3:{i:0;a:3:{s:5:"title";s:15:"Special Feature";s:2:"id";s:15:"special-feature";s:7:"content";s:555:"&lt;ul style="color: rgba(0, 0, 0, 0.7);"&gt;_x000D_
 	&lt;li&gt;Material: Luxurious Dorchester vegan leather cover with an eco-friendly, soft-touch finish&lt;/li&gt;_x000D_
 	&lt;li&gt;Pages: White feint-ruled, FSC-certified paper, Smyth-sewn for durability and a lay-flat design&lt;/li&gt;_x000D_
 	&lt;li&gt;Features: Includes ribbon marker, elastic closure, and pen loop for added functionality&lt;/li&gt;_x000D_
 	&lt;li&gt;Size: A5, ideal for balanced note-taking space and portability&lt;/li&gt;_x000D_
 	&lt;li&gt;Ideal For: Professionals, students, and anyone seeking a high-quality, stylish notebook with functional details&lt;/li&gt;_x000D_
&lt;/ul&gt;";}i:1;a:3:{s:5:"title";s:8:"Shipping";s:2:"id";s:8:"shipping";s:7:"content";s:206:"&lt;ul style="color: rgba(0, 0, 0, 0.7);"&gt;_x000D_
 	&lt;li&gt;Express delivery&lt;/li&gt;_x000D_
 	&lt;li&gt;Customise with your company logo&lt;/li&gt;_x000D_
 	&lt;li&gt;Personalisation options available&lt;/li&gt;_x000D_
 	&lt;li&gt;Further details in checkout&lt;/li&gt;_x000D_
&lt;/ul&gt;";}i:2;a:3:{s:5:"title";s:19:"Quality Information";s:2:"id";s:19:"quality-information";s:7:"content";s:103:"&lt;ul style="color: rgba(0, 0, 0, 0.7);"&gt;_x000D_
 	&lt;li&gt;FSC certified&lt;/li&gt;_x000D_
 	&lt;li&gt;Manufactured in UK&lt;/li&gt;_x000D_
&lt;/ul&gt;";}}</t>
  </si>
  <si>
    <t>1:8.5;10:5.67;25:5.51;50:4.56;100:3.86;250:3.24;500:2.80;750:2.76;</t>
  </si>
  <si>
    <t>Dorchester NewHide A5 Notebook, Feint Ruled, Blue</t>
  </si>
  <si>
    <t>This is our top-selling soft feel Vegan Leather Notebook range that comes in a wide range of colours. It has Smyth sewn sections for strength and durability printed on white FSC recycled lined paper. The cover is a self-colour cotton-stitched flexible cover with a ribbon marker, elastic strap, and pen loop.</t>
  </si>
  <si>
    <t>Notebooks &gt; A5 Notebooks, Dorchester Collection, Notebooks</t>
  </si>
  <si>
    <t>https://corporate.abbeygate-england.com/wp-content/uploads/2025/12/dorchester-a5-notebook-blue-NH-BL-U-31-E-P_94876a5e-dc22-47f9-9de8-ed392a6e86c7.webp, https://corporate.abbeygate-england.com/wp-content/uploads/2025/12/UC31_Website-scaled.webp</t>
  </si>
  <si>
    <t>Dorchester NewHide A5 Notebook, Feint Ruled, Grey</t>
  </si>
  <si>
    <t>https://corporate.abbeygate-england.com/wp-content/uploads/2025/12/Dorchester-A5-Notebook-Grey.jpg, https://corporate.abbeygate-england.com/wp-content/uploads/2025/12/UC31_Website-scaled.webp</t>
  </si>
  <si>
    <t>Dorchester NewHide A5 Notebook, Feint Ruled, Orange</t>
  </si>
  <si>
    <t>https://corporate.abbeygate-england.com/wp-content/uploads/2025/12/Dorchester-A5-Notebook-Orange.webp, https://corporate.abbeygate-england.com/wp-content/uploads/2025/12/UC31_Website-scaled.webp</t>
  </si>
  <si>
    <t>Dorchester NewHide A5 Notebook, Feint Ruled, Pink</t>
  </si>
  <si>
    <t>https://corporate.abbeygate-england.com/wp-content/uploads/2025/12/Dorchester-A5-Notebook-Pink.webp, https://corporate.abbeygate-england.com/wp-content/uploads/2025/12/UC31_Website-scaled.webp</t>
  </si>
  <si>
    <t>Dorchester NewHide A5 Notebook, Feint Ruled, Purple</t>
  </si>
  <si>
    <t>https://corporate.abbeygate-england.com/wp-content/uploads/2025/12/dorchester-a5-notebook-purple-NH-PU-U-31-E-P.webp, https://corporate.abbeygate-england.com/wp-content/uploads/2025/12/UC31_Website-scaled.webp</t>
  </si>
  <si>
    <t>Dorchester NewHide A5 Notebook, Feint Ruled, Red</t>
  </si>
  <si>
    <t>https://corporate.abbeygate-england.com/wp-content/uploads/2025/12/Dorchester-A5-Notebook-Red.webp, https://corporate.abbeygate-england.com/wp-content/uploads/2025/12/UC31_Website-scaled.webp</t>
  </si>
  <si>
    <t>Dorchester NewHide A5 Notebook, Feint Ruled, Royal Blue</t>
  </si>
  <si>
    <t>https://corporate.abbeygate-england.com/wp-content/uploads/2025/12/Dorchester-A5-Notebook-Royal-Blue.webp, https://corporate.abbeygate-england.com/wp-content/uploads/2025/12/UC31_Website-scaled.webp</t>
  </si>
  <si>
    <t>Dorchester NewHide A5 Notebook, Feint Ruled, Violet</t>
  </si>
  <si>
    <t>https://corporate.abbeygate-england.com/wp-content/uploads/2025/12/Dorchester-A5-Notebook-Voilet.webp, https://corporate.abbeygate-england.com/wp-content/uploads/2025/12/UC31_Website-scaled.webp</t>
  </si>
  <si>
    <t>Violet</t>
  </si>
  <si>
    <t>Dorchester NewHide A5 Notebook, Feint Ruled, Yellow</t>
  </si>
  <si>
    <t>https://corporate.abbeygate-england.com/wp-content/uploads/2025/12/dorchester-a5-notebook-yellow-NH-YE-U-31-E-P.webp, https://corporate.abbeygate-england.com/wp-content/uploads/2025/12/UC31_Website-scaled.webp</t>
  </si>
  <si>
    <t>Yellow</t>
  </si>
  <si>
    <t>Harrogate Faux Leather A5 Notebook, Feint Ruled, Black</t>
  </si>
  <si>
    <t>With its luxurious Harrogate cover and practical features, the Harrogate Faux Leather A5 Notebook offers a soft, premium feel and eco-friendly, feint-ruled pages—perfect for stylish note-taking. Designed for convenience and durability, it also features perimeter stitching, an elastic strap for secure closure, a gusset pocket for loose papers, and a handy pen loop for quick access.</t>
  </si>
  <si>
    <t>The Harrogate Faux Leather A5 Notebook combines eco-friendly materials with a premium look and feel, making it the perfect choice for stylish, everyday note-taking. Bound in our signature Dorchester Faux leather, this notebook has a soft, luxurious texture that adds a professional touch. Its A5 size offers the perfect balance of portability and writing space, making it ideal for meetings, journaling, or daily to-do lists._x000D_\n_x000D_\nInside, the notebook contains white feint-ruled pages crafted from FSC-certified paper, ensuring an environmentally conscious product. The Smyth-sewn binding provides long-lasting durability, allowing the notebook to lay flat for a smoother writing experience. Thoughtful features like a ribbon marker, elastic closure, and a convenient pen loop make this notebook as practical as it is stylish. The Dorchester A5 Notebook offers quality and functionality for professionals, students, and creatives alike.</t>
  </si>
  <si>
    <t>Notebooks &gt; A5 Notebooks, Notebooks &gt; Faux Leather Notebooks, Harrogate Collection, Notebooks</t>
  </si>
  <si>
    <t>Harrogate-Faux-Leather-A5-Notebook</t>
  </si>
  <si>
    <t>https://corporate.abbeygate-england.com/wp-content/uploads/2025/12/harrogate-a5-notebook-black-SH-BK-U-32-EP_1_4731f9f6-beca-4425-970c-ea7a579dbaab.jpg, https://corporate.abbeygate-england.com/wp-content/uploads/2025/12/UC31_Website-scaled.webp</t>
  </si>
  <si>
    <t>a:3:{i:0;a:3:{s:5:"title";s:15:"Special Feature";s:2:"id";s:15:"special-feature";s:7:"content";s:526:"&lt;ul style="color: rgba(0, 0, 0, 0.7);"&gt;_x000D_
 	&lt;li&gt;Material: Harrogate faux leather with a lauxurious soft touch&lt;/li&gt;_x000D_
 	&lt;li&gt;Pages: cream feint-ruled, FSC-certified paper, Smyth-sewn for durability and a lay-flat design&lt;/li&gt;_x000D_
 	&lt;li&gt;Features: Includes ribbon marker, elastic closure, and pen loop for added functionality&lt;/li&gt;_x000D_
 	&lt;li&gt;Size: A5, ideal for balanced note-taking space and portability&lt;/li&gt;_x000D_
 	&lt;li&gt;Ideal For: Professionals, students, and anyone seeking a high-quality, stylish notebook with functional details&lt;/li&gt;_x000D_
&lt;/ul&gt;";}i:1;a:3:{s:5:"title";s:8:"Shipping";s:2:"id";s:8:"shipping";s:7:"content";s:206:"&lt;ul style="color: rgba(0, 0, 0, 0.7);"&gt;_x000D_
 	&lt;li&gt;Express delivery&lt;/li&gt;_x000D_
 	&lt;li&gt;Customise with your company logo&lt;/li&gt;_x000D_
 	&lt;li&gt;Personalisation options available&lt;/li&gt;_x000D_
 	&lt;li&gt;Further details in checkout&lt;/li&gt;_x000D_
&lt;/ul&gt;";}i:2;a:3:{s:5:"title";s:19:"Quality Information";s:2:"id";s:19:"quality-information";s:7:"content";s:103:"&lt;ul style="color: rgba(0, 0, 0, 0.7);"&gt;_x000D_
 	&lt;li&gt;FSC certified&lt;/li&gt;_x000D_
 	&lt;li&gt;Manufactured in UK&lt;/li&gt;_x000D_
&lt;/ul&gt;";}}</t>
  </si>
  <si>
    <t>1:8.99;10:5.97;25:5.74;50:4.75;100:4.02;250:3.37;500:2.91;750:2.86;1000:2.64;</t>
  </si>
  <si>
    <t>Harrogate Faux Leather A5 Notebook, Feint Ruled, Burgundy</t>
  </si>
  <si>
    <t>With its luxurious Harrogate cover and practical features, the Harrogate Faux Leather A5 Notebook offers a soft, premium feel and eco-friendly, feint-ruled pages?perfect for stylish note-taking. Designed for convenience and durability, it also features perimeter stitching, an elastic strap for secure closure, a gusset pocket for loose papers, and a handy pen loop for quick access.</t>
  </si>
  <si>
    <t>https://corporate.abbeygate-england.com/wp-content/uploads/2025/12/harrogate-a5-notebook-burgundy-SH-BG-U-32-EP_1.webp, https://corporate.abbeygate-england.com/wp-content/uploads/2025/12/UC31_Website-scaled.webp</t>
  </si>
  <si>
    <t>Harrogate Faux Leather A5 Notebook, Feint Ruled, Green</t>
  </si>
  <si>
    <t>https://corporate.abbeygate-england.com/wp-content/uploads/2025/12/harrogate-a5-notebook-green-SH-GN-U-32-EP_1_447016a6-991b-4263-bf15-9aaad0d5c189.jpg, https://corporate.abbeygate-england.com/wp-content/uploads/2025/12/UC31_Website-scaled.webp</t>
  </si>
  <si>
    <t>Lewes SmoothGrain A5 Notebook, Feint Ruled, Black</t>
  </si>
  <si>
    <t>&lt;p dir="ltr"&gt;The Lewes SmoothGrain A5 Notebook is designed for everyday practicality with a refined touch. Crafted with a sleek vegan leather cover and detailed perimeter stitching, it combines durability with style. Featuring white FSC? certified pages, an elastic strap, pen loop, and ribbon marker, it ensures your notes stay secure, accessible, and organized?perfect for professionals and students alike.&lt;/p&gt;</t>
  </si>
  <si>
    <t>The Lewes SmoothGrain A5 Notebook is designed for everyday practicality with a refined touch. Crafted with a sleek vegan leather cover and detailed perimeter stitching, it combines durability with style. Featuring white FSC? certified pages, an elastic strap, pen loop, and ribbon marker, it ensures your notes stay secure, accessible, and organized?perfect for professionals and students alike.</t>
  </si>
  <si>
    <t>Notebooks &gt; A5 Notebooks, Lewes Collection, Notebooks</t>
  </si>
  <si>
    <t>Lewes-SmoothGrain-A5-Notebook-Feint-Ruled</t>
  </si>
  <si>
    <t>https://corporate.abbeygate-england.com/wp-content/uploads/2025/12/lewes-a5-notebook-black-SG-BK-F-31-E-P_bb6aac53-06a3-4be2-aaf5-7246588762d3.webp, https://corporate.abbeygate-england.com/wp-content/uploads/2025/12/UC31_Website-scaled.webp</t>
  </si>
  <si>
    <t>a:3:{i:0;a:3:{s:5:"title";s:15:"Special Feature";s:2:"id";s:15:"special-feature";s:7:"content";s:543:"&lt;ul style="color: rgba(0, 0, 0, 0.7);"&gt;_x000D_
 	&lt;li&gt;Material:soft feel Vegan Leather cover with an eco-friendly, soft-touch finish&lt;/li&gt;_x000D_
 	&lt;li&gt;Pages: White feint-ruled, FSC-certified paper, Smyth-sewn for durability and a lay-flat design&lt;/li&gt;_x000D_
 	&lt;li&gt;Features: Includes ribbon marker, elastic closure, and pen loop for added functionality&lt;/li&gt;_x000D_
 	&lt;li&gt;Size: A5, ideal for balanced note-taking space and portability&lt;/li&gt;_x000D_
 	&lt;li&gt;Ideal For: Professionals, students, and anyone seeking a high-quality, stylish notebook with functional details&lt;/li&gt;_x000D_
&lt;/ul&gt;";}i:1;a:3:{s:5:"title";s:8:"Shipping";s:2:"id";s:8:"shipping";s:7:"content";s:206:"&lt;ul style="color: rgba(0, 0, 0, 0.7);"&gt;_x000D_
 	&lt;li&gt;Express delivery&lt;/li&gt;_x000D_
 	&lt;li&gt;Customise with your company logo&lt;/li&gt;_x000D_
 	&lt;li&gt;Personalisation options available&lt;/li&gt;_x000D_
 	&lt;li&gt;Further details in checkout&lt;/li&gt;_x000D_
&lt;/ul&gt;";}i:2;a:3:{s:5:"title";s:19:"Quality Information";s:2:"id";s:19:"quality-information";s:7:"content";s:103:"&lt;ul style="color: rgba(0, 0, 0, 0.7);"&gt;_x000D_
 	&lt;li&gt;FSC certified&lt;/li&gt;_x000D_
 	&lt;li&gt;Manufactured in UK&lt;/li&gt;_x000D_
&lt;/ul&gt;";}}</t>
  </si>
  <si>
    <t>1:7.5;10:4.83;25:4.89;50:4.04;100:3.44;250:2.89;500:2.50;750:2.47;1000:2.29;</t>
  </si>
  <si>
    <t>Lewes SmoothGrain A5 Notebook, Feint Ruled, Blue</t>
  </si>
  <si>
    <t>A stylish and functional companion, the Lewes SmoothGrain A5 Notebook from our Express Range is ideal for daily use. Its smooth vegan leather cover is accented with perimeter stitching for a premium finish. Inside, white FSC ruled pages provide a sustainable writing surface. With its elastic strap for closure, pen loop for convenience, and ribbon marker for easy reference, this notebook blends elegance with practicality</t>
  </si>
  <si>
    <t>https://corporate.abbeygate-england.com/wp-content/uploads/2025/12/lewes-a5-notebook-blue-SG-BL-F-31-E-P_f0a2c267-ec31-4636-bb16-dcdd4c8a200a.webp, https://corporate.abbeygate-england.com/wp-content/uploads/2025/12/UC31_Website-scaled.webp</t>
  </si>
  <si>
    <t>a:3:{i:0;a:3:{s:5:"title";s:15:"Special Feature";s:2:"id";s:15:"special-feature";s:7:"content";s:508:"&lt;ul&gt;_x000D_
 	&lt;li&gt;Material:soft feel Vegan Leather cover with an eco-friendly, soft-touch finish&lt;/li&gt;_x000D_
 	&lt;li&gt;Pages: White feint-ruled, FSC-certified paper, Smyth-sewn for durability and a lay-flat design&lt;/li&gt;_x000D_
 	&lt;li&gt;Features: Includes ribbon marker, elastic closure, and pen loop for added functionality&lt;/li&gt;_x000D_
 	&lt;li&gt;Size: A5, ideal for balanced note-taking space and portability&lt;/li&gt;_x000D_
 	&lt;li&gt;Ideal For: Professionals, students, and anyone seeking a high-quality, stylish notebook with functional details&lt;/li&gt;_x000D_
&lt;/ul&gt;";}i:1;a:3:{s:5:"title";s:8:"Shipping";s:2:"id";s:8:"shipping";s:7:"content";s:206:"&lt;ul style="color: rgba(0, 0, 0, 0.7);"&gt;_x000D_
 	&lt;li&gt;Express delivery&lt;/li&gt;_x000D_
 	&lt;li&gt;Customise with your company logo&lt;/li&gt;_x000D_
 	&lt;li&gt;Personalisation options available&lt;/li&gt;_x000D_
 	&lt;li&gt;Further details in checkout&lt;/li&gt;_x000D_
&lt;/ul&gt;";}i:2;a:3:{s:5:"title";s:19:"Quality Information";s:2:"id";s:19:"quality-information";s:7:"content";s:103:"&lt;ul style="color: rgba(0, 0, 0, 0.7);"&gt;_x000D_
 	&lt;li&gt;FSC certified&lt;/li&gt;_x000D_
 	&lt;li&gt;Manufactured in UK&lt;/li&gt;_x000D_
&lt;/ul&gt;";}}</t>
  </si>
  <si>
    <t>Lewes SmoothGrain A5 Notebook, Feint Ruled, Light Blue</t>
  </si>
  <si>
    <t>https://corporate.abbeygate-england.com/wp-content/uploads/2025/12/lewes-a5-notebook-lightblue-SG-LB-F-31-E-P.webp, https://corporate.abbeygate-england.com/wp-content/uploads/2025/12/UC31_Website-scaled.webp</t>
  </si>
  <si>
    <t>Lewes SmoothGrain A5 Notebook, Feint Ruled, Lime</t>
  </si>
  <si>
    <t>https://corporate.abbeygate-england.com/wp-content/uploads/2025/12/lewes-a5-notebook-lime-SG-LM-F-31-E-P.webp, https://corporate.abbeygate-england.com/wp-content/uploads/2025/12/UC31_Website-scaled.webp</t>
  </si>
  <si>
    <t>Lewes SmoothGrain A5 Notebook, Feint Ruled, Pewter</t>
  </si>
  <si>
    <t>The Lewes SmoothGrain A5 Notebook is designed for everyday practicality with a refined touch. Crafted with a sleek vegan leather cover and detailed perimeter stitching, it combines durability with style. Featuring white FSC? certified pages, an elastic strap, pen loop, and ribbon marker, it ensures your notes stay secure, accessible, and organized?perfect for professionals and students alike._x000D_\n_x000D_\n&amp;nbsp;</t>
  </si>
  <si>
    <t>https://corporate.abbeygate-england.com/wp-content/uploads/2025/12/SmoothGrain_A5_Notebook_Pweter_WEB.webp, https://corporate.abbeygate-england.com/wp-content/uploads/2025/12/UC31_Website-scaled.webp</t>
  </si>
  <si>
    <t>Lewes SmoothGrain A5 Notebook, Feint Ruled, Red</t>
  </si>
  <si>
    <t>https://corporate.abbeygate-england.com/wp-content/uploads/2025/12/lewes-a5-notebook-red-SG-RD-F-31-E-P_c2ee45df-afc8-4fb5-bbc7-de3ebc20f0a3.webp, https://corporate.abbeygate-england.com/wp-content/uploads/2025/12/UC31_Website-scaled.webp</t>
  </si>
  <si>
    <t>Lewes SmoothGrain A5 Notebook, Feint Ruled, Royal Blue</t>
  </si>
  <si>
    <t>https://corporate.abbeygate-england.com/wp-content/uploads/2025/12/lewes-a5-notebook-royalblue-SG-RB-F-31-E-P.webp, https://corporate.abbeygate-england.com/wp-content/uploads/2025/12/UC31_Website-scaled.webp</t>
  </si>
  <si>
    <t>Lewes SmoothGrain A5 Notebook, Feint Ruled, White</t>
  </si>
  <si>
    <t>https://corporate.abbeygate-england.com/wp-content/uploads/2025/12/lewes-a5-notebook-white-SG-WH-F-31-E-P_c5a27ade-9a4c-436f-8448-f1df2366c617.webp, https://corporate.abbeygate-england.com/wp-content/uploads/2025/12/UC31_Website-scaled.webp</t>
  </si>
  <si>
    <t>Richmond FineGrain A5 Notebook, Feint Ruled, Black</t>
  </si>
  <si>
    <t>&lt;p dir="ltr"&gt;Elegant and functional, the Richmond FineGrain A5 Notebook offers a premium writing experience with its luxurious cover, FSC certified, white, recycled,? ruled pages, and secure elastic closure.&lt;/p&gt;</t>
  </si>
  <si>
    <t>The Richmond Faux Leather A5 Notebook is crafted for those who appreciate both elegance and functionality in their daily writing tools. Wrapped in premium Richmond material, this notebook has a smooth and luxurious finish that brings a touch of sophistication to any setting. The A5 size provides ample space for notes, sketches, and planning, making it a versatile companion for both professional and personal use._x000D_\n_x000D_\nInside, the notebook features FSC certified, white, recycled, feint-ruled pages that are Smyth-sewn for maximum durability, allowing the notebook to lay flat when open. This feature enhances the writing experience, making it easy to write across pages without any interruption. Thoughtfully designed with a ribbon marker to keep your place and an elastic closure strap to keep your notes secure, the Richmond A5 Notebook is the perfect blend of style, durability, and practicality. Its refined look and quality craftsmanship make it ideal for use in business meetings, academic settings, or personal journaling.</t>
  </si>
  <si>
    <t>Notebooks &gt; A5 Notebooks, Foil blocked, Notebooks, Richmond Collection</t>
  </si>
  <si>
    <t>Richmond-FineGrain-A5-Notebook-Feint-Ruled</t>
  </si>
  <si>
    <t>https://corporate.abbeygate-england.com/wp-content/uploads/2025/12/richmond-a5-notebook-black-FG-BK-U-31-E-P.jpg, https://corporate.abbeygate-england.com/wp-content/uploads/2025/12/UC31_Website-scaled.webp</t>
  </si>
  <si>
    <t>a:3:{i:0;a:3:{s:5:"title";s:15:"Special Feature";s:2:"id";s:15:"special-feature";s:7:"content";s:565:"&lt;ul&gt;_x000D_
 	&lt;li&gt;&lt;strong&gt;Material:&lt;/strong&gt; High-quality Richmond material with a smooth, sophisticated finish&lt;/li&gt;_x000D_
 	&lt;li&gt;&lt;strong&gt;Pages:&lt;/strong&gt; FSC certified, White, recycled, feint-ruled pages, Smyth-sewn binding for durability and a lay-flat design&lt;/li&gt;_x000D_
 	&lt;li&gt;&lt;strong&gt;Features:&lt;/strong&gt; Ribbon marker and elastic closure for convenience and security&lt;/li&gt;_x000D_
 	&lt;li&gt;&lt;strong&gt;Size:&lt;/strong&gt; A5, providing ample space for notes and ideas&lt;/li&gt;_x000D_
 	&lt;li&gt;&lt;strong&gt;Ideal For:&lt;/strong&gt; Professionals, students, and anyone seeking a high-quality, elegant notebook&lt;/li&gt;_x000D_
&lt;/ul&gt;";}i:1;a:3:{s:5:"title";s:8:"Shipping";s:2:"id";s:8:"shipping";s:7:"content";s:206:"&lt;ul style="color: rgba(0, 0, 0, 0.7);"&gt;_x000D_
 	&lt;li&gt;Express delivery&lt;/li&gt;_x000D_
 	&lt;li&gt;Customise with your company logo&lt;/li&gt;_x000D_
 	&lt;li&gt;Personalisation options available&lt;/li&gt;_x000D_
 	&lt;li&gt;Further details in checkout&lt;/li&gt;_x000D_
&lt;/ul&gt;";}i:2;a:3:{s:5:"title";s:19:"Quality Information";s:2:"id";s:19:"quality-information";s:7:"content";s:103:"&lt;ul style="color: rgba(0, 0, 0, 0.7);"&gt;_x000D_
 	&lt;li&gt;FSC certified&lt;/li&gt;_x000D_
 	&lt;li&gt;Manufactured in UK&lt;/li&gt;_x000D_
&lt;/ul&gt;";}}</t>
  </si>
  <si>
    <t>Richmond FineGrain A5 Notebook, Feint Ruled, Dark Blue</t>
  </si>
  <si>
    <t>&lt;p dir="ltr"&gt;Elegant and functional, the Richmond FineGrain A5 Notebook offers a premium writing experience with its luxurious cover, FSC certified, white, recycled,? ruled pages, and secure elastic closure.&lt;/p&gt;_x000D_\n&amp;nbsp;</t>
  </si>
  <si>
    <t>https://corporate.abbeygate-england.com/wp-content/uploads/2025/12/FineGrain_A5_Notebook_Blue_WEB.webp, https://corporate.abbeygate-england.com/wp-content/uploads/2025/12/UC31_Website-scaled.webp</t>
  </si>
  <si>
    <t>a:3:{i:0;a:3:{s:5:"title";s:15:"Special Feature";s:2:"id";s:15:"special-feature";s:7:"content";s:536:"&lt;ul&gt;_x000D_
 	&lt;li&gt;&lt;strong&gt;Ideal For:&lt;/strong&gt; Business professionals, students, and anyone seeking a high-quality, stylish notebook&lt;/li&gt;_x000D_
 	&lt;li&gt;&lt;strong&gt;Material:&lt;/strong&gt; Premium FineGrain cover with a smooth, elegant finish&lt;/li&gt;_x000D_
 	&lt;li&gt;&lt;strong&gt;Pages:&lt;/strong&gt; White, recycled,  feint-ruled pages, Smyth-sewn for durability and lay-flat design&lt;/li&gt;_x000D_
 	&lt;li&gt;&lt;strong&gt;Features:&lt;/strong&gt; Ribbon marker and elastic closure strap for ease and security&lt;/li&gt;_x000D_
 	&lt;li&gt;&lt;strong&gt;Size:&lt;/strong&gt; Compact A5, perfect for portable note-taking&lt;/li&gt;_x000D_
&lt;/ul&gt;";}i:1;a:3:{s:5:"title";s:8:"Shipping";s:2:"id";s:8:"shipping";s:7:"content";s:206:"&lt;ul style="color: rgba(0, 0, 0, 0.7);"&gt;_x000D_
 	&lt;li&gt;Express delivery&lt;/li&gt;_x000D_
 	&lt;li&gt;Customise with your company logo&lt;/li&gt;_x000D_
 	&lt;li&gt;Personalisation options available&lt;/li&gt;_x000D_
 	&lt;li&gt;Further details in checkout&lt;/li&gt;_x000D_
&lt;/ul&gt;";}i:2;a:3:{s:5:"title";s:19:"Quality Information";s:2:"id";s:19:"quality-information";s:7:"content";s:103:"&lt;ul style="color: rgba(0, 0, 0, 0.7);"&gt;_x000D_
 	&lt;li&gt;FSC certified&lt;/li&gt;_x000D_
 	&lt;li&gt;Manufactured in UK&lt;/li&gt;_x000D_
&lt;/ul&gt;";}}</t>
  </si>
  <si>
    <t>Richmond FineGrain A5 Notebook, Feint Ruled, Green</t>
  </si>
  <si>
    <t>https://corporate.abbeygate-england.com/wp-content/uploads/2025/12/richmond-a5-notebook-green-FG-GN-U-31-E-P.jpg, https://corporate.abbeygate-england.com/wp-content/uploads/2025/12/UC31_Website-scaled.webp</t>
  </si>
  <si>
    <t>Richmond FineGrain A5 Notebook, Feint Ruled, Purple</t>
  </si>
  <si>
    <t>https://corporate.abbeygate-england.com/wp-content/uploads/2025/12/richmond-a5-notebook-purple-FG-PU-U-31-E-P.jpg, https://corporate.abbeygate-england.com/wp-content/uploads/2025/12/UC31_Website-scaled.webp</t>
  </si>
  <si>
    <t>Richmond FineGrain A5 Notebook, Feint Ruled, Red</t>
  </si>
  <si>
    <t>https://corporate.abbeygate-england.com/wp-content/uploads/2025/12/richmond-a5-notebook-red-FG-RD-U-31-E-P.webp, https://corporate.abbeygate-england.com/wp-content/uploads/2025/12/UC31_Website-scaled.webp</t>
  </si>
  <si>
    <t>Apple Peel Eco, vegan / peel A5 Notebook, Feint Ruled, Black</t>
  </si>
  <si>
    <t>Eco-friendly and stylish, the Apple Peel Eco, vegan / peel A5 Eco Notebook features a sustainable apple leather cover, FSC-certified pages, and practical details like a ribbon marker and pen loop?perfect for conscious note-taking.</t>
  </si>
  <si>
    <t>The Apple Peel Eco, vegan / peel A5 Eco Notebook is an eco-conscious yet stylish notebook designed for the modern user who values sustainability without compromising on quality. Crafted from Apple Leather?a sustainable material made from upcycled apple pomace?the cover of this notebook is as environmentally friendly as it is elegant. This unique material combines the natural look and feel of leather with the benefits of being eco-friendly and cruelty-free, making it a standout in both design and conscience._x000D_\n_x000D_\nInside, the Apple Peel Eco, vegan / peel A5 Eco Notebook features 144 white, feint-ruled pages, printed on FSC-certified paper for an eco-conscious writing experience. The pages are smooth to the touch, providing a great surface for writing or sketching. With a Smyth-sewn binding, the notebook is built to last and lays flat for ease of use. Thoughtful details such as the ribbon marker, elastic closure, and pen loop make this notebook as practical as it is beautiful. Perfect for professionals, students, and creatives, the Apple Peel Eco, vegan / peel A5 Eco Notebook offers a sophisticated and sustainable choice for all your note-taking needs.</t>
  </si>
  <si>
    <t>Notebooks &gt; A5 Notebooks, Conscious Collection, Notebooks &gt; Eco, Notebooks</t>
  </si>
  <si>
    <t>peel-A5-Notebook</t>
  </si>
  <si>
    <t>https://corporate.abbeygate-england.com/wp-content/uploads/2025/12/applepeel-a5-notebook-black-AJ-BK-U-31.webp, https://corporate.abbeygate-england.com/wp-content/uploads/2025/12/UC31_Website-scaled.webp</t>
  </si>
  <si>
    <t>Apple Peel</t>
  </si>
  <si>
    <t>a:3:{i:0;a:3:{s:5:"title";s:15:"Special Feature";s:2:"id";s:15:"special-feature";s:7:"content";s:524:"&lt;ul&gt;_x000D_
 	&lt;li&gt;Material: Apple Leather cover made from upcycled apple pomace for an eco-friendly and cruelty-free design&lt;/li&gt;_x000D_
 	&lt;li&gt;Pages: 144 white, feint-ruled pages, FSC-certified for an environmentally responsible choice&lt;/li&gt;_x000D_
 	&lt;li&gt;Features: Smyth-sewn binding, ribbon marker, elastic closure, and pen loop for added functionality&lt;/li&gt;_x000D_
 	&lt;li&gt;Size: A5, ideal for writing, journaling, or sketching&lt;/li&gt;_x000D_
 	&lt;li&gt;Ideal For: Professionals, students, creatives, and anyone seeking a sustainable and stylish notebook&lt;/li&gt;_x000D_
&lt;/ul&gt;";}i:1;a:3:{s:5:"title";s:8:"Shipping";s:2:"id";s:8:"shipping";s:7:"content";s:206:"&lt;ul style="color: rgba(0, 0, 0, 0.7);"&gt;_x000D_
 	&lt;li&gt;Express delivery&lt;/li&gt;_x000D_
 	&lt;li&gt;Customise with your company logo&lt;/li&gt;_x000D_
 	&lt;li&gt;Personalisation options available&lt;/li&gt;_x000D_
 	&lt;li&gt;Further details in checkout&lt;/li&gt;_x000D_
&lt;/ul&gt;";}i:2;a:3:{s:5:"title";s:19:"Quality Information";s:2:"id";s:19:"quality-information";s:7:"content";s:103:"&lt;ul style="color: rgba(0, 0, 0, 0.7);"&gt;_x000D_
 	&lt;li&gt;FSC certified&lt;/li&gt;_x000D_
 	&lt;li&gt;Manufactured in UK&lt;/li&gt;_x000D_
&lt;/ul&gt;";}}</t>
  </si>
  <si>
    <t>1:18.50;10:12.33;25:10.51;50:8.73;100:7.28;250:6.03;</t>
  </si>
  <si>
    <t>Apple Peel Eco, vegan / peel A5 Notebook, Feint Ruled, Green</t>
  </si>
  <si>
    <t>Eco-friendly and stylish, the Apple Peel Eco, vegan / peel A5 Eco Notebook features a sustainable apple leather cover, FSC-certified pages, and practical details like a ribbon marker and pen loop?perfect for conscious note-taking._x000D_\n_x000D_\n&amp;nbsp;</t>
  </si>
  <si>
    <t>https://corporate.abbeygate-england.com/wp-content/uploads/2025/12/applepeel-a5-notebook-green-AJ-GN-U-31.webp, https://corporate.abbeygate-england.com/wp-content/uploads/2025/12/UC31_Website-scaled.webp</t>
  </si>
  <si>
    <t>Apple Peel Eco, vegan / peel A5 Notebook, Feint Ruled, Light Blue</t>
  </si>
  <si>
    <t>https://corporate.abbeygate-england.com/wp-content/uploads/2025/12/applepeel-a5-notebook-lightblue-AJ-LB-U-31.webp, https://corporate.abbeygate-england.com/wp-content/uploads/2025/12/UC31_Website-scaled.webp</t>
  </si>
  <si>
    <t>Apple Peel Eco, vegan / peel A5 Notebook, Feint Ruled, Red</t>
  </si>
  <si>
    <t>https://corporate.abbeygate-england.com/wp-content/uploads/2025/12/applepeel-a5-notebook-red-AJ-RD-U-31.webp, https://corporate.abbeygate-england.com/wp-content/uploads/2025/12/UC31_Website-scaled.webp</t>
  </si>
  <si>
    <t>Apple Peel Eco, vegan / peel A5 Notebook, Feint Ruled, Tan</t>
  </si>
  <si>
    <t>https://corporate.abbeygate-england.com/wp-content/uploads/2025/12/applepeel-a5-notebook-tan-AJ-TN-U-31.webp, https://corporate.abbeygate-england.com/wp-content/uploads/2025/12/UC31_Website-scaled.webp</t>
  </si>
  <si>
    <t>Ocean Clean A5 Eco Notebook, Biscuit</t>
  </si>
  <si>
    <t>&lt;span data-sheets-root="1"&gt;The Ocean Clean A5 Eco Notebook combines sustainability with practicality, featuring feint ruled white FSC-certified pages and a convenient ribbon marker for easy organisation..&lt;/span&gt;_x000D_\n_x000D_\n&amp;nbsp;</t>
  </si>
  <si>
    <t>Crafted for eco-conscious note-takers, the Ocean Clean A5 Eco Notebook offers a clean, professional look while supporting responsible forestry with FSC-certified white pages. The feint ruling ensures neat writing, while the ribbon marker helps you keep track of important notes with ease.</t>
  </si>
  <si>
    <t>eco-notebooks</t>
  </si>
  <si>
    <t>https://corporate.abbeygate-england.com/wp-content/uploads/2025/12/OCA5NotebookFS_Biscuit.jpg, https://corporate.abbeygate-england.com/wp-content/uploads/2025/12/UC31_Website-scaled.webp</t>
  </si>
  <si>
    <t>Ocean Clean</t>
  </si>
  <si>
    <t>a:3:{i:0;a:3:{s:5:"title";s:15:"Special Feature";s:2:"id";s:15:"special-feature";s:7:"content";s:487:"&lt;ul&gt;_x000D_
 	&lt;li&gt;Material: Made from repurposed Ocean Plastic, reducing ocean waste while providing a durable, stylish cover&lt;/li&gt;_x000D_
 	&lt;li&gt;Pages: feint-ruled pages, FSC-certified for an eco-friendly writing experience&lt;/li&gt;_x000D_
 	&lt;li&gt;Paper: Smyth-sewn binding for durability, and ribbon marker&lt;/li&gt;_x000D_
 	&lt;li&gt;Size: A5, perfect for writing, journaling, or sketching&lt;/li&gt;_x000D_
 	&lt;li&gt;Ideal For: Professionals, students, and environmentally conscious individuals looking for a sustainable notebook&lt;/li&gt;_x000D_
&lt;/ul&gt;";}i:1;a:3:{s:5:"title";s:8:"Shipping";s:2:"id";s:8:"shipping";s:7:"content";s:206:"&lt;ul style="color: rgba(0, 0, 0, 0.7);"&gt;_x000D_
 	&lt;li&gt;Express delivery&lt;/li&gt;_x000D_
 	&lt;li&gt;Customise with your company logo&lt;/li&gt;_x000D_
 	&lt;li&gt;Personalisation options available&lt;/li&gt;_x000D_
 	&lt;li&gt;Further details in checkout&lt;/li&gt;_x000D_
&lt;/ul&gt;";}i:2;a:3:{s:5:"title";s:19:"Quality Information";s:2:"id";s:19:"quality-information";s:7:"content";s:103:"&lt;ul style="color: rgba(0, 0, 0, 0.7);"&gt;_x000D_
 	&lt;li&gt;FSC certified&lt;/li&gt;_x000D_
 	&lt;li&gt;Manufactured in UK&lt;/li&gt;_x000D_
&lt;/ul&gt;";}}</t>
  </si>
  <si>
    <t>1:19.50;10:13.00;25:11.01;50:9.15;100:7.62;250:6.31;</t>
  </si>
  <si>
    <t>Ocean Clean A5 Eco Notebook, Grey</t>
  </si>
  <si>
    <t>&lt;span data-sheets-root="1"&gt;The Ocean Clean A5 Eco Notebook combines sustainability with practicality, featuring feint ruled white FSC-certified pages and a convenient ribbon marker for easy organisation..&lt;/span&gt;</t>
  </si>
  <si>
    <t>https://corporate.abbeygate-england.com/wp-content/uploads/2025/12/OCA5NotebookFS_Grey.jpg, https://corporate.abbeygate-england.com/wp-content/uploads/2025/12/UC31_Website-scaled.webp</t>
  </si>
  <si>
    <t>Ocean Clean A5 Eco Notebook, Light Blue</t>
  </si>
  <si>
    <t>https://corporate.abbeygate-england.com/wp-content/uploads/2025/12/OC_A5_Notebook_FS_Light_Blue.jpg, https://corporate.abbeygate-england.com/wp-content/uploads/2025/12/UC31_Website-scaled.webp</t>
  </si>
  <si>
    <t>Ocean Clean A5 Eco Notebook, Rose Pink</t>
  </si>
  <si>
    <t>https://corporate.abbeygate-england.com/wp-content/uploads/2025/12/OCA5NotebookFS_RosePink.jpg, https://corporate.abbeygate-england.com/wp-content/uploads/2025/12/UC31_Website-scaled.webp</t>
  </si>
  <si>
    <t>Ocean Clean A5 Eco Notebook, Sage Green</t>
  </si>
  <si>
    <t>https://corporate.abbeygate-england.com/wp-content/uploads/2025/12/OCA5NotebookFS_SageGreen.jpg, https://corporate.abbeygate-england.com/wp-content/uploads/2025/12/UC31_Website-scaled.webp</t>
  </si>
  <si>
    <t>Chelsea Leather A5 Notebook, Feint Ruled Blue</t>
  </si>
  <si>
    <t>&lt;div class="product__description rte" data-spark="b2c-only"&gt;_x000D_\n&lt;p class="p2"&gt;Chelsea Leather, luxury soft grained real leather A5 Notebook. Smyth sewn sections for strength and durability printed on white or cream FSC paper. Self-colour cotton perimeter stitched flexible cover, ribbon marker&lt;/p&gt;_x000D_\n_x000D_\n&lt;/div&gt;_x000D_\n&lt;div class="product__custom-button" data-spark="b2c-only"&gt;&lt;/div&gt;</t>
  </si>
  <si>
    <t>Chelsea Leather, luxury soft grained real leather A5 Notebook. Smyth sewn sections for strength and durability printed on white or cream FSC paper. Self-colour cotton perimeter stitched flexible cover, ribbon marker</t>
  </si>
  <si>
    <t>https://corporate.abbeygate-england.com/wp-content/uploads/2025/12/CL_DX_DIARY_BLUE_3fb550df-d22a-41a0-93ed-ae2382a2d852-e1768038261347.webp, https://corporate.abbeygate-england.com/wp-content/uploads/2025/12/UC31_Website-scaled.webp</t>
  </si>
  <si>
    <t>1:16.99;10:11.33;25:9.76;50:8.10;100:6.77;</t>
  </si>
  <si>
    <t>Richmond FineGrain A4 Desk Diary, Day Per Page, Red</t>
  </si>
  <si>
    <t>https://corporate.abbeygate-england.com/wp-content/uploads/2025/12/Front-Copy-21.png, https://corporate.abbeygate-england.com/wp-content/uploads/2025/12/UC71-scaled.webp</t>
  </si>
  <si>
    <t>Dorchester NewHide Leather Card Holder, Black</t>
  </si>
  <si>
    <t>Stay organized with the Dorchester Membership Card Holders, crafted from premium vegan leather with sleek card slots for effortless style and convenience.</t>
  </si>
  <si>
    <t>The &lt;strong&gt;Dorchester Membership Card Holders&lt;/strong&gt; are the perfect solution for keeping your cards secure and easily accessible. Crafted from premium vegan leather, these holders combine practicality with a sleek, professional aesthetic. The smooth, durable surface features fine perimeter stitching, offering a touch of sophistication while ensuring long-lasting quality._x000D_\n_x000D_\nDesigned to hold multiple cards, the interior includes neatly arranged slots, making it ideal for membership cards, loyalty cards, or even business cards. Its slim profile ensures it fits effortlessly into your pocket, purse, or bag without adding bulk. Whether you’re heading to a meeting, event, or gym, the &lt;strong&gt;Dorchester Membership Card Holders&lt;/strong&gt; are a reliable and stylish way to carry your essentials.</t>
  </si>
  <si>
    <t>Card Holder, Dorchester Collection, Gifts</t>
  </si>
  <si>
    <t>Dorchester NewHide Card Holder</t>
  </si>
  <si>
    <t>https://corporate.abbeygate-england.com/wp-content/uploads/2026/02/40003-NewHideMembershipCardHoldersLarge_Black300DPI_e8f1456d-a433-4a67-bd20-5ab354f1e841.webp, https://corporate.abbeygate-england.com/wp-content/uploads/2026/02/DorchesterCollectionFauxLeatherCardHolder.webp</t>
  </si>
  <si>
    <t>a:3:{i:0;a:3:{s:5:"title";s:15:"Special Feature";s:2:"id";s:15:"special-feature";s:7:"content";s:705:"&lt;ul style="color: rgba(0, 0, 0, 0.7);"&gt;_x000D_
 	&lt;li&gt;&lt;strong&gt;Material&lt;/strong&gt;: Premium vegan leather with a smooth, durable finish&lt;/li&gt;_x000D_
 	&lt;li&gt;&lt;strong&gt;Design&lt;/strong&gt;: Professional look with elegant perimeter stitching&lt;/li&gt;_x000D_
 	&lt;li&gt;&lt;strong&gt;Capacity&lt;/strong&gt;: Multiple slots for membership, loyalty, or business cards&lt;/li&gt;_x000D_
 	&lt;li&gt;&lt;strong&gt;Compact&lt;/strong&gt;: Slim and lightweight for easy portability&lt;/li&gt;_x000D_
 	&lt;li&gt;&lt;strong&gt;Durable&lt;/strong&gt;: Designed to withstand daily use while retaining its polished appearance&lt;/li&gt;_x000D_
 	&lt;li&gt;&lt;strong&gt;Versatile&lt;/strong&gt;: Ideal for personal use or corporate gifting&lt;/li&gt;_x000D_
&lt;/ul&gt;_x000D_
&lt;p style="color: #000000;"&gt;&lt;strong&gt;Eco-Friendly&lt;/strong&gt;: Made from sustainable, cruelty-free materials&lt;/p&gt;";}i:1;a:3:{s:5:"title";s:8:"Shipping";s:2:"id";s:8:"shipping";s:7:"content";s:206:"&lt;ul style="color: rgba(0, 0, 0, 0.7);"&gt;_x000D_
 	&lt;li&gt;Express delivery&lt;/li&gt;_x000D_
 	&lt;li&gt;Customise with your company logo&lt;/li&gt;_x000D_
 	&lt;li&gt;Personalisation options available&lt;/li&gt;_x000D_
 	&lt;li&gt;Further details in checkout&lt;/li&gt;_x000D_
&lt;/ul&gt;";}i:2;a:3:{s:5:"title";s:19:"Quality Information";s:2:"id";s:19:"quality-information";s:7:"content";s:103:"&lt;ul style="color: rgba(0, 0, 0, 0.7);"&gt;_x000D_
 	&lt;li&gt;FSC certified&lt;/li&gt;_x000D_
 	&lt;li&gt;Manufactured in UK&lt;/li&gt;_x000D_
&lt;/ul&gt;";}}</t>
  </si>
  <si>
    <t>below</t>
  </si>
  <si>
    <t>Dorchester NewHide Card Holder, Tan</t>
  </si>
  <si>
    <t>https://corporate.abbeygate-england.com/wp-content/uploads/2026/02/40003-NewHideMembershipCardHoldersLarge_Tan300DPI_42b7d443-babf-4f75-b886-590bda5e109f.webp, https://corporate.abbeygate-england.com/wp-content/uploads/2026/02/DorchesterCollectionFauxLeatherCardHolder.webp</t>
  </si>
  <si>
    <t>Dorchester NewHide Card Holder, Red</t>
  </si>
  <si>
    <t>https://corporate.abbeygate-england.com/wp-content/uploads/2026/02/40003-NewHideMembershipCardHoldersLarge_Red300DPI_1b9c1c23-4894-41bb-83c0-5d383be3f328.webp, https://corporate.abbeygate-england.com/wp-content/uploads/2026/02/DorchesterCollectionFauxLeatherCardHolder.webp</t>
  </si>
  <si>
    <t>Dorchester NewHide Card Holder, Orange</t>
  </si>
  <si>
    <t>Gifts</t>
  </si>
  <si>
    <t>https://corporate.abbeygate-england.com/wp-content/uploads/2026/02/40024-PassportWalletOrange.webp, https://corporate.abbeygate-england.com/wp-content/uploads/2026/02/DorchesterCollectionFauxLeatherCardHolder.webp</t>
  </si>
  <si>
    <t>Dorchester NewHide Card Holder, Grey</t>
  </si>
  <si>
    <t>https://corporate.abbeygate-england.com/wp-content/uploads/2026/02/40024-PassportWalletGrey.webp, https://corporate.abbeygate-england.com/wp-content/uploads/2026/02/DorchesterCollectionFauxLeatherCardHolder.webp</t>
  </si>
  <si>
    <t>Dorchester NewHide Card Holder, Charcoal</t>
  </si>
  <si>
    <t>https://corporate.abbeygate-england.com/wp-content/uploads/2026/02/40024-PassportWalletCharcoal.webp, https://corporate.abbeygate-england.com/wp-content/uploads/2026/02/DorchesterCollectionFauxLeatherCardHolder.webp</t>
  </si>
  <si>
    <t>Dorchester NewHide Card Holder, Blue</t>
  </si>
  <si>
    <t>https://corporate.abbeygate-england.com/wp-content/uploads/2026/02/40003-NewHideMembershipCardHoldersLarge_Blue300DPI_e3d4b5fd-850b-4430-b343-84f260443a22.webp, https://corporate.abbeygate-england.com/wp-content/uploads/2026/02/DorchesterCollectionFauxLeatherCardHolder.webp</t>
  </si>
  <si>
    <t>25:2.75;50:2.29;100:1.88;</t>
  </si>
  <si>
    <t>Dorchester NewHide Pocket, Week to View, Green</t>
  </si>
  <si>
    <t>https://corporate.abbeygate-england.com/wp-content/uploads/2026/04/Front-Copy.png, https://corporate.abbeygate-england.com/wp-content/uploads/2025/12/UC95-scaled.webp</t>
  </si>
  <si>
    <t>1:8.99;10:5.97;25:5.20;50:4.33;100:3.60;250:2.98;500:2.61;750:2.50;1000:2.31;</t>
  </si>
  <si>
    <t>Dorchester NewHide Pocket, Week to View, Grey</t>
  </si>
  <si>
    <t>https://corporate.abbeygate-england.com/wp-content/uploads/2026/04/Front-Copy-1.png, https://corporate.abbeygate-england.com/wp-content/uploads/2025/12/UC95-scaled.webp</t>
  </si>
  <si>
    <t>Dorchester NewHide Pocket, Week to View, Orange</t>
  </si>
  <si>
    <t>https://corporate.abbeygate-england.com/wp-content/uploads/2026/04/Front-Copy-2.png, https://corporate.abbeygate-england.com/wp-content/uploads/2025/12/UC95-scaled.webp</t>
  </si>
  <si>
    <t>Dorchester NewHide Pocket, Week to View, Purple</t>
  </si>
  <si>
    <t>https://corporate.abbeygate-england.com/wp-content/uploads/2026/04/Front-Copy-3.png, https://corporate.abbeygate-england.com/wp-content/uploads/2025/12/UC95-scaled.webp</t>
  </si>
  <si>
    <t>Dorchester NewHide Pocket, Week to View, Red</t>
  </si>
  <si>
    <t>https://corporate.abbeygate-england.com/wp-content/uploads/2026/04/Front-Copy-4.png, https://corporate.abbeygate-england.com/wp-content/uploads/2025/12/UC95-scaled.webp</t>
  </si>
  <si>
    <t>Dorchester NewHide Pocket, Week to View, Royal blue</t>
  </si>
  <si>
    <t>Organize your 2027 in style with the Dorchester Premium Pocket Diary?featuring a soft faux leather cover, recycled white paper, and a convenient Week to View layout. Eco-friendly and elegant</t>
  </si>
  <si>
    <t>https://corporate.abbeygate-england.com/wp-content/uploads/2026/04/Front-Copy-5.png, https://corporate.abbeygate-england.com/wp-content/uploads/2025/12/UC95-scaled.webp</t>
  </si>
  <si>
    <t>Dorchester NewHide Pocket, Week to View, Tan</t>
  </si>
  <si>
    <t>https://corporate.abbeygate-england.com/wp-content/uploads/2026/04/Front-Copy-6.png, https://corporate.abbeygate-england.com/wp-content/uploads/2025/12/UC95-scaled.webp</t>
  </si>
  <si>
    <t>Dorchester NewHide Pocket, Week to View, Violet</t>
  </si>
  <si>
    <t>https://corporate.abbeygate-england.com/wp-content/uploads/2026/04/Front-Copy-7.png, https://corporate.abbeygate-england.com/wp-content/uploads/2025/12/UC95-scaled.webp</t>
  </si>
  <si>
    <t>Dorchester NewHide Pocket, Week to View, Yellow</t>
  </si>
  <si>
    <t>https://corporate.abbeygate-england.com/wp-content/uploads/2026/04/Front-Copy-8.png, https://corporate.abbeygate-england.com/wp-content/uploads/2025/12/UC95-scaled.webp</t>
  </si>
  <si>
    <t>Harrogate SaharaHide Faux Leather Pocket Diary, Week to View, Black</t>
  </si>
  <si>
    <t>Plan in style with the Harrogate Pocket Diary - Week to View. This elegant diary features a plush, leather-like Harrogate cover, cream FSC paper, a gold ribbon marker, and real perimeter stitching. Compact yet luxurious, it’s perfect for sophisticated daily planning on the go.</t>
  </si>
  <si>
    <t>Diaries, Harrogate Collection, Diaries &gt; Pocket Diaries</t>
  </si>
  <si>
    <t>Harrogate SaharaHide Faux Leather Pocket Diary</t>
  </si>
  <si>
    <t>https://corporate.abbeygate-england.com/wp-content/uploads/2026/04/Front-Copy-9.png, https://corporate.abbeygate-england.com/wp-content/uploads/2026/04/SaharaHide_Pocket_Desk_Diary_Layout_96.webp</t>
  </si>
  <si>
    <t>a:4:{i:0;a:3:{s:5:"title";s:12:"Description ";s:2:"id";s:11:"description";s:7:"content";s:1120:"Introducing the Harrogate Pocket Diary - Cream_x000D_
FSC Paper - Week to View, a refined and compact choice for daily planning, embodying both elegance and functionality. Bound in our premium Harrogate material, this diary offers a plush, smooth, and glossy finish that brings an air of luxury to every day. Known for its high-end appeal, Harrogate is crafted from durable PU with a unique, leather-like texture and is perfect for modern branding and luxury markets._x000D_
_x000D_
This pocket diary is designed with meticulous details, including real perimeter stitching that enhances durability and flexibility, a blind-embossed year date, and exquisite cream-colored paper for a refined writing experience. A luxurious gold ribbon page marker ensures quick navigation and adds a touch of elegance, while its slim, portable size makes it ideal for on-the-go organization._x000D_
_x000D_
With a week-to-view layout, the Harrogate Pocket Diary is perfect for balancing a busy schedule and planning with ease. If you’re seeking a high-value, memorable gift or branded item, this diary is a sophisticated choice that will leave a lasting impression.";}i:1;a:3:{s:5:"title";s:15:"Special Feature";s:2:"id";s:15:"special-feature";s:7:"content";s:490:"&lt;ul style="color: rgba(0, 0, 0, 0.7);"&gt;_x000D_
 	&lt;li&gt;Material: Premium Harrogate PU with smooth, glossy, leather-like finish&lt;/li&gt;_x000D_
 	&lt;li&gt;Design: Compact size with real perimeter stitching and blind-embossed year date&lt;/li&gt;_x000D_
 	&lt;li&gt;Pages: Cream-colored paper with week-to-view layout for effortless planning&lt;/li&gt;_x000D_
 	&lt;li&gt;Marker: Gold ribbon page marker for added elegance and convenience&lt;/li&gt;_x000D_
 	&lt;li&gt;Ideal For: Luxury branding, gifting, and daily organization in a refined, compact design&lt;/li&gt;_x000D_
&lt;/ul&gt;";}i:2;a:3:{s:5:"title";s:8:"Shipping";s:2:"id";s:8:"shipping";s:7:"content";s:206:"&lt;ul style="color: rgba(0, 0, 0, 0.7);"&gt;_x000D_
 	&lt;li&gt;Express delivery&lt;/li&gt;_x000D_
 	&lt;li&gt;Customise with your company logo&lt;/li&gt;_x000D_
 	&lt;li&gt;Personalisation options available&lt;/li&gt;_x000D_
 	&lt;li&gt;Further details in checkout&lt;/li&gt;_x000D_
&lt;/ul&gt;";}i:3;a:3:{s:5:"title";s:19:"Quality Information";s:2:"id";s:19:"quality-information";s:7:"content";s:103:"&lt;ul style="color: rgba(0, 0, 0, 0.7);"&gt;_x000D_
 	&lt;li&gt;FSC certified&lt;/li&gt;_x000D_
 	&lt;li&gt;Manufactured in UK&lt;/li&gt;_x000D_
&lt;/ul&gt;";}}</t>
  </si>
  <si>
    <t>1:9.99;10:6.73;25:5.03;50:4.33;100:3.68;250:3.18;500:2.99;750:2.83;1000:2.68;</t>
  </si>
  <si>
    <t>Harrogate SaharaHide Faux Leather Pocket Diary, Week to View, Dark Blue</t>
  </si>
  <si>
    <t>https://corporate.abbeygate-england.com/wp-content/uploads/2026/04/Front-Copy-10.png, https://corporate.abbeygate-england.com/wp-content/uploads/2026/04/SaharaHide_Pocket_Desk_Diary_Layout_96.webp</t>
  </si>
  <si>
    <t>Harrogate SaharaHide Faux Leather Pocket Diary, Week to View, Burgundy</t>
  </si>
  <si>
    <t>https://corporate.abbeygate-england.com/wp-content/uploads/2026/04/Front-Copy-11.png, https://corporate.abbeygate-england.com/wp-content/uploads/2026/04/SaharaHide_Pocket_Desk_Diary_Layout_96.webp</t>
  </si>
  <si>
    <t>Harrogate SaharaHide Faux Leather Pocket Diary, Week to View, Green</t>
  </si>
  <si>
    <t>https://corporate.abbeygate-england.com/wp-content/uploads/2026/04/Front-Copy-12.png, https://corporate.abbeygate-england.com/wp-content/uploads/2026/04/SaharaHide_Pocket_Desk_Diary_Layout_96.webp</t>
  </si>
  <si>
    <t>Harrogate SaharaHide Faux Leather Pocket Diary, Week to View, Red</t>
  </si>
  <si>
    <t>https://corporate.abbeygate-england.com/wp-content/uploads/2026/04/Front-Copy-13.png, https://corporate.abbeygate-england.com/wp-content/uploads/2026/04/SaharaHide_Pocket_Desk_Diary_Layout_96.webp</t>
  </si>
  <si>
    <t>Lewes SmoothGrain Pocket, Week to View, Black</t>
  </si>
  <si>
    <t>Stay organized with the Lewes Pocket Diary – White Paper – Week to View! This modern diary features a chic matte PU cover, durable thread-bound pages, and a week-to-view layout. Made from FSC-certified recycled white paper, it includes a white ribbon marker and debossed year dates. Perfect for stylish planning on the go!</t>
  </si>
  <si>
    <t>Diaries, Lewes Collection, Diaries &gt; Pocket Diaries</t>
  </si>
  <si>
    <t>Lewes-SmoothGrain-Pocket-Week-to-View</t>
  </si>
  <si>
    <t>https://corporate.abbeygate-england.com/wp-content/uploads/2026/04/Front-Copy-14.png, https://corporate.abbeygate-england.com/wp-content/uploads/2026/04/SaharaHide_Pocket_Desk_Diary_Layout_96.webp</t>
  </si>
  <si>
    <t>a:4:{i:0;a:3:{s:5:"title";s:12:"Description ";s:2:"id";s:11:"description";s:7:"content";s:1177:"Introducing the Lewes Pocket Diary – White Paper – Week to View, a perfect blend of style and functionality designed for those who appreciate modern elegance. Bound in a smart, contemporary matte PU covering material, this diary stands out with its sleek and sophisticated aesthetic, making it an excellent alternative to our traditional FineGrain range.Each diary features thread-bound internal pages that are organized in small sections, ensuring strength and durability for everyday use. The smooth finish is not only easy on the eyes but also pleasing to the touch, offering a delightful writing experience. With a week-to-view layout, you can efficiently plan your week at a glance, making it ideal for busy professionals or students.Committed to sustainability, the entire Lewes diary collection is made with FSC-certified recycled white paper, reflecting our dedication to environmentally friendly practices. Each diary also includes a white ribbon marker for easy navigation and debossed year dates for a touch of sophistication. Elevate your planning experience with the Lewes Pocket Diary—a stylish companion that enhances productivity while making a statement.";}i:1;a:3:{s:5:"title";s:15:"Special Feature";s:2:"id";s:15:"special-feature";s:7:"content";s:446:"&lt;ul style="color: rgba(0, 0, 0, 0.7);"&gt;_x000D_
 	&lt;li&gt;Material: Contemporary and vibrant finish material&lt;/li&gt;_x000D_
 	&lt;li&gt;Layout: Week to view across two pages for organized and easy-to-read scheduling&lt;/li&gt;_x000D_
 	&lt;li&gt;Design: Pocket diary includes a white ribbon marker for easy navigation&lt;/li&gt;_x000D_
 	&lt;li&gt;Pages: Made with FSC-certified recycled white paper&lt;/li&gt;_x000D_
 	&lt;li&gt;Ideal For: Professional use, stylish weekly planning, and a chic organizational tool&lt;/li&gt;_x000D_
&lt;/ul&gt;";}i:2;a:3:{s:5:"title";s:8:"Shipping";s:2:"id";s:8:"shipping";s:7:"content";s:206:"&lt;ul style="color: rgba(0, 0, 0, 0.7);"&gt;_x000D_
 	&lt;li&gt;Express delivery&lt;/li&gt;_x000D_
 	&lt;li&gt;Customise with your company logo&lt;/li&gt;_x000D_
 	&lt;li&gt;Personalisation options available&lt;/li&gt;_x000D_
 	&lt;li&gt;Further details in checkout&lt;/li&gt;_x000D_
&lt;/ul&gt;";}i:3;a:3:{s:5:"title";s:19:"Quality Information";s:2:"id";s:19:"quality-information";s:7:"content";s:103:"&lt;ul style="color: rgba(0, 0, 0, 0.7);"&gt;_x000D_
 	&lt;li&gt;FSC certified&lt;/li&gt;_x000D_
 	&lt;li&gt;Manufactured in UK&lt;/li&gt;_x000D_
&lt;/ul&gt;";}}</t>
  </si>
  <si>
    <t>1:7.99;10:5.63;25:3.74;50:3.32;100:2.83;250:2.33;500:2.05;750:1.93;1000:1.89;</t>
  </si>
  <si>
    <t>Lewes SmoothGrain Pocket, Week to View, Blue</t>
  </si>
  <si>
    <t>https://corporate.abbeygate-england.com/wp-content/uploads/2026/04/Front-Copy-15.png, https://corporate.abbeygate-england.com/wp-content/uploads/2026/04/SaharaHide_Pocket_Desk_Diary_Layout_96.webp</t>
  </si>
  <si>
    <t>Lewes SmoothGrain Pocket, Week to View, Grey</t>
  </si>
  <si>
    <t>https://corporate.abbeygate-england.com/wp-content/uploads/2026/04/Front-Copy-16.png, https://corporate.abbeygate-england.com/wp-content/uploads/2026/04/SaharaHide_Pocket_Desk_Diary_Layout_96.webp</t>
  </si>
  <si>
    <t>Lewes SmoothGrain Pocket, Week to View, Red</t>
  </si>
  <si>
    <t>https://corporate.abbeygate-england.com/wp-content/uploads/2026/04/Front-Copy-17.png, https://corporate.abbeygate-england.com/wp-content/uploads/2026/04/SaharaHide_Pocket_Desk_Diary_Layout_96.webp</t>
  </si>
  <si>
    <t>Lewes SmoothGrain Pocket, Week to View, Royal Blue</t>
  </si>
  <si>
    <t>https://corporate.abbeygate-england.com/wp-content/uploads/2026/04/Front-Copy-18.png, https://corporate.abbeygate-england.com/wp-content/uploads/2026/04/SaharaHide_Pocket_Desk_Diary_Layout_96.webp</t>
  </si>
  <si>
    <t>a:4:{i:0;a:3:{s:5:"title";s:12:"Description ";s:2:"id";s:11:"description";s:7:"content";s:1185:"Introducing the Lewes Pocket Diary – White Paper – Week to View, a perfect blend of style and functionality designed for those who appreciate modern elegance. Bound in a smart, contemporary matte PU covering material, this diary stands out with its sleek and sophisticated aesthetic, making it an excellent alternative to our traditional FineGrain range._x000D_
_x000D_
Each diary features thread-bound internal pages that are organized in small sections, ensuring strength and durability for everyday use. The smooth finish is not only easy on the eyes but also pleasing to the touch, offering a delightful writing experience. With a week-to-view layout, you can efficiently plan your week at a glance, making it ideal for busy professionals or students._x000D_
_x000D_
Committed to sustainability, the entire Lewes diary collection is made with FSC-certified recycled white paper, reflecting our dedication to environmentally friendly practices. Each diary also includes a white ribbon marker for easy navigation and debossed year dates for a touch of sophistication. Elevate your planning experience with the Lewes Pocket Diary—a stylish companion that enhances productivity while making a statement.";}i:1;a:3:{s:5:"title";s:15:"Special Feature";s:2:"id";s:15:"special-feature";s:7:"content";s:446:"&lt;ul style="color: rgba(0, 0, 0, 0.7);"&gt;_x000D_
 	&lt;li&gt;Material: Contemporary and vibrant finish material&lt;/li&gt;_x000D_
 	&lt;li&gt;Layout: Week to view across two pages for organized and easy-to-read scheduling&lt;/li&gt;_x000D_
 	&lt;li&gt;Design: Pocket diary includes a white ribbon marker for easy navigation&lt;/li&gt;_x000D_
 	&lt;li&gt;Pages: Made with FSC-certified recycled white paper&lt;/li&gt;_x000D_
 	&lt;li&gt;Ideal For: Professional use, stylish weekly planning, and a chic organizational tool&lt;/li&gt;_x000D_
&lt;/ul&gt;";}i:2;a:3:{s:5:"title";s:8:"Shipping";s:2:"id";s:8:"shipping";s:7:"content";s:206:"&lt;ul style="color: rgba(0, 0, 0, 0.7);"&gt;_x000D_
 	&lt;li&gt;Express delivery&lt;/li&gt;_x000D_
 	&lt;li&gt;Customise with your company logo&lt;/li&gt;_x000D_
 	&lt;li&gt;Personalisation options available&lt;/li&gt;_x000D_
 	&lt;li&gt;Further details in checkout&lt;/li&gt;_x000D_
&lt;/ul&gt;";}i:3;a:3:{s:5:"title";s:19:"Quality Information";s:2:"id";s:19:"quality-information";s:7:"content";s:103:"&lt;ul style="color: rgba(0, 0, 0, 0.7);"&gt;_x000D_
 	&lt;li&gt;FSC certified&lt;/li&gt;_x000D_
 	&lt;li&gt;Manufactured in UK&lt;/li&gt;_x000D_
&lt;/ul&gt;";}}</t>
  </si>
  <si>
    <t>Richmond FineGrain Pocket Diary, Week to View, Black</t>
  </si>
  <si>
    <t>The Richmond FineGrain Pocket Diary - Week to View combines elegance and practicality in a compact format. With its leather-like FineGrain cover; white, FSC recycled paper and page ribbon marker, it’s a refined tool for weekly organization on the go.</t>
  </si>
  <si>
    <t>Diaries, Diaries &gt; Pocket Diaries, Richmond Collection</t>
  </si>
  <si>
    <t>Richmond-FineGrain-Pocket-Diary-Week-to-View</t>
  </si>
  <si>
    <t>https://corporate.abbeygate-england.com/wp-content/uploads/2026/04/Front-Copy-19.png, https://corporate.abbeygate-england.com/wp-content/uploads/2026/04/SaharaHide_Pocket_Desk_Diary_Layout_96.webp</t>
  </si>
  <si>
    <t>a:4:{i:0;a:3:{s:5:"title";s:12:"Description ";s:2:"id";s:11:"description";s:7:"content";s:1424:"Introducing the Richmond FineGrain Pocket Diary – FSC recycled White Paper - Week to View, a compact, elegant diary that’s perfect for those who appreciate classic styling and meticulous detail. Bound in Richmond FineGrain leather-like material, this diary features a tactile texture with a refined, leather-like appearance, creating a luxurious feel in a convenient, pocket-sized format. Designed for durability and style and produced using traditional skills which ensure it last to provide a lifetime of memories; it’s the ideal companion for professionals and students who need to easily keep track of weekly plans and maintain ._x000D_
_x000D_
Inside, each week is spread across two pages, allowing for clear and organized scheduling. Also featuring full colour maps, International holidays details and conversion tables. The diary is printed on high-quality, FSC certified, white, recycled paper, providing a smooth writing surface that’s easy on the eyes. With its sleek cover design, the Richmond FineGrain Pocket Diary offers functionality, durability and aesthetic appeal. A handy ribbon marker ensures that you can quickly locate your current week, while its compact size allows for light, effortless portability._x000D_
_x000D_
Whether it’s for personal use or as a high-value corporate gift, the Richmond FineGrain Pocket Diary stands out as a sophisticated, practical choice for those seeking luxury and organization in one.";}i:1;a:3:{s:5:"title";s:15:"Special Feature";s:2:"id";s:15:"special-feature";s:7:"content";s:470:"&lt;ul style="color: rgba(0, 0, 0, 0.7);"&gt;_x000D_
 	&lt;li&gt;Material: Premium Richmond FineGrain leather-like cover with soft, leather-like texture&lt;/li&gt;_x000D_
 	&lt;li&gt;Layout: Week to view across two pages for simple, organized scheduling&lt;/li&gt;_x000D_
 	&lt;li&gt;Design: Compact size with page ribbon marker&lt;/li&gt;_x000D_
 	&lt;li&gt;Pages: High-quality, FSC certified, white paper for a smooth, clear writing surface&lt;/li&gt;_x000D_
 	&lt;li&gt;Ideal For: Stylish, portable weekly planning and high-end corporate gifting&lt;/li&gt;_x000D_
&lt;/ul&gt;";}i:2;a:3:{s:5:"title";s:8:"Shipping";s:2:"id";s:8:"shipping";s:7:"content";s:206:"&lt;ul style="color: rgba(0, 0, 0, 0.7);"&gt;_x000D_
 	&lt;li&gt;Express delivery&lt;/li&gt;_x000D_
 	&lt;li&gt;Customise with your company logo&lt;/li&gt;_x000D_
 	&lt;li&gt;Personalisation options available&lt;/li&gt;_x000D_
 	&lt;li&gt;Further details in checkout&lt;/li&gt;_x000D_
&lt;/ul&gt;";}i:3;a:3:{s:5:"title";s:19:"Quality Information";s:2:"id";s:19:"quality-information";s:7:"content";s:103:"&lt;ul style="color: rgba(0, 0, 0, 0.7);"&gt;_x000D_
 	&lt;li&gt;FSC certified&lt;/li&gt;_x000D_
 	&lt;li&gt;Manufactured in UK&lt;/li&gt;_x000D_
&lt;/ul&gt;";}}</t>
  </si>
  <si>
    <t>Richmond FineGrain Pocket Diary, Week to View, Blue</t>
  </si>
  <si>
    <t>https://corporate.abbeygate-england.com/wp-content/uploads/2026/04/Front-Copy-20.png, https://corporate.abbeygate-england.com/wp-content/uploads/2026/04/UC95_Website-scaled.png</t>
  </si>
  <si>
    <t>Richmond FineGrain Pocket Diary, Week to View, Burgundy</t>
  </si>
  <si>
    <t>https://corporate.abbeygate-england.com/wp-content/uploads/2026/04/Front-Copy-21.png, https://corporate.abbeygate-england.com/wp-content/uploads/2026/04/UC95_Website-scaled.png</t>
  </si>
  <si>
    <t>Richmond FineGrain Pocket Diary, Week to View, Green</t>
  </si>
  <si>
    <t>https://corporate.abbeygate-england.com/wp-content/uploads/2026/04/Front-Copy-22.png, https://corporate.abbeygate-england.com/wp-content/uploads/2026/04/UC95_Website-scaled.png</t>
  </si>
  <si>
    <t>Richmond FineGrain Pocket Diary, Week to View, Purple</t>
  </si>
  <si>
    <t>https://corporate.abbeygate-england.com/wp-content/uploads/2026/04/Front-Copy-23.png, https://corporate.abbeygate-england.com/wp-content/uploads/2026/04/UC95_Website-scaled.png</t>
  </si>
  <si>
    <t>Richmond FineGrain Pocket Diary, Week to View, Red</t>
  </si>
  <si>
    <t>https://corporate.abbeygate-england.com/wp-content/uploads/2026/04/Front-Copy-24.png, https://corporate.abbeygate-england.com/wp-content/uploads/2026/04/UC95_Website-scaled.png</t>
  </si>
  <si>
    <t>Richmond FineGrain Pocket, Week to View, Dark Blue</t>
  </si>
  <si>
    <t>https://corporate.abbeygate-england.com/wp-content/uploads/2026/04/Front-Copy-25.png, https://corporate.abbeygate-england.com/wp-content/uploads/2026/04/UC95_Website-scaled.png</t>
  </si>
  <si>
    <t>Stylish and functional, the Chelsea Leather Multi Purpose Card Holder is crafted from premium leather in a compact, elegant design.</t>
  </si>
  <si>
    <t>The &lt;strong&gt;Chelsea Leather Multi Purpose Card Holder&lt;/strong&gt; combines functionality and luxury in one sleek accessory. Made from premium soft grained leather, this card holder is soft to the touch and built to last. Its versatile design is perfect for organizing business cards, credit cards, ID cards_x000D_\n_x000D_\nThe compact design allows for easy carrying, fitting comfortably into your pocket or bag without taking up too much space. The soft gained leather finish and fine stitching detail make this card holder an elegant addition to any professional or casual ensemble. Whether you need it for business purposes or as a convenient way to organize your everyday cards, the &lt;strong&gt;Chelsea Leather Multi Purpose Card Holder&lt;/strong&gt; is the perfect blend of style, practicality, and durability.</t>
  </si>
  <si>
    <t>Card Holder, Chelsea Collection, Gifts</t>
  </si>
  <si>
    <t>Chelsea Leather Multi Purpose Card Holder</t>
  </si>
  <si>
    <t>https://corporate.abbeygate-england.com/wp-content/uploads/2026/07/10003-_Chelsea_Leather_Passport_Wallet_Blue.webp</t>
  </si>
  <si>
    <t>a:3:{i:0;a:3:{s:5:"title";s:15:"Special Feature";s:2:"id";s:15:"special-feature";s:7:"content";s:890:"&lt;ul&gt;_x000D_
 	&lt;li style="list-style-type: none;"&gt;_x000D_
&lt;ul&gt;_x000D_
 	&lt;li style="list-style-type: none;"&gt;_x000D_
&lt;ul&gt;_x000D_
 	&lt;li&gt;&lt;strong&gt;Material&lt;/strong&gt;: Premium leather for a luxurious feel and lasting durability&lt;/li&gt;_x000D_
 	&lt;li&gt;&lt;strong&gt;Versatile&lt;/strong&gt;: Holds business cards, credit cards, drivers license or ID cards&lt;/li&gt;_x000D_
 	&lt;li&gt;&lt;strong&gt;Design&lt;/strong&gt;: Compact and slim, fits easily into pockets or bags&lt;/li&gt;_x000D_
 	&lt;li&gt;&lt;strong&gt;Aesthetic&lt;/strong&gt;: Soft grained leather finish with refined stitching for a sleek, professional look&lt;/li&gt;_x000D_
 	&lt;li&gt;&lt;strong&gt;Functional&lt;/strong&gt;: 2 clear internal pockets&lt;/li&gt;_x000D_
 	&lt;li&gt;&lt;strong&gt;Durable&lt;/strong&gt;: Built to withstand daily use and keep your cards safe&lt;/li&gt;_x000D_
 	&lt;li&gt;&lt;strong&gt;Elegant&lt;/strong&gt;: A sophisticated accessory for both personal and professional settings&lt;/li&gt;_x000D_
 	&lt;li&gt;&lt;strong&gt;Customizable&lt;/strong&gt;: Option for branding or personalization&lt;/li&gt;_x000D_
&lt;/ul&gt;_x000D_
&lt;/li&gt;_x000D_
&lt;/ul&gt;_x000D_
&lt;/li&gt;_x000D_
&lt;/ul&gt;";}i:1;a:3:{s:5:"title";s:8:"Shipping";s:2:"id";s:8:"shipping";s:7:"content";s:206:"&lt;ul style="color: rgba(0, 0, 0, 0.7);"&gt;_x000D_
 	&lt;li&gt;Express delivery&lt;/li&gt;_x000D_
 	&lt;li&gt;Customise with your company logo&lt;/li&gt;_x000D_
 	&lt;li&gt;Personalisation options available&lt;/li&gt;_x000D_
 	&lt;li&gt;Further details in checkout&lt;/li&gt;_x000D_
&lt;/ul&gt;";}i:2;a:3:{s:5:"title";s:19:"Quality Information";s:2:"id";s:19:"quality-information";s:7:"content";s:103:"&lt;ul style="color: rgba(0, 0, 0, 0.7);"&gt;_x000D_
 	&lt;li&gt;FSC certified&lt;/li&gt;_x000D_
 	&lt;li&gt;Manufactured in UK&lt;/li&gt;_x000D_
&lt;/ul&gt;";}}</t>
  </si>
  <si>
    <t>https://corporate.abbeygate-england.com/wp-content/uploads/2026/07/10003-_Chelsea_Leather_Passport_Wallet_Black.jpg</t>
  </si>
  <si>
    <t>https://corporate.abbeygate-england.com/wp-content/uploads/2026/07/10003-_Chelsea_Leather_Passport_Wallet_Burgundy.jpg</t>
  </si>
  <si>
    <t>https://corporate.abbeygate-england.com/wp-content/uploads/2026/07/10003-_Chelsea_Leather_Passport_Wallet_Green.jpg</t>
  </si>
  <si>
    <t>https://corporate.abbeygate-england.com/wp-content/uploads/2026/07/10003-_Chelsea_Leather_Passport_Wallet_Red.webp</t>
  </si>
  <si>
    <t>Carry your essentials in style with the Chelsea Leather Slim Card Holder—a compact, premium leather accessory for the modern professional.</t>
  </si>
  <si>
    <t>The &lt;strong&gt;Chelsea Leather Slim Card Holder&lt;/strong&gt; is the epitome of compact luxury, crafted for the modern professional who values style and efficiency. Made from premium genuine leather, this sleek and lightweight card holder combines practicality with a sophisticated design. The rich black finish and fine craftsmanship make it a timeless accessory, ideal for both personal and business use._x000D_\n_x000D_\nDesigned to fit seamlessly into your pocket or bag without adding bulk, the slim profile offers optimal convenience while keeping your essentials close at hand. With multiple card slots, it can securely hold credit cards, membership cards, and IDs. The high-quality leather not only ensures durability but also lends itself beautifully to embossing or debossing, allowing for customization to reflect your personal or corporate brand._x000D_\n_x000D_\nPerfect for business professionals and individuals who value streamlined functionality, the &lt;strong&gt;Chelsea Leather Slim Card Holder&lt;/strong&gt; makes a stylish statement in any setting. Whether used daily or reserved for special occasions, this elegant accessory is a testament to minimalist design done right.</t>
  </si>
  <si>
    <t>Chelsea Leather Slim Card Holder</t>
  </si>
  <si>
    <t>https://corporate.abbeygate-england.com/wp-content/uploads/2026/07/10018-Chelsea_Slim_Credit_Card_Holder_Black.webp, https://corporate.abbeygate-england.com/wp-content/uploads/2026/07/Chelsea_Leather_Slim_Card_Holder.webp</t>
  </si>
  <si>
    <t>a:3:{i:0;a:3:{s:5:"title";s:15:"Special Feature";s:2:"id";s:15:"special-feature";s:7:"content";s:891:"&lt;ul&gt;_x000D_
 	&lt;li style="list-style-type: none;"&gt;_x000D_
&lt;ul&gt;_x000D_
 	&lt;li style="list-style-type: none;"&gt;_x000D_
&lt;ul&gt;_x000D_
 	&lt;li&gt;&lt;strong&gt;Material&lt;/strong&gt;: High-quality genuine leather for a luxurious feel and lasting durability&lt;/li&gt;_x000D_
 	&lt;li&gt;&lt;strong&gt;Design&lt;/strong&gt;: Slim and lightweight profile, ideal for minimalistic use&lt;/li&gt;_x000D_
 	&lt;li&gt;&lt;strong&gt;Functionality&lt;/strong&gt;: Multiple slots for credit cards, membership cards, and IDs&lt;/li&gt;_x000D_
 	&lt;li&gt;&lt;strong&gt;Portability&lt;/strong&gt;: Fits easily into pockets or bags without adding bulk&lt;/li&gt;_x000D_
 	&lt;li&gt;&lt;strong&gt;Customizable&lt;/strong&gt;: Perfect for embossing or debossing, great for personal or corporate branding&lt;/li&gt;_x000D_
 	&lt;li&gt;&lt;strong&gt;Versatile Use&lt;/strong&gt;: Suitable for daily use or as a stylish accessory for special occasions&lt;/li&gt;_x000D_
 	&lt;li&gt;&lt;strong&gt;Timeless Appeal&lt;/strong&gt;: Sleek black leather finish complements both casual and professional settings&lt;/li&gt;_x000D_
&lt;/ul&gt;_x000D_
&lt;/li&gt;_x000D_
&lt;/ul&gt;_x000D_
&lt;/li&gt;_x000D_
&lt;/ul&gt;";}i:1;a:3:{s:5:"title";s:8:"Shipping";s:2:"id";s:8:"shipping";s:7:"content";s:206:"&lt;ul style="color: rgba(0, 0, 0, 0.7);"&gt;_x000D_
 	&lt;li&gt;Express delivery&lt;/li&gt;_x000D_
 	&lt;li&gt;Customise with your company logo&lt;/li&gt;_x000D_
 	&lt;li&gt;Personalisation options available&lt;/li&gt;_x000D_
 	&lt;li&gt;Further details in checkout&lt;/li&gt;_x000D_
&lt;/ul&gt;";}i:2;a:3:{s:5:"title";s:19:"Quality Information";s:2:"id";s:19:"quality-information";s:7:"content";s:103:"&lt;ul style="color: rgba(0, 0, 0, 0.7);"&gt;_x000D_
 	&lt;li&gt;FSC certified&lt;/li&gt;_x000D_
 	&lt;li&gt;Manufactured in UK&lt;/li&gt;_x000D_
&lt;/ul&gt;";}}</t>
  </si>
  <si>
    <t>https://corporate.abbeygate-england.com/wp-content/uploads/2026/07/10018-Chelsea_Slim_Credit_Card_Holder_Blue.webp, https://corporate.abbeygate-england.com/wp-content/uploads/2026/07/Chelsea_Leather_Slim_Card_Holder.webp</t>
  </si>
  <si>
    <t>https://corporate.abbeygate-england.com/wp-content/uploads/2026/07/10018-Chelsea_Slim_Credit_Card_Holder_Green.webp, https://corporate.abbeygate-england.com/wp-content/uploads/2026/07/Chelsea_Leather_Slim_Card_Holder.webp</t>
  </si>
  <si>
    <t>Harrogate Collection Faux Leather Card Holder, Red</t>
  </si>
  <si>
    <t>Elevate your organisation with the Harrogate Membership Card Holder - Black, featuring a sleek glossy finish and smart card slots for everyday elegance.</t>
  </si>
  <si>
    <t>The &lt;strong&gt;Harrogate Membership Card Holder - Black&lt;/strong&gt; is a premium accessory designed for those who value elegance and functionality. Crafted from luxurious Harrogate PU, this card holder offers a smooth, glossy finish that exudes sophistication. The rich black color is complemented by meticulously crafted perimeter stitching, making it a standout choice for discerning professionals and organizations._x000D_\n_x000D_\nInside, the card holder features multiple slots to securely store membership cards, loyalty cards, or business cards, keeping them easily accessible yet neatly organized. The slim and lightweight design allows it to slip effortlessly into your pocket or bag without creating bulk. With its refined style and reliable durability, the &lt;strong&gt;Harrogate Membership Card Holder&lt;/strong&gt; is a sleek and practical solution for your everyday essentials.</t>
  </si>
  <si>
    <t>Card Holder, Gifts, Harrogate Collection</t>
  </si>
  <si>
    <t>Harrogate Collection Faux Leather Card Holder</t>
  </si>
  <si>
    <t>https://corporate.abbeygate-england.com/wp-content/uploads/2026/07/SHMembershipCardHoldersRed.webp, https://corporate.abbeygate-england.com/wp-content/uploads/2026/07/Harrogate_Collection_Faux_Leather_Card_Holder.webp</t>
  </si>
  <si>
    <t>a:3:{i:0;a:3:{s:5:"title";s:15:"Special Feature";s:2:"id";s:15:"special-feature";s:7:"content";s:895:"&lt;ul&gt;_x000D_
 	&lt;li style="list-style-type: none;"&gt;_x000D_
&lt;ul&gt;_x000D_
 	&lt;li style="list-style-type: none;"&gt;_x000D_
&lt;ul&gt;_x000D_
 	&lt;li style="list-style-type: none;"&gt;_x000D_
&lt;ul&gt;_x000D_
 	&lt;li&gt;&lt;strong&gt;Material&lt;/strong&gt;: Luxurious &lt;strong&gt;Harrogate&lt;/strong&gt; PU with a smooth, glossy finish&lt;/li&gt;_x000D_
 	&lt;li&gt;&lt;strong&gt;Design&lt;/strong&gt;: Rich black colour with elegant perimeter stitching for a premium look&lt;/li&gt;_x000D_
 	&lt;li&gt;&lt;strong&gt;Capacity&lt;/strong&gt;: Multiple slots to store and organize membership or business cards&lt;/li&gt;_x000D_
 	&lt;li&gt;&lt;strong&gt;Compact&lt;/strong&gt;: Slim and lightweight for hassle-free portability&lt;/li&gt;_x000D_
 	&lt;li&gt;&lt;strong&gt;Durable&lt;/strong&gt;: High-quality material ensures long-lasting use&lt;/li&gt;_x000D_
 	&lt;li&gt;&lt;strong&gt;Versatile&lt;/strong&gt;: Perfect for professionals, loyalty programs, or corporate gifts&lt;/li&gt;_x000D_
 	&lt;li&gt;&lt;strong&gt;Stylish Gift&lt;/strong&gt;: Ideal for adding a touch of sophistication to everyday essentials&lt;/li&gt;_x000D_
&lt;/ul&gt;_x000D_
&lt;/li&gt;_x000D_
&lt;/ul&gt;_x000D_
&lt;/li&gt;_x000D_
&lt;/ul&gt;_x000D_
&lt;/li&gt;_x000D_
&lt;/ul&gt;";}i:1;a:3:{s:5:"title";s:8:"Shipping";s:2:"id";s:8:"shipping";s:7:"content";s:206:"&lt;ul style="color: rgba(0, 0, 0, 0.7);"&gt;_x000D_
 	&lt;li&gt;Express delivery&lt;/li&gt;_x000D_
 	&lt;li&gt;Customise with your company logo&lt;/li&gt;_x000D_
 	&lt;li&gt;Personalisation options available&lt;/li&gt;_x000D_
 	&lt;li&gt;Further details in checkout&lt;/li&gt;_x000D_
&lt;/ul&gt;";}i:2;a:3:{s:5:"title";s:19:"Quality Information";s:2:"id";s:19:"quality-information";s:7:"content";s:103:"&lt;ul style="color: rgba(0, 0, 0, 0.7);"&gt;_x000D_
 	&lt;li&gt;FSC certified&lt;/li&gt;_x000D_
 	&lt;li&gt;Manufactured in UK&lt;/li&gt;_x000D_
&lt;/ul&gt;";}}</t>
  </si>
  <si>
    <t>Harrogate Collection Faux Leather Card Holder, Green</t>
  </si>
  <si>
    <t>https://corporate.abbeygate-england.com/wp-content/uploads/2026/07/SHMembershipCardHoldersGreen.jpg, https://corporate.abbeygate-england.com/wp-content/uploads/2026/07/Harrogate_Collection_Faux_Leather_Card_Holder.webp</t>
  </si>
  <si>
    <t>Harrogate Collection Faux Leather Card Holder, Blue</t>
  </si>
  <si>
    <t>https://corporate.abbeygate-england.com/wp-content/uploads/2026/07/SHMembershipCardHoldersBlue_0b844628-91f0-434d-a0af-e94b134dacca.webp, https://corporate.abbeygate-england.com/wp-content/uploads/2026/07/Harrogate_Collection_Faux_Leather_Card_Holder.webp</t>
  </si>
  <si>
    <t>WH-BL-10003</t>
  </si>
  <si>
    <t>Windsor Hide Leather Multi Purpose Card Holder, Black</t>
  </si>
  <si>
    <t>Elegant and functional, the Windsor Hide Leather Membership/Oyster Card Holder in black offers a sleek, durable solution for keeping your essential cards organized with luxury and ease.</t>
  </si>
  <si>
    <t>The &lt;strong&gt;Windsor Hide Leather Membership/Oyster Card Holder&lt;/strong&gt; in black is a perfect combination of elegance and practicality. Crafted from high-quality Windsor hide leather, this card holder features a smooth, luxurious finish that makes it both durable and stylish. The sleek black color ensures it complements any personal or professional ensemble, making it a timeless accessory._x000D_\n_x000D_\nDesigned with functionality in mind, this holder offers multiple slots to neatly store your oyster card, membership cards, and other essential IDs. Its slim profile allows for easy storage in your pocket, purse, or bag, ensuring that you can always have your cards organized and accessible when you need them most._x000D_\n_x000D_\nThe high-quality leather construction ensures longevity, and the holder's refined stitching adds a touch of sophistication. Whether you use it for commuting or as a functional gift, the &lt;strong&gt;Windsor Hide Leather Membership/Oyster Card Holder&lt;/strong&gt; is an elegant and practical solution for your daily needs.</t>
  </si>
  <si>
    <t>Card Holder, Gifts, Windsor Collection</t>
  </si>
  <si>
    <t>Windsor Hide Leather Membership/Oyster Card Holder</t>
  </si>
  <si>
    <t>https://corporate.abbeygate-england.com/wp-content/uploads/2026/07/Windsor_Membership_Card_Holders_Black.jpg, https://corporate.abbeygate-england.com/wp-content/uploads/2026/07/Windsor_Hide_Leather_Membership.webp</t>
  </si>
  <si>
    <t>Windsor</t>
  </si>
  <si>
    <t>a:3:{i:0;a:3:{s:5:"title";s:15:"Special Feature";s:2:"id";s:15:"special-feature";s:7:"content";s:1047:"&lt;ul&gt;_x000D_
 	&lt;li style="list-style-type: none;"&gt;_x000D_
&lt;ul&gt;_x000D_
 	&lt;li style="list-style-type: none;"&gt;_x000D_
&lt;ul&gt;_x000D_
 	&lt;li style="list-style-type: none;"&gt;_x000D_
&lt;ul&gt;_x000D_
 	&lt;li style="list-style-type: none;"&gt;_x000D_
&lt;ul&gt;_x000D_
 	&lt;li&gt;&lt;strong&gt;Material&lt;/strong&gt;: Made from premium Windsor hide leather for a luxurious, smooth finish&lt;/li&gt;_x000D_
 	&lt;li&gt;&lt;strong&gt;Design&lt;/strong&gt;: Slim and compact, fits easily into pockets, purses, or bags&lt;/li&gt;_x000D_
 	&lt;li&gt;&lt;strong&gt;Storage&lt;/strong&gt;: Multiple card slots to organize oyster cards, membership cards, and IDs&lt;/li&gt;_x000D_
 	&lt;li&gt;&lt;strong&gt;Aesthetic&lt;/strong&gt;: Timeless black leather with refined stitching for a professional look&lt;/li&gt;_x000D_
 	&lt;li&gt;&lt;strong&gt;Durable&lt;/strong&gt;: Crafted from high-quality leather for long-lasting use&lt;/li&gt;_x000D_
 	&lt;li&gt;&lt;strong&gt;Versatile&lt;/strong&gt;: Perfect for everyday use or as a thoughtful gift&lt;/li&gt;_x000D_
 	&lt;li&gt;&lt;strong&gt;Elegant&lt;/strong&gt;: Adds a sophisticated touch to your daily accessories&lt;/li&gt;_x000D_
 	&lt;li&gt;&lt;strong&gt;Customizable&lt;/strong&gt;: Option for personalization or branding to meet your needs&lt;/li&gt;_x000D_
&lt;/ul&gt;_x000D_
&lt;/li&gt;_x000D_
&lt;/ul&gt;_x000D_
&lt;/li&gt;_x000D_
&lt;/ul&gt;_x000D_
&lt;/li&gt;_x000D_
&lt;/ul&gt;_x000D_
&lt;/li&gt;_x000D_
&lt;/ul&gt;";}i:1;a:3:{s:5:"title";s:8:"Shipping";s:2:"id";s:8:"shipping";s:7:"content";s:206:"&lt;ul style="color: rgba(0, 0, 0, 0.7);"&gt;_x000D_
 	&lt;li&gt;Express delivery&lt;/li&gt;_x000D_
 	&lt;li&gt;Customise with your company logo&lt;/li&gt;_x000D_
 	&lt;li&gt;Personalisation options available&lt;/li&gt;_x000D_
 	&lt;li&gt;Further details in checkout&lt;/li&gt;_x000D_
&lt;/ul&gt;";}i:2;a:3:{s:5:"title";s:19:"Quality Information";s:2:"id";s:19:"quality-information";s:7:"content";s:103:"&lt;ul style="color: rgba(0, 0, 0, 0.7);"&gt;_x000D_
 	&lt;li&gt;FSC certified&lt;/li&gt;_x000D_
 	&lt;li&gt;Manufactured in UK&lt;/li&gt;_x000D_
&lt;/ul&gt;";}}</t>
  </si>
  <si>
    <t>Windsor Hide Leather Multi Purpose Card Holder, Navy Blue</t>
  </si>
  <si>
    <t>https://corporate.abbeygate-england.com/wp-content/uploads/2026/07/Windsor_Membership_Card_Holders_Blue.jpg, https://corporate.abbeygate-england.com/wp-content/uploads/2026/07/Windsor_Hide_Leather_Membership.webp</t>
  </si>
  <si>
    <t>Stay organized and stylish on your travels with the Dorchester Passport Wallet Total Pres Style, featuring multiple compartments and premium faux leather design.</t>
  </si>
  <si>
    <t>The &lt;strong&gt;Dorchester Passport Wallet Total Pres Style&lt;/strong&gt; is the ultimate travel companion for those who demand style and functionality. Crafted from high-quality Dorchester faux leather, this wallet combines sophistication with practicality. Its sleek design and soft finish provide a luxurious feel, making it the perfect accessory for both business and leisure travelers._x000D_\n_x000D_\nThis wallet features multiple compartments to keep all your travel essentials organized, including a dedicated section for your passport, travel tickets, and cards. The internal design is both stylish and practical, with ample space for other important documents. The &lt;strong&gt;Dorchester Passport Wallet Total Pres Style&lt;/strong&gt; is not only a statement piece but also highly durable, designed to protect your personal items during your travels. Whether you're jet-setting around the world or on a weekend getaway, this wallet ensures your essentials are safe, secure, and easily accessible.</t>
  </si>
  <si>
    <t>Dorchester Passport Wallet Total Pres Style</t>
  </si>
  <si>
    <t>https://corporate.abbeygate-england.com/wp-content/uploads/2026/07/40024-Passport_Wallet_Black.webp, https://corporate.abbeygate-england.com/wp-content/uploads/2026/07/Dorchester_Passport_Wallet_Total_Pres_Style.webp</t>
  </si>
  <si>
    <t>a:3:{i:0;a:3:{s:5:"title";s:15:"Special Feature";s:2:"id";s:15:"special-feature";s:7:"content";s:1023:"&lt;ul&gt;_x000D_
 	&lt;li style="list-style-type: none;"&gt;_x000D_
&lt;ul&gt;_x000D_
 	&lt;li style="list-style-type: none;"&gt;_x000D_
&lt;ul&gt;_x000D_
 	&lt;li style="list-style-type: none;"&gt;_x000D_
&lt;ul&gt;_x000D_
 	&lt;li style="list-style-type: none;"&gt;_x000D_
&lt;ul&gt;_x000D_
 	&lt;li style="list-style-type: none;"&gt;_x000D_
&lt;ul&gt;_x000D_
 	&lt;li&gt;&lt;strong&gt;Material&lt;/strong&gt;: High-quality Dorchester faux leather for a luxurious and durable finish&lt;/li&gt;_x000D_
 	&lt;li&gt;&lt;strong&gt;Design&lt;/strong&gt;: Sleek, stylish, and functional with multiple compartments for passport, tickets, and cards&lt;/li&gt;_x000D_
 	&lt;li&gt;&lt;strong&gt;Compact Size&lt;/strong&gt;: Perfectly sized to fit all your travel essentials in one place&lt;/li&gt;_x000D_
 	&lt;li&gt;&lt;strong&gt;Durable&lt;/strong&gt;: Protects your items while maintaining an elegant look&lt;/li&gt;_x000D_
 	&lt;li&gt;&lt;strong&gt;Versatile&lt;/strong&gt;: Ideal for both business and leisure travel&lt;/li&gt;_x000D_
 	&lt;li&gt;&lt;strong&gt;Secure&lt;/strong&gt;: Keeps your documents safe and easily accessible&lt;/li&gt;_x000D_
 	&lt;li&gt;&lt;strong&gt;Customizable&lt;/strong&gt;: Option for branding or personalization for a unique travel accessory&lt;/li&gt;_x000D_
&lt;/ul&gt;_x000D_
&lt;/li&gt;_x000D_
&lt;/ul&gt;_x000D_
&lt;/li&gt;_x000D_
&lt;/ul&gt;_x000D_
&lt;/li&gt;_x000D_
&lt;/ul&gt;_x000D_
&lt;/li&gt;_x000D_
&lt;/ul&gt;_x000D_
&lt;/li&gt;_x000D_
&lt;/ul&gt;";}i:1;a:3:{s:5:"title";s:8:"Shipping";s:2:"id";s:8:"shipping";s:7:"content";s:206:"&lt;ul style="color: rgba(0, 0, 0, 0.7);"&gt;_x000D_
 	&lt;li&gt;Express delivery&lt;/li&gt;_x000D_
 	&lt;li&gt;Customise with your company logo&lt;/li&gt;_x000D_
 	&lt;li&gt;Personalisation options available&lt;/li&gt;_x000D_
 	&lt;li&gt;Further details in checkout&lt;/li&gt;_x000D_
&lt;/ul&gt;";}i:2;a:3:{s:5:"title";s:19:"Quality Information";s:2:"id";s:19:"quality-information";s:7:"content";s:103:"&lt;ul style="color: rgba(0, 0, 0, 0.7);"&gt;_x000D_
 	&lt;li&gt;FSC certified&lt;/li&gt;_x000D_
 	&lt;li&gt;Manufactured in UK&lt;/li&gt;_x000D_
&lt;/ul&gt;";}}</t>
  </si>
  <si>
    <t>https://corporate.abbeygate-england.com/wp-content/uploads/2026/07/40024-Passport_Wallet_Blue.webp, https://corporate.abbeygate-england.com/wp-content/uploads/2026/07/Dorchester_Passport_Wallet_Total_Pres_Style.webp</t>
  </si>
  <si>
    <t>https://corporate.abbeygate-england.com/wp-content/uploads/2026/07/40024-Passport_Wallet_Orange.webp, https://corporate.abbeygate-england.com/wp-content/uploads/2026/07/Dorchester_Passport_Wallet_Total_Pres_Style.webp</t>
  </si>
  <si>
    <t>https://corporate.abbeygate-england.com/wp-content/uploads/2026/07/40024-Passport_Wallet_Pink.webp, https://corporate.abbeygate-england.com/wp-content/uploads/2026/07/Dorchester_Passport_Wallet_Total_Pres_Style.webp</t>
  </si>
  <si>
    <t>https://corporate.abbeygate-england.com/wp-content/uploads/2026/07/40024-Passport_Wallet_Red_7c92881e-a623-4aa2-b4e8-155b8b1b7079.webp, https://corporate.abbeygate-england.com/wp-content/uploads/2026/07/Dorchester_Passport_Wallet_Total_Pres_Style.webp</t>
  </si>
  <si>
    <t>https://corporate.abbeygate-england.com/wp-content/uploads/2026/07/40024-Passport_Wallet_Tan.webp, https://corporate.abbeygate-england.com/wp-content/uploads/2026/07/Dorchester_Passport_Wallet_Total_Pres_Style.webp</t>
  </si>
  <si>
    <t>10003-CL-BK</t>
  </si>
  <si>
    <t>Chelsea Collection Real Leather Card Holder Black</t>
  </si>
  <si>
    <t>Sleek and timeless, the Chelsea Leather Card Holder in Black offers premium leather craftsmanship with ample space for cards and cash in a compact design.</t>
  </si>
  <si>
    <t>The &lt;strong&gt;Chelsea Leather Card Holder in Black&lt;/strong&gt; combines timeless sophistication with everyday practicality. Handcrafted from premium full-grain leather, this card holder is designed for those who value quality and elegance in their essentials. The sleek black leather exterior exudes classic style, while its compact design makes it perfect for slipping into a pocket or bag without added bulk._x000D_\n_x000D_\nThe interior features three card slots on each side, providing ample space for your most-used cards, along with a central compartment for folded bills or additional cards. Precision stitching and a smooth leather finish ensure durability and a polished look, making this card holder a dependable companion for both business and casual occasions. Whether you're stepping out for a meeting or a night on the town, the &lt;strong&gt;Chelsea Leather Card Holder in Black&lt;/strong&gt; offers the perfect balance of style, functionality, and craftsmanship.</t>
  </si>
  <si>
    <t>Chelsea Collection Real Leather Card Holder</t>
  </si>
  <si>
    <t>https://corporate.abbeygate-england.com/wp-content/uploads/2026/07/chelsealeather-membership-cardholders-black-10003closed.jpg, https://corporate.abbeygate-england.com/wp-content/uploads/2026/07/chelsealeather-membership-cardholders-black-10003.jpg</t>
  </si>
  <si>
    <t>a:3:{i:0;a:3:{s:5:"title";s:15:"Special Feature";s:2:"id";s:15:"special-feature";s:7:"content";s:997:"&lt;ul&gt;_x000D_
 	&lt;li style="list-style-type: none;"&gt;_x000D_
&lt;ul&gt;_x000D_
 	&lt;li style="list-style-type: none;"&gt;_x000D_
&lt;ul&gt;_x000D_
 	&lt;li style="list-style-type: none;"&gt;_x000D_
&lt;ul&gt;_x000D_
 	&lt;li style="list-style-type: none;"&gt;_x000D_
&lt;ul&gt;_x000D_
 	&lt;li style="list-style-type: none;"&gt;_x000D_
&lt;ul&gt;_x000D_
 	&lt;li style="list-style-type: none;"&gt;_x000D_
&lt;ul&gt;_x000D_
 	&lt;li&gt;&lt;strong&gt;Material&lt;/strong&gt;: Premium full-grain black leather with a smooth, polished finish&lt;/li&gt;_x000D_
 	&lt;li&gt;&lt;strong&gt;Design&lt;/strong&gt;: Compact and sleek, ideal for both professional and casual use&lt;/li&gt;_x000D_
 	&lt;li&gt;&lt;strong&gt;Capacity&lt;/strong&gt;: Three card slots on each side and a central compartment for cash or extra cards&lt;/li&gt;_x000D_
 	&lt;li&gt;&lt;strong&gt;Craftsmanship&lt;/strong&gt;: Precision stitching and durable construction for long-lasting elegance&lt;/li&gt;_x000D_
 	&lt;li&gt;&lt;strong&gt;Size&lt;/strong&gt;: Slim and lightweight for easy pocket or bag storage&lt;/li&gt;_x000D_
 	&lt;li&gt;&lt;strong&gt;Ideal For&lt;/strong&gt;: Everyday use, gifting, and those who value minimalist sophistication&lt;/li&gt;_x000D_
&lt;/ul&gt;_x000D_
&lt;/li&gt;_x000D_
&lt;/ul&gt;_x000D_
&lt;/li&gt;_x000D_
&lt;/ul&gt;_x000D_
&lt;/li&gt;_x000D_
&lt;/ul&gt;_x000D_
&lt;/li&gt;_x000D_
&lt;/ul&gt;_x000D_
&lt;/li&gt;_x000D_
&lt;/ul&gt;_x000D_
&lt;/li&gt;_x000D_
&lt;/ul&gt;";}i:1;a:3:{s:5:"title";s:8:"Shipping";s:2:"id";s:8:"shipping";s:7:"content";s:206:"&lt;ul style="color: rgba(0, 0, 0, 0.7);"&gt;_x000D_
 	&lt;li&gt;Express delivery&lt;/li&gt;_x000D_
 	&lt;li&gt;Customise with your company logo&lt;/li&gt;_x000D_
 	&lt;li&gt;Personalisation options available&lt;/li&gt;_x000D_
 	&lt;li&gt;Further details in checkout&lt;/li&gt;_x000D_
&lt;/ul&gt;";}i:2;a:3:{s:5:"title";s:19:"Quality Information";s:2:"id";s:19:"quality-information";s:7:"content";s:103:"&lt;ul style="color: rgba(0, 0, 0, 0.7);"&gt;_x000D_
 	&lt;li&gt;FSC certified&lt;/li&gt;_x000D_
 	&lt;li&gt;Manufactured in UK&lt;/li&gt;_x000D_
&lt;/ul&gt;";}}</t>
  </si>
  <si>
    <t>10003-CL-BL</t>
  </si>
  <si>
    <t>Chelsea Collection Real Leather Card Holder Blue</t>
  </si>
  <si>
    <t>https://corporate.abbeygate-england.com/wp-content/uploads/2026/07/chelsealeather-membership-cardholders-blue-10003closed.webp, https://corporate.abbeygate-england.com/wp-content/uploads/2026/07/chelsealeather-membership-cardholders-blue-10003.jpg</t>
  </si>
  <si>
    <t>10003-CL-BG</t>
  </si>
  <si>
    <t>Chelsea Collection Real Leather Card Holder Burgundy</t>
  </si>
  <si>
    <t>https://corporate.abbeygate-england.com/wp-content/uploads/2026/07/chelsealeather-membership-cardholders-burgundy-10003closed_8f9e340c-6485-4412-b2dd-d83b6657a654-1.jpg, https://corporate.abbeygate-england.com/wp-content/uploads/2026/07/chelsealeather-membership-cardholders-burgundy-10003_384fe9e7-ae46-4f85-b7a5-13a2aa3f02bf-1.jpg</t>
  </si>
  <si>
    <t>Add luxury to your travels with the WindsorHide Leather Luggage Tag, crafted from premium leather for a sophisticated, durable, and secure travel companion.</t>
  </si>
  <si>
    <t>The &lt;strong&gt;WindsorHide Leather Luggage Tag&lt;/strong&gt; is a premium accessory designed to offer both style and functionality for those who appreciate quality craftsmanship. Made from luxurious WindsorHide leather, this luggage tag is the epitome of elegance and durability. Its rich, refined texture and classic look make it the perfect travel companion, adding a sophisticated touch to any suitcase, bag, or backpack._x000D_\n_x000D_\nThis luggage tag features a clear ID window, allowing you to insert your contact information securely, ensuring that your luggage is easily identifiable. The leather strap, designed with a metal buckle, ensures that the tag stays securely attached to your belongings, no matter how rugged the journey. Each piece is meticulously crafted with attention to detail, from the strong stitching to the smooth finish, ensuring longevity and lasting beauty._x000D_\n_x000D_\nWhether for business or leisure travel, the &lt;strong&gt;WindsorHide Leather Luggage Tag&lt;/strong&gt; adds a touch of luxury to your travels while providing the practical benefits you need. Perfect for frequent travelers or as a stylish gift, this tag will elevate your luggage and keep your items safe and easily recognizable.</t>
  </si>
  <si>
    <t>Gifts, Luggage Tag, Windsor Collection</t>
  </si>
  <si>
    <t>Windsor Hide Leather Luggage Tag</t>
  </si>
  <si>
    <t>https://corporate.abbeygate-england.com/wp-content/uploads/2026/07/WindsorHide_Luggage_Tags_Black.webp, https://corporate.abbeygate-england.com/wp-content/uploads/2026/07/Windsor_Hide_Leather_Luggage_Tag.webp</t>
  </si>
  <si>
    <t>a:3:{i:0;a:3:{s:5:"title";s:15:"Special Feature";s:2:"id";s:15:"special-feature";s:7:"content";s:1270:"&lt;ul&gt;_x000D_
 	&lt;li style="list-style-type: none;"&gt;_x000D_
&lt;ul&gt;_x000D_
 	&lt;li style="list-style-type: none;"&gt;_x000D_
&lt;ul&gt;_x000D_
 	&lt;li style="list-style-type: none;"&gt;_x000D_
&lt;ul&gt;_x000D_
 	&lt;li style="list-style-type: none;"&gt;_x000D_
&lt;ul&gt;_x000D_
 	&lt;li style="list-style-type: none;"&gt;_x000D_
&lt;ul&gt;_x000D_
 	&lt;li style="list-style-type: none;"&gt;_x000D_
&lt;ul&gt;_x000D_
 	&lt;li style="list-style-type: none;"&gt;_x000D_
&lt;ul&gt;_x000D_
 	&lt;li&gt;&lt;strong&gt;Material&lt;/strong&gt;: Premium WindsorHide leather, offering a luxurious and durable feel&lt;/li&gt;_x000D_
 	&lt;li&gt;&lt;strong&gt;Design&lt;/strong&gt;: Sleek, refined finish with fine stitching and a classic, timeless look&lt;/li&gt;_x000D_
 	&lt;li&gt;&lt;strong&gt;Identification&lt;/strong&gt;: Clear ID window to insert contact information for easy identification&lt;/li&gt;_x000D_
 	&lt;li&gt;&lt;strong&gt;Attachment&lt;/strong&gt;: Leather strap with metal buckle for secure and adjustable attachment&lt;/li&gt;_x000D_
 	&lt;li&gt;&lt;strong&gt;Durability&lt;/strong&gt;: Designed to withstand travel wear while maintaining its elegance&lt;/li&gt;_x000D_
 	&lt;li&gt;&lt;strong&gt;Customizable&lt;/strong&gt;: Ideal for personalizing with embossing or logo imprint&lt;/li&gt;_x000D_
 	&lt;li&gt;&lt;strong&gt;Perfect for Gifting&lt;/strong&gt;: A sophisticated gift for frequent travelers or corporate giveaways&lt;/li&gt;_x000D_
 	&lt;li&gt;&lt;strong&gt;Versatile Use&lt;/strong&gt;: Suitable for luggage, bags, and backpacks&lt;/li&gt;_x000D_
&lt;/ul&gt;_x000D_
&lt;/li&gt;_x000D_
&lt;/ul&gt;_x000D_
&lt;/li&gt;_x000D_
&lt;/ul&gt;_x000D_
&lt;/li&gt;_x000D_
&lt;/ul&gt;_x000D_
&lt;/li&gt;_x000D_
&lt;/ul&gt;_x000D_
&lt;/li&gt;_x000D_
&lt;/ul&gt;_x000D_
&lt;/li&gt;_x000D_
&lt;/ul&gt;_x000D_
&lt;/li&gt;_x000D_
&lt;/ul&gt;";}i:1;a:3:{s:5:"title";s:8:"Shipping";s:2:"id";s:8:"shipping";s:7:"content";s:206:"&lt;ul style="color: rgba(0, 0, 0, 0.7);"&gt;_x000D_
 	&lt;li&gt;Express delivery&lt;/li&gt;_x000D_
 	&lt;li&gt;Customise with your company logo&lt;/li&gt;_x000D_
 	&lt;li&gt;Personalisation options available&lt;/li&gt;_x000D_
 	&lt;li&gt;Further details in checkout&lt;/li&gt;_x000D_
&lt;/ul&gt;";}i:2;a:3:{s:5:"title";s:19:"Quality Information";s:2:"id";s:19:"quality-information";s:7:"content";s:103:"&lt;ul style="color: rgba(0, 0, 0, 0.7);"&gt;_x000D_
 	&lt;li&gt;FSC certified&lt;/li&gt;_x000D_
 	&lt;li&gt;Manufactured in UK&lt;/li&gt;_x000D_
&lt;/ul&gt;";}}</t>
  </si>
  <si>
    <t>https://corporate.abbeygate-england.com/wp-content/uploads/2026/07/WindsorHide_Luggage_Tags_Navy_Blue.webp, https://corporate.abbeygate-england.com/wp-content/uploads/2026/07/Windsor_Hide_Leather_Luggage_Tag.webp</t>
  </si>
  <si>
    <t>Travel in style with the Chelsea Leather Luggage Tag, a durable and elegant accessory that keeps your luggage easily identifiable.</t>
  </si>
  <si>
    <t>The &lt;strong&gt;Chelsea Leather Luggage Tag&lt;/strong&gt; is the ultimate blend of practicality and elegance for discerning travelers. Crafted from premium genuine leather, this luggage tag offers both durability and a sophisticated look that will set your bags apart. Its sleek, minimalistic design is perfect for adding a touch of refinement to your travel essentials._x000D_\n_x000D_\nThe tag features a sturdy, adjustable leather strap with a secure metal buckle, ensuring it stays firmly attached to your luggage. Inside, a clear window allows you to insert your contact details or identification, making it easy to locate and reclaim your belongings. The fine craftsmanship is evident in the smooth leather finish and impeccable stitching, which ensures a long-lasting product that can withstand the rigors of frequent travel._x000D_\n_x000D_\nWhether you’re jetting off for business or leisure, the &lt;strong&gt;Chelsea Leather Luggage Tag&lt;/strong&gt; provides an effortless way to add an extra layer of personal style and security to your luggage.</t>
  </si>
  <si>
    <t>Chelsea Collection, Gifts, Luggage Tag</t>
  </si>
  <si>
    <t>Chelsea Leather Luggage Tag</t>
  </si>
  <si>
    <t>https://corporate.abbeygate-england.com/wp-content/uploads/2026/07/10224-Chelsea_Leather_Large_Luggage_Tags_Black.webp, https://corporate.abbeygate-england.com/wp-content/uploads/2026/07/Chelsea_Leather_Luggage_Tag.webp</t>
  </si>
  <si>
    <t>a:3:{i:0;a:3:{s:5:"title";s:15:"Special Feature";s:2:"id";s:15:"special-feature";s:7:"content";s:1327:"&lt;ul&gt;_x000D_
 	&lt;li style="list-style-type: none;"&gt;_x000D_
&lt;ul&gt;_x000D_
 	&lt;li style="list-style-type: none;"&gt;_x000D_
&lt;ul&gt;_x000D_
 	&lt;li style="list-style-type: none;"&gt;_x000D_
&lt;ul&gt;_x000D_
 	&lt;li style="list-style-type: none;"&gt;_x000D_
&lt;ul&gt;_x000D_
 	&lt;li style="list-style-type: none;"&gt;_x000D_
&lt;ul&gt;_x000D_
 	&lt;li style="list-style-type: none;"&gt;_x000D_
&lt;ul&gt;_x000D_
 	&lt;li style="list-style-type: none;"&gt;_x000D_
&lt;ul&gt;_x000D_
 	&lt;li style="list-style-type: none;"&gt;_x000D_
&lt;ul&gt;_x000D_
 	&lt;li&gt;&lt;strong&gt;Material&lt;/strong&gt;: Premium genuine leather with a smooth, sophisticated finish&lt;/li&gt;_x000D_
 	&lt;li&gt;&lt;strong&gt;Design&lt;/strong&gt;: Sleek and minimalistic with fine stitching and a metal buckle strap&lt;/li&gt;_x000D_
 	&lt;li&gt;&lt;strong&gt;Functionality&lt;/strong&gt;: Clear window for easy insertion of your contact details&lt;/li&gt;_x000D_
 	&lt;li&gt;&lt;strong&gt;Durability&lt;/strong&gt;: High-quality leather built to withstand frequent travel&lt;/li&gt;_x000D_
 	&lt;li&gt;&lt;strong&gt;Attachment&lt;/strong&gt;: Adjustable leather strap with secure buckle for easy attachment&lt;/li&gt;_x000D_
 	&lt;li&gt;&lt;strong&gt;Customizable&lt;/strong&gt;: Available for embossing with initials or logo for a personalized touch&lt;/li&gt;_x000D_
 	&lt;li&gt;&lt;strong&gt;Professional Appeal&lt;/strong&gt;: Elegant and stylish, ideal for business or leisure travelers&lt;/li&gt;_x000D_
 	&lt;li&gt;&lt;strong&gt;Gift-Ready&lt;/strong&gt;: Perfect as a thoughtful gift for frequent flyers or corporate giveaways&lt;/li&gt;_x000D_
&lt;/ul&gt;_x000D_
&lt;/li&gt;_x000D_
&lt;/ul&gt;_x000D_
&lt;/li&gt;_x000D_
&lt;/ul&gt;_x000D_
&lt;/li&gt;_x000D_
&lt;/ul&gt;_x000D_
&lt;/li&gt;_x000D_
&lt;/ul&gt;_x000D_
&lt;/li&gt;_x000D_
&lt;/ul&gt;_x000D_
&lt;/li&gt;_x000D_
&lt;/ul&gt;_x000D_
&lt;/li&gt;_x000D_
&lt;/ul&gt;_x000D_
&lt;/li&gt;_x000D_
&lt;/ul&gt;";}i:1;a:3:{s:5:"title";s:8:"Shipping";s:2:"id";s:8:"shipping";s:7:"content";s:206:"&lt;ul style="color: rgba(0, 0, 0, 0.7);"&gt;_x000D_
 	&lt;li&gt;Express delivery&lt;/li&gt;_x000D_
 	&lt;li&gt;Customise with your company logo&lt;/li&gt;_x000D_
 	&lt;li&gt;Personalisation options available&lt;/li&gt;_x000D_
 	&lt;li&gt;Further details in checkout&lt;/li&gt;_x000D_
&lt;/ul&gt;";}i:2;a:3:{s:5:"title";s:19:"Quality Information";s:2:"id";s:19:"quality-information";s:7:"content";s:103:"&lt;ul style="color: rgba(0, 0, 0, 0.7);"&gt;_x000D_
 	&lt;li&gt;FSC certified&lt;/li&gt;_x000D_
 	&lt;li&gt;Manufactured in UK&lt;/li&gt;_x000D_
&lt;/ul&gt;";}}</t>
  </si>
  <si>
    <t>Chelsea Leather Luggage Tag, Green</t>
  </si>
  <si>
    <t>https://corporate.abbeygate-england.com/wp-content/uploads/2026/07/10224-Chelsea_Leather_Large_Luggage_Tags_Green.webp, https://corporate.abbeygate-england.com/wp-content/uploads/2026/07/Chelsea_Leather_Luggage_Tag.webp</t>
  </si>
  <si>
    <t>Chelsea Leather Luggage Tag, Mustard</t>
  </si>
  <si>
    <t>https://corporate.abbeygate-england.com/wp-content/uploads/2026/07/10224-Chelsea_Leather_Large_Luggage_Tags_Tan.webp, https://corporate.abbeygate-england.com/wp-content/uploads/2026/07/Chelsea_Leather_Luggage_Tag.webp</t>
  </si>
  <si>
    <t>https://corporate.abbeygate-england.com/wp-content/uploads/2026/07/10224-Chelsea_Leather_Large_Luggage_Tags_Blue.webp, https://corporate.abbeygate-england.com/wp-content/uploads/2026/07/Chelsea_Leather_Luggage_Tag.webp</t>
  </si>
  <si>
    <t>https://corporate.abbeygate-england.com/wp-content/uploads/2026/07/10224-Chelsea_Leather_Large_Luggage_Tags_Red.webp, https://corporate.abbeygate-england.com/wp-content/uploads/2026/07/Chelsea_Leather_Luggage_Tag.webp</t>
  </si>
  <si>
    <t>Dorchester Standard Luggage Tag Tan</t>
  </si>
  <si>
    <t>Travel in style with the Dorchester Standard Luggage Tag—a durable, sleek design with a clear window for easy identification of your luggage.</t>
  </si>
  <si>
    <t>The &lt;strong&gt;Dorchester Standard Luggage Tag&lt;/strong&gt; combines sleek design with superior functionality, making it the perfect accessory for all your travels. Made from high-quality Dorchester faux leather, this luggage tag offers a luxurious, leather-like finish that stands out while ensuring durability. Its compact and stylish design makes it a great choice for anyone looking to personalize their luggage with a touch of class._x000D_\n_x000D_\nDesigned to keep your contact information safe and secure, the &lt;strong&gt;Dorchester Standard Luggage Tag&lt;/strong&gt; features a clear window for easy identification of your details. The adjustable strap ensures a secure fit on a variety of bags, suitcases, and travel gear. Whether for business or leisure, this luggage tag adds a sophisticated touch to your travel essentials while helping you easily spot your luggage at the baggage claim.</t>
  </si>
  <si>
    <t>Dorchester Collection, Gifts, Luggage Tag</t>
  </si>
  <si>
    <t>Dorchester Standard Luggage Tag</t>
  </si>
  <si>
    <t>https://corporate.abbeygate-england.com/wp-content/uploads/2026/07/40224-NewHideLargeLuggageTag_Tan300DPI_4863a9d2-31d1-4b87-b852-e5e55bd08f58.webp</t>
  </si>
  <si>
    <t>a:3:{i:0;a:3:{s:5:"title";s:15:"Special Feature";s:2:"id";s:15:"special-feature";s:7:"content";s:1236:"&lt;ul&gt;_x000D_
 	&lt;li style="list-style-type: none;"&gt;_x000D_
&lt;ul&gt;_x000D_
 	&lt;li style="list-style-type: none;"&gt;_x000D_
&lt;ul&gt;_x000D_
 	&lt;li style="list-style-type: none;"&gt;_x000D_
&lt;ul&gt;_x000D_
 	&lt;li style="list-style-type: none;"&gt;_x000D_
&lt;ul&gt;_x000D_
 	&lt;li style="list-style-type: none;"&gt;_x000D_
&lt;ul&gt;_x000D_
 	&lt;li style="list-style-type: none;"&gt;_x000D_
&lt;ul&gt;_x000D_
 	&lt;li style="list-style-type: none;"&gt;_x000D_
&lt;ul&gt;_x000D_
 	&lt;li style="list-style-type: none;"&gt;_x000D_
&lt;ul&gt;_x000D_
 	&lt;li style="list-style-type: none;"&gt;_x000D_
&lt;ul&gt;_x000D_
 	&lt;li&gt;&lt;strong&gt;Material&lt;/strong&gt;: Premium Dorchester faux leather for a luxurious, durable finish&lt;/li&gt;_x000D_
 	&lt;li&gt;&lt;strong&gt;Clear Window&lt;/strong&gt;: Allows easy identification of your contact information&lt;/li&gt;_x000D_
 	&lt;li&gt;&lt;strong&gt;Adjustable Strap&lt;/strong&gt;: Ensures a secure fit on a variety of bags and luggage&lt;/li&gt;_x000D_
 	&lt;li&gt;&lt;strong&gt;Sleek Design&lt;/strong&gt;: Elegant and compact, perfect for any traveler&lt;/li&gt;_x000D_
 	&lt;li&gt;&lt;strong&gt;Durable&lt;/strong&gt;: Built to withstand the rigors of travel while maintaining a polished look&lt;/li&gt;_x000D_
 	&lt;li&gt;&lt;strong&gt;Versatile&lt;/strong&gt;: Ideal for both business and leisure travel&lt;/li&gt;_x000D_
 	&lt;li&gt;&lt;strong&gt;Customizable&lt;/strong&gt;: Option for branding or personalization to make it uniquely yours&lt;/li&gt;_x000D_
&lt;/ul&gt;_x000D_
&lt;/li&gt;_x000D_
&lt;/ul&gt;_x000D_
&lt;/li&gt;_x000D_
&lt;/ul&gt;_x000D_
&lt;/li&gt;_x000D_
&lt;/ul&gt;_x000D_
&lt;/li&gt;_x000D_
&lt;/ul&gt;_x000D_
&lt;/li&gt;_x000D_
&lt;/ul&gt;_x000D_
&lt;/li&gt;_x000D_
&lt;/ul&gt;_x000D_
&lt;/li&gt;_x000D_
&lt;/ul&gt;_x000D_
&lt;/li&gt;_x000D_
&lt;/ul&gt;_x000D_
&lt;/li&gt;_x000D_
&lt;/ul&gt;";}i:1;a:3:{s:5:"title";s:8:"Shipping";s:2:"id";s:8:"shipping";s:7:"content";s:206:"&lt;ul style="color: rgba(0, 0, 0, 0.7);"&gt;_x000D_
 	&lt;li&gt;Express delivery&lt;/li&gt;_x000D_
 	&lt;li&gt;Customise with your company logo&lt;/li&gt;_x000D_
 	&lt;li&gt;Personalisation options available&lt;/li&gt;_x000D_
 	&lt;li&gt;Further details in checkout&lt;/li&gt;_x000D_
&lt;/ul&gt;";}i:2;a:3:{s:5:"title";s:19:"Quality Information";s:2:"id";s:19:"quality-information";s:7:"content";s:103:"&lt;ul style="color: rgba(0, 0, 0, 0.7);"&gt;_x000D_
 	&lt;li&gt;FSC certified&lt;/li&gt;_x000D_
 	&lt;li&gt;Manufactured in UK&lt;/li&gt;_x000D_
&lt;/ul&gt;";}}</t>
  </si>
  <si>
    <t>Dorchester Standard Luggage Tag Red</t>
  </si>
  <si>
    <t>https://corporate.abbeygate-england.com/wp-content/uploads/2026/07/46060-NewHideLuggageTagStandardSize_Red300DPI.webp</t>
  </si>
  <si>
    <t>https://corporate.abbeygate-england.com/wp-content/uploads/2026/07/46060-NewHideLuggageTagStandardSize_Pink300DPI_2ad6f00f-5990-4f22-be63-658924f03db8.webp</t>
  </si>
  <si>
    <t>https://corporate.abbeygate-england.com/wp-content/uploads/2026/07/46060-NewHideLuggageTagStandardSize_Orange300DPI_c44d12b0-b060-4c53-b9f6-3067004ff93e.webp</t>
  </si>
  <si>
    <t>https://corporate.abbeygate-england.com/wp-content/uploads/2026/07/46060-NewHideLuggageTagStandardSize_Blue300DPI.webp</t>
  </si>
  <si>
    <t>https://corporate.abbeygate-england.com/wp-content/uploads/2026/07/46060-NewHideLuggageTagStandardSize_Black300DPI.webp</t>
  </si>
  <si>
    <t>Travel in style with the Dorchester Large Luggage Tag in Black, featuring premium vegan leather, a privacy flap, and a durable strap for secure identification.</t>
  </si>
  <si>
    <t>The &lt;strong&gt;Dorchester Large Luggage Tag in Black&lt;/strong&gt; is a sophisticated travel accessory designed to enhance both the style and functionality of your luggage. Made from premium vegan leather, this tag features a smooth, sleek finish with a durable design, ensuring it withstands the rigors of travel. The classic black color, complemented by precise perimeter stitching, gives it a polished and timeless look._x000D_\n_x000D_\nThe tag includes a secure, adjustable strap with a sturdy buckle closure, ensuring it stays firmly attached to your luggage. A clear ID window provides space for your contact details, easily accessible but protected by a privacy flap. Whether you’re embarking on a business trip or a leisurely getaway, the &lt;strong&gt;Dorchester Large Luggage Tag in Black&lt;/strong&gt; is the perfect blend of style, durability, and practicality, helping you quickly identify your belongings while making a lasting impression.</t>
  </si>
  <si>
    <t>Dorchester Large Luggage Tag</t>
  </si>
  <si>
    <t>https://corporate.abbeygate-england.com/wp-content/uploads/2026/07/46060-NewHideLuggageTagStandardSize_Pink300DPI_5935c91e-1edd-4c44-b6f6-890267f595d5.webp</t>
  </si>
  <si>
    <t>a:3:{i:0;a:3:{s:5:"title";s:15:"Special Feature";s:2:"id";s:15:"special-feature";s:7:"content";s:1280:"&lt;ul&gt;_x000D_
 	&lt;li style="list-style-type: none;"&gt;_x000D_
&lt;ul&gt;_x000D_
 	&lt;li style="list-style-type: none;"&gt;_x000D_
&lt;ul&gt;_x000D_
 	&lt;li style="list-style-type: none;"&gt;_x000D_
&lt;ul&gt;_x000D_
 	&lt;li style="list-style-type: none;"&gt;_x000D_
&lt;ul&gt;_x000D_
 	&lt;li style="list-style-type: none;"&gt;_x000D_
&lt;ul&gt;_x000D_
 	&lt;li style="list-style-type: none;"&gt;_x000D_
&lt;ul&gt;_x000D_
 	&lt;li style="list-style-type: none;"&gt;_x000D_
&lt;ul&gt;_x000D_
 	&lt;li style="list-style-type: none;"&gt;_x000D_
&lt;ul&gt;_x000D_
 	&lt;li style="list-style-type: none;"&gt;_x000D_
&lt;ul&gt;_x000D_
 	&lt;li style="list-style-type: none;"&gt;_x000D_
&lt;ul&gt;_x000D_
 	&lt;li&gt;&lt;strong&gt;Material&lt;/strong&gt;: High-quality vegan leather with a smooth, durable finish&lt;/li&gt;_x000D_
 	&lt;li&gt;&lt;strong&gt;Design&lt;/strong&gt;: Classic black color with fine perimeter stitching for a polished look&lt;/li&gt;_x000D_
 	&lt;li&gt;&lt;strong&gt;Features&lt;/strong&gt;: Adjustable strap with a sturdy buckle closure for secure attachment&lt;/li&gt;_x000D_
 	&lt;li&gt;&lt;strong&gt;Privacy&lt;/strong&gt;: ID window with a protective privacy flap for added security&lt;/li&gt;_x000D_
 	&lt;li&gt;&lt;strong&gt;Durability&lt;/strong&gt;: Designed to withstand frequent travel&lt;/li&gt;_x000D_
 	&lt;li&gt;&lt;strong&gt;Sustainability&lt;/strong&gt;: Made with eco-conscious materials&lt;/li&gt;_x000D_
 	&lt;li&gt;&lt;strong&gt;Ideal For&lt;/strong&gt;: Travelers seeking a stylish and functional way to identify their luggage&lt;/li&gt;_x000D_
&lt;/ul&gt;_x000D_
&lt;/li&gt;_x000D_
&lt;/ul&gt;_x000D_
&lt;/li&gt;_x000D_
&lt;/ul&gt;_x000D_
&lt;/li&gt;_x000D_
&lt;/ul&gt;_x000D_
&lt;/li&gt;_x000D_
&lt;/ul&gt;_x000D_
&lt;/li&gt;_x000D_
&lt;/ul&gt;_x000D_
&lt;/li&gt;_x000D_
&lt;/ul&gt;_x000D_
&lt;/li&gt;_x000D_
&lt;/ul&gt;_x000D_
&lt;/li&gt;_x000D_
&lt;/ul&gt;_x000D_
&lt;/li&gt;_x000D_
&lt;/ul&gt;_x000D_
&lt;/li&gt;_x000D_
&lt;/ul&gt;";}i:1;a:3:{s:5:"title";s:8:"Shipping";s:2:"id";s:8:"shipping";s:7:"content";s:206:"&lt;ul style="color: rgba(0, 0, 0, 0.7);"&gt;_x000D_
 	&lt;li&gt;Express delivery&lt;/li&gt;_x000D_
 	&lt;li&gt;Customise with your company logo&lt;/li&gt;_x000D_
 	&lt;li&gt;Personalisation options available&lt;/li&gt;_x000D_
 	&lt;li&gt;Further details in checkout&lt;/li&gt;_x000D_
&lt;/ul&gt;";}i:2;a:3:{s:5:"title";s:19:"Quality Information";s:2:"id";s:19:"quality-information";s:7:"content";s:103:"&lt;ul style="color: rgba(0, 0, 0, 0.7);"&gt;_x000D_
 	&lt;li&gt;FSC certified&lt;/li&gt;_x000D_
 	&lt;li&gt;Manufactured in UK&lt;/li&gt;_x000D_
&lt;/ul&gt;";}}</t>
  </si>
  <si>
    <t>https://corporate.abbeygate-england.com/wp-content/uploads/2026/07/40224-NewHideLargeLuggageTag_Aqua300DPI.webp</t>
  </si>
  <si>
    <t>Sleek, durable, and stylish, the Dorchester Rectangle Key Fob adds a touch of sophistication to your keys with its premium faux leather design.</t>
  </si>
  <si>
    <t>The &lt;strong&gt;Dorchester Rectangle Key Fob&lt;/strong&gt; offers a sleek and professional design, crafted from high-quality Dorchester faux leather for a soft and luxurious touch. Its rectangular shape provides a modern look while ensuring functionality and durability. This key fob is designed to keep your keys organized and secure, offering a practical yet stylish solution for everyday use._x000D_\n_x000D_\nWith a strong keyring and a smooth faux leather finish, the &lt;strong&gt;Dorchester Rectangle Key Fob&lt;/strong&gt; is not only practical but also adds a touch of sophistication to your key collection. Its compact size allows for easy attachment to your keys, bags, or even as a decorative accessory. Perfect for both personal and corporate use, this key fob is an elegant and durable choice that stands the test of time.</t>
  </si>
  <si>
    <t>Dorchester Collection, Gifts, Keychains</t>
  </si>
  <si>
    <t>Dorchester Rectangle Key Fob</t>
  </si>
  <si>
    <t>https://corporate.abbeygate-england.com/wp-content/uploads/2026/07/Key_Fobs_Rectangular_Tan.webp</t>
  </si>
  <si>
    <t>a:3:{i:0;a:3:{s:5:"title";s:15:"Special Feature";s:2:"id";s:15:"special-feature";s:7:"content";s:656:"&lt;ul&gt;_x000D_
 	&lt;li&gt;&lt;strong&gt;Material&lt;/strong&gt;: Crafted from high-quality Dorchester faux leather for a luxurious feel&lt;/li&gt;_x000D_
 	&lt;li&gt;&lt;strong&gt;Design&lt;/strong&gt;: Modern rectangular shape for a stylish and sleek look&lt;/li&gt;_x000D_
 	&lt;li&gt;&lt;strong&gt;Durable&lt;/strong&gt;: Strong keyring ensures your keys are securely attached&lt;/li&gt;_x000D_
 	&lt;li&gt;&lt;strong&gt;Compact&lt;/strong&gt;: Perfect size for organizing keys or attaching to bags&lt;/li&gt;_x000D_
 	&lt;li&gt;&lt;strong&gt;Elegant&lt;/strong&gt;: Adds a refined touch to your key collection&lt;/li&gt;_x000D_
 	&lt;li&gt;&lt;strong&gt;Versatile&lt;/strong&gt;: Ideal for personal or corporate use&lt;/li&gt;_x000D_
 	&lt;li&gt;&lt;strong&gt;Customizable&lt;/strong&gt;: Can be branded or personalized for a unique touch&lt;/li&gt;_x000D_
&lt;/ul&gt;_x000D_
&amp;nbsp;";}i:1;a:3:{s:5:"title";s:8:"Shipping";s:2:"id";s:8:"shipping";s:7:"content";s:206:"&lt;ul style="color: rgba(0, 0, 0, 0.7);"&gt;_x000D_
 	&lt;li&gt;Express delivery&lt;/li&gt;_x000D_
 	&lt;li&gt;Customise with your company logo&lt;/li&gt;_x000D_
 	&lt;li&gt;Personalisation options available&lt;/li&gt;_x000D_
 	&lt;li&gt;Further details in checkout&lt;/li&gt;_x000D_
&lt;/ul&gt;";}i:2;a:3:{s:5:"title";s:19:"Quality Information";s:2:"id";s:19:"quality-information";s:7:"content";s:103:"&lt;ul style="color: rgba(0, 0, 0, 0.7);"&gt;_x000D_
 	&lt;li&gt;FSC certified&lt;/li&gt;_x000D_
 	&lt;li&gt;Manufactured in UK&lt;/li&gt;_x000D_
&lt;/ul&gt;";}}</t>
  </si>
  <si>
    <t>Dorchester Rectangle Key Fob Red</t>
  </si>
  <si>
    <t>https://corporate.abbeygate-england.com/wp-content/uploads/2026/07/Key_Fobs_Rectangular_Red-1.webp</t>
  </si>
  <si>
    <t>https://corporate.abbeygate-england.com/wp-content/uploads/2026/07/Key_Fobs_Rectangular_Black.webp</t>
  </si>
  <si>
    <t>https://corporate.abbeygate-england.com/wp-content/uploads/2026/07/Key_Fobs_Rectangular_Royal_Blue.webp</t>
  </si>
  <si>
    <t>https://corporate.abbeygate-england.com/wp-content/uploads/2026/07/Key_Fobs_Rectangular_Aqua.webp</t>
  </si>
  <si>
    <t>Dorchester Collection Key Fob Aqua</t>
  </si>
  <si>
    <t>Dorchester Collection Key Fob</t>
  </si>
  <si>
    <t>https://corporate.abbeygate-england.com/wp-content/uploads/2026/07/46320NewHideKeyfobOval_Blue300DPI_53898f6f-e7d4-4769-af37-a44ab4988e7c.webp</t>
  </si>
  <si>
    <t>Dorchester Collection Key Fob Pink</t>
  </si>
  <si>
    <t>https://corporate.abbeygate-england.com/wp-content/uploads/2026/07/46320NewHideKeyfobOval_Pink300DPI_0a418ad4-cba5-4a99-b9c4-ad76c59681b1.webp</t>
  </si>
  <si>
    <t>Dorchester Collection Key Fob Tan</t>
  </si>
  <si>
    <t>https://corporate.abbeygate-england.com/wp-content/uploads/2026/07/46320NewHideKeyfobOval_Tan300DPI_1577fa42-0a43-4059-9cdc-40b75e43367b.webp</t>
  </si>
  <si>
    <t>Dorchester Collection Key Fob Black</t>
  </si>
  <si>
    <t>https://corporate.abbeygate-england.com/wp-content/uploads/2026/07/46320NewHideKeyfobOval_Black300DPI_5791b9aa-f172-46fd-a51c-1159222040bd.webp</t>
  </si>
  <si>
    <t>NB-BKTN-U-911-P</t>
  </si>
  <si>
    <t>Windsor Collection Leather Quarto Wallet, Black-Tan</t>
  </si>
  <si>
    <t>Our popular soft feel Vegan Leather pocket and desk wallets are available, in a wide range of stylish colours. Pocket wallets have colour matched perimeter stitching with useful card pockets inside the front cover, silk lining and pen loop. Desk wallets have colour matched perimeter stitching with internal vertical pockets inside the front and back cover, silk lining and pen loop.</t>
  </si>
  <si>
    <t>Gifts, Wallets, Windsor Collection</t>
  </si>
  <si>
    <t>Windsor Collection Leather Quarto Wallet</t>
  </si>
  <si>
    <t>https://corporate.abbeygate-england.com/wp-content/uploads/2026/07/39911NBQuartoWallet_BlackTan.webp</t>
  </si>
  <si>
    <t>a:3:{i:0;a:3:{s:5:"title";s:15:"Special Feature";s:2:"id";s:15:"special-feature";s:7:"content";s:0:"";}i:1;a:3:{s:5:"title";s:8:"Shipping";s:2:"id";s:8:"shipping";s:7:"content";s:206:"&lt;ul style="color: rgba(0, 0, 0, 0.7);"&gt;_x000D_
 	&lt;li&gt;Express delivery&lt;/li&gt;_x000D_
 	&lt;li&gt;Customise with your company logo&lt;/li&gt;_x000D_
 	&lt;li&gt;Personalisation options available&lt;/li&gt;_x000D_
 	&lt;li&gt;Further details in checkout&lt;/li&gt;_x000D_
&lt;/ul&gt;";}i:2;a:3:{s:5:"title";s:19:"Quality Information";s:2:"id";s:19:"quality-information";s:7:"content";s:103:"&lt;ul style="color: rgba(0, 0, 0, 0.7);"&gt;_x000D_
 	&lt;li&gt;FSC certified&lt;/li&gt;_x000D_
 	&lt;li&gt;Manufactured in UK&lt;/li&gt;_x000D_
&lt;/ul&gt;";}}</t>
  </si>
  <si>
    <t>NB-BKRB-U-911-P</t>
  </si>
  <si>
    <t>Windsor Collection Leather Quarto Wallet, Black-Royal Blue</t>
  </si>
  <si>
    <t>https://corporate.abbeygate-england.com/wp-content/uploads/2026/07/39911NBQuartoWallet_BlackRoyalBlue.webp</t>
  </si>
  <si>
    <t>NB-BKRD-U-911-P</t>
  </si>
  <si>
    <t>Windsor Collection Leather Quarto Wallet, Black-Red</t>
  </si>
  <si>
    <t>https://corporate.abbeygate-england.com/wp-content/uploads/2026/07/39911NBQuartoWallet_BlackRed.webp</t>
  </si>
  <si>
    <t>NB-BKPU-U-911-P</t>
  </si>
  <si>
    <t>Windsor Collection Leather Quarto Wallet, Black-Purple</t>
  </si>
  <si>
    <t>https://corporate.abbeygate-england.com/wp-content/uploads/2026/07/39911NBQuartoWallet_BlackPurple.jpg</t>
  </si>
  <si>
    <t>NB-BKOR-U-911-P</t>
  </si>
  <si>
    <t>Windsor Collection Leather Quarto Wallet, Black-Orange</t>
  </si>
  <si>
    <t>https://corporate.abbeygate-england.com/wp-content/uploads/2026/07/39911NBQuartoWallet_BlackOrange.webp</t>
  </si>
  <si>
    <t>NB-BKGN-U-911-P</t>
  </si>
  <si>
    <t>Windsor Collection Leather Quarto Wallet, Black-Green</t>
  </si>
  <si>
    <t>https://corporate.abbeygate-england.com/wp-content/uploads/2026/07/39911NBQuartoWallet_BlackGreen.webp</t>
  </si>
  <si>
    <t>NB-BKGY-U-911-P</t>
  </si>
  <si>
    <t>Windsor Collection Leather Quarto Wallet, Black-Grey</t>
  </si>
  <si>
    <t>https://corporate.abbeygate-england.com/wp-content/uploads/2026/07/39911NBQuartoWallet_BlackGrey.jpg</t>
  </si>
  <si>
    <t>NB-BLBL-U-911-P</t>
  </si>
  <si>
    <t>Windsor Collection Leather Quarto Wallet, Black-Blue</t>
  </si>
  <si>
    <t>https://corporate.abbeygate-england.com/wp-content/uploads/2026/07/39911NBQuartoWallet_BlackBlue.webp</t>
  </si>
  <si>
    <t>NB-BKAQ-U-911-P</t>
  </si>
  <si>
    <t>Windsor Collection Leather Quarto Wallet, Black-Aqua</t>
  </si>
  <si>
    <t>https://corporate.abbeygate-england.com/wp-content/uploads/2026/07/39911NBQuartoWallet_BlackAqua.webp</t>
  </si>
  <si>
    <t>NB-BKRD-U-903-P</t>
  </si>
  <si>
    <t>Windsor Collection Leather Pocket Wallet, Black-Red</t>
  </si>
  <si>
    <t>Windsor Collection Leather Pocket Wallet</t>
  </si>
  <si>
    <t>https://corporate.abbeygate-england.com/wp-content/uploads/2026/07/39901_NB_Pocket_Wallet_Black_Red.webp</t>
  </si>
  <si>
    <t>NB-BKRB-U-903-P</t>
  </si>
  <si>
    <t>Windsor Collection Leather Pocket Wallet, Black-Royal Blue</t>
  </si>
  <si>
    <t>https://corporate.abbeygate-england.com/wp-content/uploads/2026/07/39901_NB_Pocket_Wallet_Black_Royal_Blue.webp</t>
  </si>
  <si>
    <t>NB-BKGY-U-903-P</t>
  </si>
  <si>
    <t>Windsor Collection Leather Pocket Wallet, Black-Grey</t>
  </si>
  <si>
    <t>https://corporate.abbeygate-england.com/wp-content/uploads/2026/07/39901_NB_Pocket_Wallet_Black_Grey.webp</t>
  </si>
  <si>
    <t>NB-BKTN-U-902-P</t>
  </si>
  <si>
    <t>Windsor Collection Leather Pocket Wallet, Black-Tan</t>
  </si>
  <si>
    <t>https://corporate.abbeygate-england.com/wp-content/uploads/2026/07/39901_NB_Pocket_Wallet_Black_Tan.webp</t>
  </si>
  <si>
    <t>NB-BKRD-U-902-P</t>
  </si>
  <si>
    <t>https://corporate.abbeygate-england.com/wp-content/uploads/2026/07/39901_NB_Pocket_Wallet_Black_Red-1.webp</t>
  </si>
  <si>
    <t>NB-BKPU-U-902-P</t>
  </si>
  <si>
    <t>Windsor Collection Leather Pocket Wallet, Black-Purple</t>
  </si>
  <si>
    <t>https://corporate.abbeygate-england.com/wp-content/uploads/2026/07/39901_NB_Pocket_Wallet_Black_Purple.webp</t>
  </si>
  <si>
    <t>NB-BKOR-U-902-P</t>
  </si>
  <si>
    <t>Windsor Collection Leather Pocket Wallet, Black-Orange</t>
  </si>
  <si>
    <t>https://corporate.abbeygate-england.com/wp-content/uploads/2026/07/39901_NB_Pocket_Wallet_Black_Orange.webp</t>
  </si>
  <si>
    <t>NB-BKMU-U-902-P</t>
  </si>
  <si>
    <t>Windsor Collection Leather Pocket Wallet, Black-Mustard</t>
  </si>
  <si>
    <t>https://corporate.abbeygate-england.com/wp-content/uploads/2026/07/39901_NB_Pocket_Wallet_Black_Mustard.webp</t>
  </si>
  <si>
    <t>NB-BKAQ-U-902-P</t>
  </si>
  <si>
    <t>Windsor Collection Leather Pocket Wallet, Black-Aqua</t>
  </si>
  <si>
    <t>https://corporate.abbeygate-england.com/wp-content/uploads/2026/07/39901_NB_Pocket_Wallet_Black_Aqua.webp</t>
  </si>
  <si>
    <t>NH-PK-U-034</t>
  </si>
  <si>
    <t>Dorchester Collection Faux Leather Travel Wallet Pink</t>
  </si>
  <si>
    <t>Travel smarter with the Dorchester Travel Wallet in Black, featuring premium vegan leather, secure compartments, and stylish organization for all your essentials.</t>
  </si>
  <si>
    <t>The &lt;strong&gt;Dorchester Travel Wallet in Black&lt;/strong&gt; is the ultimate travel companion, combining elegant design with practical functionality. Crafted from premium-quality vegan leather, this wallet offers a smooth, refined finish that is both stylish and eco-conscious. Its sleek black exterior is accented by fine perimeter stitching, creating a timeless look that’s perfect for every journey._x000D_\n_x000D_\nInside, the travel wallet provides ample storage for all your travel essentials. It features a dedicated passport pocket, multiple card slots for credit or loyalty cards, a zippered coin pocket, and a spacious compartment for tickets, boarding passes, and currency. An additional pen holder ensures you’re always prepared for filling out forms on the go. Thoughtfully designed to keep everything secure and organized, the &lt;strong&gt;Dorchester Travel Wallet in Black&lt;/strong&gt; fits comfortably in your hand or bag, making it an indispensable accessory for frequent travelers.</t>
  </si>
  <si>
    <t>Dorchester Collection, Gifts, Wallets</t>
  </si>
  <si>
    <t>Dorchester Collection Faux Leather Travel Wallet</t>
  </si>
  <si>
    <t>https://corporate.abbeygate-england.com/wp-content/uploads/2026/07/40034-NewHideZippedTravelWallet_Pink_3a320d17-6786-4eca-ad45-03bbfbd31cd1.webp, https://corporate.abbeygate-england.com/wp-content/uploads/2026/07/40034-NewHideZippedTravelWallet_PinkInside_4f73fc44-3331-42cc-8ed7-753f72c637f1.webp</t>
  </si>
  <si>
    <t>a:3:{i:0;a:3:{s:5:"title";s:15:"Special Feature";s:2:"id";s:15:"special-feature";s:7:"content";s:729:"&lt;ul&gt;_x000D_
 	&lt;li&gt;&lt;strong&gt;Material&lt;/strong&gt;: High-quality vegan leather with a smooth, sleek finish&lt;/li&gt;_x000D_
 	&lt;li&gt;&lt;strong&gt;Design&lt;/strong&gt;: Compact yet spacious for all your travel needs&lt;/li&gt;_x000D_
 	&lt;li&gt;&lt;strong&gt;Capacity&lt;/strong&gt;: Includes a passport pocket, multiple card slots, zippered coin pocket, and large compartments for tickets and currency&lt;/li&gt;_x000D_
 	&lt;li&gt;&lt;strong&gt;Additional Features&lt;/strong&gt;: Built-in pen holder for added convenience&lt;/li&gt;_x000D_
 	&lt;li&gt;&lt;strong&gt;Durability&lt;/strong&gt;: Lightweight, durable, and travel-friendly&lt;/li&gt;_x000D_
 	&lt;li&gt;&lt;strong&gt;Sustainability&lt;/strong&gt;: Eco-conscious materials that don’t compromise on style&lt;/li&gt;_x000D_
 	&lt;li&gt;&lt;strong&gt;Ideal For&lt;/strong&gt;: Frequent travelers seeking stylish and organized storage&lt;/li&gt;_x000D_
&lt;/ul&gt;_x000D_
&amp;nbsp;";}i:1;a:3:{s:5:"title";s:8:"Shipping";s:2:"id";s:8:"shipping";s:7:"content";s:206:"&lt;ul style="color: rgba(0, 0, 0, 0.7);"&gt;_x000D_
 	&lt;li&gt;Express delivery&lt;/li&gt;_x000D_
 	&lt;li&gt;Customise with your company logo&lt;/li&gt;_x000D_
 	&lt;li&gt;Personalisation options available&lt;/li&gt;_x000D_
 	&lt;li&gt;Further details in checkout&lt;/li&gt;_x000D_
&lt;/ul&gt;";}i:2;a:3:{s:5:"title";s:19:"Quality Information";s:2:"id";s:19:"quality-information";s:7:"content";s:103:"&lt;ul style="color: rgba(0, 0, 0, 0.7);"&gt;_x000D_
 	&lt;li&gt;FSC certified&lt;/li&gt;_x000D_
 	&lt;li&gt;Manufactured in UK&lt;/li&gt;_x000D_
&lt;/ul&gt;";}}</t>
  </si>
  <si>
    <t>NH-TN-U-034</t>
  </si>
  <si>
    <t>Dorchester Collection Faux Leather Travel Wallet Tan</t>
  </si>
  <si>
    <t>https://corporate.abbeygate-england.com/wp-content/uploads/2026/07/40034-NewHideZippedTravelWallet_Tan_1c0d7fb8-8d4e-4f93-bd53-742b5ab4e1ed.webp, https://corporate.abbeygate-england.com/wp-content/uploads/2026/07/40034-NewHideZippedTravelWallet_TanInside_35c14efd-ec93-49dd-9d12-d0da2299ce3f.webp</t>
  </si>
  <si>
    <t>NH-BL-U-034</t>
  </si>
  <si>
    <t>Dorchester Collection Faux Leather Travel Wallet Blue</t>
  </si>
  <si>
    <t>https://corporate.abbeygate-england.com/wp-content/uploads/2026/07/40034-NewHideZippedTravelWallet_Blue_ecc50258-5ab4-4aa1-9a88-ef2e6f838921.webp, https://corporate.abbeygate-england.com/wp-content/uploads/2026/07/40034-NewHideZippedTravelWallet_BlueInside_a41fb5e3-5650-45d7-aa0e-d4a6bf83c3e2.webp</t>
  </si>
  <si>
    <t>NH-BK-U-034</t>
  </si>
  <si>
    <t>Dorchester Collection Faux Leather Travel Wallet Black</t>
  </si>
  <si>
    <t>https://corporate.abbeygate-england.com/wp-content/uploads/2026/07/40034-NewHideZippedTravelWallet_Black_54db08ac-a767-4965-a0b4-88923dad4724.webp, https://corporate.abbeygate-england.com/wp-content/uploads/2026/07/40034-NewHideZippedTravelWallet_BlackInside_cda1f94b-0a85-4714-9d89-567071f2d6bc.webp</t>
  </si>
  <si>
    <t xml:space="preserve">White </t>
  </si>
  <si>
    <t>FG71F</t>
  </si>
  <si>
    <t>CL83U</t>
  </si>
  <si>
    <t>CXP82</t>
  </si>
  <si>
    <t>CXP83</t>
  </si>
  <si>
    <t>1:11.24;10:10.25;25:6.70;50:5.58;100:4.62;250:3.82;500:3.32;750:3.19;1000:2.94;</t>
  </si>
  <si>
    <t>FG-BK-P-076D</t>
  </si>
  <si>
    <t>FG-BL-P-076D</t>
  </si>
  <si>
    <t>FG-BG-P-076D</t>
  </si>
  <si>
    <t>FG-DB-P-076D</t>
  </si>
  <si>
    <t>FG-GN-P-076D</t>
  </si>
  <si>
    <t>FG-PU-P-076D</t>
  </si>
  <si>
    <t>FG-RD-P-076D</t>
  </si>
  <si>
    <t>3 Quarter Coverage</t>
  </si>
  <si>
    <r>
      <t xml:space="preserve">Printing Cost End User </t>
    </r>
    <r>
      <rPr>
        <b/>
        <sz val="11"/>
        <color theme="1"/>
        <rFont val="Aptos Narrow"/>
        <family val="2"/>
        <scheme val="minor"/>
      </rPr>
      <t>Blocking</t>
    </r>
  </si>
  <si>
    <t>5+</t>
  </si>
  <si>
    <t>25+</t>
  </si>
  <si>
    <t>50+</t>
  </si>
  <si>
    <t>100+</t>
  </si>
  <si>
    <t>250+</t>
  </si>
  <si>
    <t>500+</t>
  </si>
  <si>
    <t>750+</t>
  </si>
  <si>
    <t>Pocket/ A6</t>
  </si>
  <si>
    <t>Small Item</t>
  </si>
  <si>
    <t>Medium</t>
  </si>
  <si>
    <t>Quarto/A4</t>
  </si>
  <si>
    <t>Large</t>
  </si>
  <si>
    <r>
      <t xml:space="preserve">Printing Cost End User </t>
    </r>
    <r>
      <rPr>
        <b/>
        <sz val="11"/>
        <color theme="1"/>
        <rFont val="Aptos Narrow"/>
        <family val="2"/>
        <scheme val="minor"/>
      </rPr>
      <t>1 Colour UV Digital</t>
    </r>
  </si>
  <si>
    <t>Pocket/A6</t>
  </si>
  <si>
    <r>
      <t xml:space="preserve">Printing Cost End User </t>
    </r>
    <r>
      <rPr>
        <b/>
        <sz val="11"/>
        <color theme="1"/>
        <rFont val="Aptos Narrow"/>
        <family val="2"/>
        <scheme val="minor"/>
      </rPr>
      <t>Digital Print</t>
    </r>
  </si>
  <si>
    <t>Pocket /A6</t>
  </si>
  <si>
    <t>20% to be taken off for Trade Customers</t>
  </si>
  <si>
    <t>1+</t>
  </si>
  <si>
    <t>10+</t>
  </si>
  <si>
    <t>Black-Black</t>
  </si>
  <si>
    <t>Black-Grey</t>
  </si>
  <si>
    <t>Black-Red</t>
  </si>
  <si>
    <t>Black-Yellow</t>
  </si>
  <si>
    <t>Green-Green</t>
  </si>
  <si>
    <t>Royal Blue</t>
  </si>
  <si>
    <t>Black-Aqua</t>
  </si>
  <si>
    <t>Black-Orange</t>
  </si>
  <si>
    <t>Black-Purple</t>
  </si>
  <si>
    <t>Blue-Royal Blue</t>
  </si>
  <si>
    <t>Dark Blue</t>
  </si>
  <si>
    <t>Black-Royal Blue</t>
  </si>
  <si>
    <t>Light Blue</t>
  </si>
  <si>
    <t>Light Pink</t>
  </si>
  <si>
    <t>Lime</t>
  </si>
  <si>
    <t>Pewter</t>
  </si>
  <si>
    <t>Biscuit</t>
  </si>
  <si>
    <t>Rose Pink</t>
  </si>
  <si>
    <t>Sage Green</t>
  </si>
  <si>
    <t>Charcoal</t>
  </si>
  <si>
    <t>Navy</t>
  </si>
  <si>
    <t>1:15.11;10:14.46;25:9.42;50:7.14;100:6.24;250:4.46;500:4.22;750:4.10;1000:4.00;</t>
  </si>
  <si>
    <t xml:space="preserve"> POCKET DIARY EXTRAS</t>
  </si>
  <si>
    <t xml:space="preserve"> DESK DIARY EXTRAS </t>
  </si>
  <si>
    <t>Code</t>
  </si>
  <si>
    <t>All Price Breaks</t>
  </si>
  <si>
    <t>CODE</t>
  </si>
  <si>
    <t>DESCRIPTION</t>
  </si>
  <si>
    <t>BLO01</t>
  </si>
  <si>
    <t>Block Origination/set up  up to 36sqcm</t>
  </si>
  <si>
    <t>Block Origination/set up up to 36sqcm</t>
  </si>
  <si>
    <t>BL002</t>
  </si>
  <si>
    <t>Block Set up</t>
  </si>
  <si>
    <t>BP1</t>
  </si>
  <si>
    <t>Blocking</t>
  </si>
  <si>
    <t>DB1</t>
  </si>
  <si>
    <t>PB1</t>
  </si>
  <si>
    <t>Additional Blocking per position</t>
  </si>
  <si>
    <t>ABD</t>
  </si>
  <si>
    <t>Blocking - Per Additional Position</t>
  </si>
  <si>
    <t>2GC/2SC</t>
  </si>
  <si>
    <t>Pocket Corners - per pair</t>
  </si>
  <si>
    <t>Corners - Desk (per pair)</t>
  </si>
  <si>
    <t>APK</t>
  </si>
  <si>
    <t>Clear Pocket - Pocket</t>
  </si>
  <si>
    <t>EXLPB</t>
  </si>
  <si>
    <t>Individual Polybag Large including insertion</t>
  </si>
  <si>
    <t>EXSPB</t>
  </si>
  <si>
    <t>Individual Polybag Small (Pocket)</t>
  </si>
  <si>
    <t>INI</t>
  </si>
  <si>
    <t>Individual names *supplied in AMC Spreadsheet</t>
  </si>
  <si>
    <t>NAM</t>
  </si>
  <si>
    <t>EXBC</t>
  </si>
  <si>
    <t>Labelling eg individual barcodes</t>
  </si>
  <si>
    <t>PCI</t>
  </si>
  <si>
    <t>Presentation Carton (inserted)</t>
  </si>
  <si>
    <t>PPI</t>
  </si>
  <si>
    <t>MDI</t>
  </si>
  <si>
    <t>Mailing Envelope (inserted)</t>
  </si>
  <si>
    <t>MPI</t>
  </si>
  <si>
    <t>EXAW</t>
  </si>
  <si>
    <t>Advertising Wrap printed CMYK</t>
  </si>
  <si>
    <t xml:space="preserve">£0.30 </t>
  </si>
  <si>
    <t>EPI</t>
  </si>
  <si>
    <t>Standard Envelope (inserted)</t>
  </si>
  <si>
    <t>£0.30</t>
  </si>
  <si>
    <t>F</t>
  </si>
  <si>
    <t>Front Padding</t>
  </si>
  <si>
    <t>£0.10</t>
  </si>
  <si>
    <t>P</t>
  </si>
  <si>
    <t>Padded front &amp; back</t>
  </si>
  <si>
    <t>£0.19</t>
  </si>
  <si>
    <t>Pocket/A6 Diaries</t>
  </si>
  <si>
    <t>A5 Diaries</t>
  </si>
  <si>
    <t>A4/Quarto Diaries</t>
  </si>
  <si>
    <t>1000+</t>
  </si>
  <si>
    <t>2500+</t>
  </si>
  <si>
    <t xml:space="preserve">1 Colour </t>
  </si>
  <si>
    <t>1 Side</t>
  </si>
  <si>
    <t>2 Sides</t>
  </si>
  <si>
    <t>4 Sides</t>
  </si>
  <si>
    <t>8 Sides</t>
  </si>
  <si>
    <t>12 Sides</t>
  </si>
  <si>
    <t>16 Sides</t>
  </si>
  <si>
    <t>20 Sides</t>
  </si>
  <si>
    <t>24 Sides</t>
  </si>
  <si>
    <t>CMYK</t>
  </si>
  <si>
    <t>£21.9</t>
  </si>
  <si>
    <t>Corner Size</t>
  </si>
  <si>
    <t>Additional Corner Price</t>
  </si>
  <si>
    <t xml:space="preserve">22mm x 22mm </t>
  </si>
  <si>
    <t xml:space="preserve">18mm x 18mm </t>
  </si>
  <si>
    <t xml:space="preserve">27mm x 27mm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</si>
</sst>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0"/>
  </numFmts>
  <fonts count="9" x14ac:knownFonts="1">
    <font>
      <sz val="11"/>
      <color theme="1"/>
      <name val="Aptos Narrow"/>
      <family val="2"/>
      <scheme val="minor"/>
    </font>
    <font>
      <sz val="11"/>
      <name val="Aptos Narrow"/>
      <family val="2"/>
      <scheme val="minor"/>
    </font>
    <font>
      <b/>
      <sz val="11"/>
      <color theme="1"/>
      <name val="Aptos Narrow"/>
      <family val="2"/>
      <scheme val="minor"/>
    </font>
    <font>
      <sz val="9"/>
      <color indexed="81"/>
      <name val="Tahoma"/>
      <family val="2"/>
    </font>
    <font>
      <b/>
      <sz val="9"/>
      <color indexed="81"/>
      <name val="Tahoma"/>
      <family val="2"/>
    </font>
    <font>
      <b/>
      <sz val="10"/>
      <color theme="1"/>
      <name val="Arial"/>
      <family val="2"/>
    </font>
    <font>
      <b/>
      <sz val="8"/>
      <color theme="1"/>
      <name val="Arial"/>
      <family val="2"/>
    </font>
    <font>
      <sz val="10"/>
      <color theme="1"/>
      <name val="Arial"/>
      <family val="2"/>
    </font>
    <font>
      <b/>
      <sz val="14"/>
      <color theme="1"/>
      <name val="Aptos Narrow"/>
      <family val="2"/>
      <scheme val="minor"/>
    </font>
  </fonts>
  <fills count="7">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3" tint="0.89999084444715716"/>
        <bgColor indexed="64"/>
      </patternFill>
    </fill>
    <fill>
      <patternFill patternType="solid">
        <fgColor theme="8"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s>
  <cellStyleXfs count="1">
    <xf numFmtId="0" fontId="0" fillId="0" borderId="0"/>
  </cellStyleXfs>
  <cellXfs count="73">
    <xf numFmtId="0" fontId="0" fillId="0" borderId="0" xfId="0"/>
    <xf numFmtId="0" fontId="0" fillId="0" borderId="0" xfId="0" applyAlignment="1">
      <alignment wrapText="1"/>
    </xf>
    <xf numFmtId="0" fontId="0" fillId="3" borderId="1" xfId="0" applyFill="1" applyBorder="1" applyAlignment="1">
      <alignment horizontal="center" vertical="center" wrapText="1"/>
    </xf>
    <xf numFmtId="14" fontId="0" fillId="0" borderId="0" xfId="0" applyNumberFormat="1" applyAlignment="1">
      <alignment wrapText="1"/>
    </xf>
    <xf numFmtId="0" fontId="0" fillId="2" borderId="1" xfId="0" applyFill="1" applyBorder="1" applyAlignment="1">
      <alignment horizontal="left" vertical="center" wrapText="1"/>
    </xf>
    <xf numFmtId="0" fontId="0" fillId="2" borderId="1" xfId="0" applyFill="1" applyBorder="1" applyAlignment="1">
      <alignment horizontal="center" vertical="center" wrapText="1"/>
    </xf>
    <xf numFmtId="0" fontId="0" fillId="0" borderId="0" xfId="0" applyAlignment="1">
      <alignment horizontal="center" vertical="center" wrapText="1"/>
    </xf>
    <xf numFmtId="0" fontId="0" fillId="2" borderId="0" xfId="0" applyFill="1" applyAlignment="1">
      <alignment horizontal="center" vertical="center" wrapText="1"/>
    </xf>
    <xf numFmtId="49" fontId="0" fillId="2" borderId="1" xfId="0" applyNumberFormat="1" applyFill="1" applyBorder="1" applyAlignment="1">
      <alignment horizontal="left" vertical="center" wrapText="1"/>
    </xf>
    <xf numFmtId="0" fontId="0" fillId="0" borderId="0" xfId="0" applyAlignment="1">
      <alignment horizontal="left" vertical="center" wrapText="1"/>
    </xf>
    <xf numFmtId="0" fontId="0" fillId="0" borderId="1" xfId="0" applyFont="1" applyFill="1" applyBorder="1" applyAlignment="1">
      <alignment horizontal="left" vertical="center" wrapText="1"/>
    </xf>
    <xf numFmtId="0" fontId="0" fillId="0" borderId="1" xfId="0" applyFill="1" applyBorder="1" applyAlignment="1">
      <alignment horizontal="center" vertical="center" wrapText="1"/>
    </xf>
    <xf numFmtId="0" fontId="0" fillId="0" borderId="1" xfId="0" applyFill="1" applyBorder="1" applyAlignment="1">
      <alignment horizontal="left" vertical="center" wrapText="1"/>
    </xf>
    <xf numFmtId="49" fontId="0" fillId="0" borderId="1" xfId="0" applyNumberFormat="1" applyFill="1" applyBorder="1" applyAlignment="1">
      <alignment horizontal="left" vertical="center" wrapText="1"/>
    </xf>
    <xf numFmtId="0" fontId="0" fillId="0" borderId="0" xfId="0" applyFill="1" applyAlignment="1">
      <alignment horizontal="center" vertical="center" wrapText="1"/>
    </xf>
    <xf numFmtId="0" fontId="0" fillId="0" borderId="0" xfId="0" applyFill="1"/>
    <xf numFmtId="0" fontId="2" fillId="0" borderId="0" xfId="0" applyFont="1"/>
    <xf numFmtId="0" fontId="1" fillId="0" borderId="1" xfId="0" applyFont="1" applyFill="1" applyBorder="1" applyAlignment="1">
      <alignment horizontal="center" vertical="center" wrapText="1"/>
    </xf>
    <xf numFmtId="0" fontId="1" fillId="0" borderId="1" xfId="0" applyFont="1" applyFill="1" applyBorder="1" applyAlignment="1">
      <alignment horizontal="left" vertical="center" wrapText="1"/>
    </xf>
    <xf numFmtId="49" fontId="1" fillId="0" borderId="1" xfId="0" applyNumberFormat="1" applyFont="1" applyFill="1" applyBorder="1" applyAlignment="1">
      <alignment horizontal="left" vertical="center" wrapText="1"/>
    </xf>
    <xf numFmtId="0" fontId="1" fillId="0" borderId="0" xfId="0" applyFont="1" applyFill="1" applyAlignment="1">
      <alignment horizontal="center" vertical="center" wrapText="1"/>
    </xf>
    <xf numFmtId="0" fontId="1" fillId="0" borderId="0" xfId="0" applyFont="1" applyFill="1"/>
    <xf numFmtId="0" fontId="0" fillId="0" borderId="1" xfId="0" applyFont="1" applyFill="1" applyBorder="1" applyAlignment="1">
      <alignment horizontal="center" vertical="center" wrapText="1"/>
    </xf>
    <xf numFmtId="49" fontId="0" fillId="0" borderId="1" xfId="0" applyNumberFormat="1" applyFont="1" applyFill="1" applyBorder="1" applyAlignment="1">
      <alignment horizontal="left" vertical="center" wrapText="1"/>
    </xf>
    <xf numFmtId="0" fontId="0" fillId="0" borderId="0" xfId="0" applyFont="1" applyFill="1" applyAlignment="1">
      <alignment horizontal="center" vertical="center" wrapText="1"/>
    </xf>
    <xf numFmtId="0" fontId="0" fillId="0" borderId="0" xfId="0" applyFont="1" applyFill="1"/>
    <xf numFmtId="2" fontId="1" fillId="0" borderId="1" xfId="0" applyNumberFormat="1" applyFont="1" applyFill="1" applyBorder="1" applyAlignment="1">
      <alignment horizontal="center" vertical="center" wrapText="1"/>
    </xf>
    <xf numFmtId="0" fontId="0" fillId="0" borderId="0" xfId="0" applyAlignment="1">
      <alignment horizontal="center"/>
    </xf>
    <xf numFmtId="164" fontId="0" fillId="0" borderId="0" xfId="0" applyNumberFormat="1" applyAlignment="1">
      <alignment horizontal="center"/>
    </xf>
    <xf numFmtId="164" fontId="2" fillId="0" borderId="0" xfId="0" applyNumberFormat="1" applyFont="1" applyAlignment="1">
      <alignment horizontal="center"/>
    </xf>
    <xf numFmtId="0" fontId="0" fillId="0" borderId="1" xfId="0" applyNumberFormat="1" applyFill="1" applyBorder="1" applyAlignment="1">
      <alignment horizontal="left" vertical="center" wrapText="1"/>
    </xf>
    <xf numFmtId="0" fontId="1" fillId="0" borderId="1" xfId="0" applyNumberFormat="1" applyFont="1" applyFill="1" applyBorder="1" applyAlignment="1">
      <alignment horizontal="left" vertical="center" wrapText="1"/>
    </xf>
    <xf numFmtId="0" fontId="0" fillId="0" borderId="1" xfId="0" applyNumberFormat="1" applyFont="1" applyFill="1" applyBorder="1" applyAlignment="1">
      <alignment horizontal="left" vertical="center" wrapText="1"/>
    </xf>
    <xf numFmtId="0" fontId="5" fillId="4" borderId="2" xfId="0" applyFont="1" applyFill="1" applyBorder="1" applyAlignment="1">
      <alignment horizontal="center"/>
    </xf>
    <xf numFmtId="0" fontId="0" fillId="4" borderId="2" xfId="0" applyFill="1" applyBorder="1" applyAlignment="1">
      <alignment horizontal="center"/>
    </xf>
    <xf numFmtId="0" fontId="6" fillId="0" borderId="1" xfId="0" applyFont="1" applyBorder="1" applyAlignment="1">
      <alignment horizontal="center"/>
    </xf>
    <xf numFmtId="0" fontId="5" fillId="0" borderId="1" xfId="0" applyFont="1" applyBorder="1" applyAlignment="1">
      <alignment horizontal="center"/>
    </xf>
    <xf numFmtId="0" fontId="7" fillId="0" borderId="1" xfId="0" applyFont="1" applyBorder="1" applyAlignment="1">
      <alignment horizontal="left"/>
    </xf>
    <xf numFmtId="164" fontId="7" fillId="0" borderId="1" xfId="0" applyNumberFormat="1" applyFont="1" applyBorder="1" applyAlignment="1">
      <alignment horizontal="center"/>
    </xf>
    <xf numFmtId="0" fontId="7" fillId="0" borderId="1" xfId="0" applyFont="1" applyBorder="1"/>
    <xf numFmtId="0" fontId="7" fillId="0" borderId="1" xfId="0" applyFont="1" applyBorder="1" applyAlignment="1">
      <alignment horizontal="center"/>
    </xf>
    <xf numFmtId="4" fontId="7" fillId="0" borderId="1" xfId="0" applyNumberFormat="1" applyFont="1" applyBorder="1"/>
    <xf numFmtId="165" fontId="7" fillId="0" borderId="1" xfId="0" applyNumberFormat="1" applyFont="1" applyBorder="1" applyAlignment="1">
      <alignment horizontal="center"/>
    </xf>
    <xf numFmtId="0" fontId="8" fillId="4" borderId="0" xfId="0" applyFont="1" applyFill="1" applyAlignment="1">
      <alignment horizontal="center"/>
    </xf>
    <xf numFmtId="0" fontId="2" fillId="4" borderId="0" xfId="0" applyFont="1" applyFill="1" applyAlignment="1">
      <alignment horizontal="center"/>
    </xf>
    <xf numFmtId="0" fontId="2" fillId="0" borderId="0" xfId="0" applyFont="1" applyAlignment="1">
      <alignment horizontal="center"/>
    </xf>
    <xf numFmtId="0" fontId="2" fillId="5" borderId="3" xfId="0" applyFont="1" applyFill="1" applyBorder="1"/>
    <xf numFmtId="0" fontId="0" fillId="6" borderId="4" xfId="0" applyFill="1" applyBorder="1"/>
    <xf numFmtId="164" fontId="0" fillId="0" borderId="1" xfId="0" applyNumberFormat="1" applyBorder="1" applyAlignment="1">
      <alignment horizontal="center"/>
    </xf>
    <xf numFmtId="0" fontId="0" fillId="6" borderId="1" xfId="0" applyFill="1" applyBorder="1"/>
    <xf numFmtId="164" fontId="0" fillId="0" borderId="1" xfId="0" applyNumberForma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xf>
    <xf numFmtId="164" fontId="0" fillId="3" borderId="1" xfId="0" applyNumberFormat="1" applyFill="1" applyBorder="1" applyAlignment="1">
      <alignment horizontal="center" vertical="center" wrapText="1"/>
    </xf>
    <xf numFmtId="164" fontId="1" fillId="0" borderId="1" xfId="0" applyNumberFormat="1" applyFont="1" applyFill="1" applyBorder="1" applyAlignment="1">
      <alignment horizontal="left" vertical="center" wrapText="1"/>
    </xf>
    <xf numFmtId="164" fontId="0" fillId="0" borderId="0" xfId="0" applyNumberFormat="1" applyAlignment="1">
      <alignment horizontal="left" vertical="center" wrapText="1"/>
    </xf>
    <xf numFmtId="164" fontId="0" fillId="0" borderId="1" xfId="0" applyNumberFormat="1" applyFill="1" applyBorder="1" applyAlignment="1">
      <alignment horizontal="center" vertical="center" wrapText="1"/>
    </xf>
    <xf numFmtId="164" fontId="0" fillId="0" borderId="0" xfId="0" applyNumberFormat="1" applyAlignment="1">
      <alignment horizontal="center" vertical="center" wrapText="1"/>
    </xf>
    <xf numFmtId="164" fontId="1" fillId="0" borderId="1" xfId="0" applyNumberFormat="1" applyFont="1" applyFill="1" applyBorder="1" applyAlignment="1">
      <alignment horizontal="center" vertical="center" wrapText="1"/>
    </xf>
    <xf numFmtId="164" fontId="0" fillId="0" borderId="1" xfId="0" applyNumberFormat="1" applyFont="1" applyFill="1" applyBorder="1" applyAlignment="1">
      <alignment horizontal="center" vertical="center" wrapText="1"/>
    </xf>
    <xf numFmtId="164" fontId="0" fillId="0" borderId="1" xfId="0" applyNumberFormat="1" applyFill="1" applyBorder="1" applyAlignment="1">
      <alignment horizontal="left" vertical="center"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left" vertical="center" wrapText="1"/>
    </xf>
    <xf numFmtId="49" fontId="1" fillId="2" borderId="1" xfId="0" applyNumberFormat="1" applyFont="1" applyFill="1" applyBorder="1" applyAlignment="1">
      <alignment horizontal="left" vertical="center" wrapText="1"/>
    </xf>
    <xf numFmtId="164" fontId="1" fillId="2" borderId="1" xfId="0" applyNumberFormat="1" applyFont="1" applyFill="1" applyBorder="1" applyAlignment="1">
      <alignment horizontal="center" vertical="center" wrapText="1"/>
    </xf>
    <xf numFmtId="0" fontId="1" fillId="2" borderId="1" xfId="0" applyNumberFormat="1" applyFont="1" applyFill="1" applyBorder="1" applyAlignment="1">
      <alignment horizontal="left" vertical="center" wrapText="1"/>
    </xf>
    <xf numFmtId="0" fontId="1" fillId="2" borderId="0" xfId="0" applyFont="1" applyFill="1" applyAlignment="1">
      <alignment horizontal="center" vertical="center" wrapText="1"/>
    </xf>
    <xf numFmtId="0" fontId="1" fillId="2" borderId="0" xfId="0" applyFont="1" applyFill="1"/>
    <xf numFmtId="164" fontId="0" fillId="2" borderId="1" xfId="0" applyNumberFormat="1" applyFill="1" applyBorder="1" applyAlignment="1">
      <alignment horizontal="left" vertical="center" wrapText="1"/>
    </xf>
    <xf numFmtId="164" fontId="0" fillId="2" borderId="1" xfId="0" applyNumberFormat="1" applyFill="1" applyBorder="1" applyAlignment="1">
      <alignment horizontal="center" vertical="center" wrapText="1"/>
    </xf>
    <xf numFmtId="0" fontId="0" fillId="2" borderId="1" xfId="0" applyNumberFormat="1" applyFill="1" applyBorder="1" applyAlignment="1">
      <alignment horizontal="left" vertical="center" wrapText="1"/>
    </xf>
    <xf numFmtId="0" fontId="0" fillId="2" borderId="0" xfId="0" applyFill="1"/>
    <xf numFmtId="164" fontId="1" fillId="2" borderId="1" xfId="0" applyNumberFormat="1"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260BE0A-483F-42AE-9EFD-A17759F72DFF}">
  <we:reference id="wa200009404" version="1.0.0.8" store="en-US" storeType="OMEX"/>
  <we:alternateReferences>
    <we:reference id="WA200009404" version="1.0.0.8" store="WA200009404" storeType="OMEX"/>
  </we:alternateReferences>
  <we:properties>
    <we:property name="claude.fileId" value="&quot;03c1e996-3c66-4978-b751-46c552c5a985&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224"/>
  <sheetViews>
    <sheetView tabSelected="1" topLeftCell="B1" zoomScale="70" zoomScaleNormal="70" workbookViewId="0">
      <pane ySplit="1" topLeftCell="A2" activePane="bottomLeft" state="frozen"/>
      <selection pane="bottomLeft" activeCell="L1" sqref="L1:L1048576"/>
    </sheetView>
  </sheetViews>
  <sheetFormatPr defaultRowHeight="27.6" customHeight="1" x14ac:dyDescent="0.3"/>
  <cols>
    <col min="1" max="1" width="10.6640625" style="6" customWidth="1"/>
    <col min="2" max="2" width="62.44140625" style="9" bestFit="1" customWidth="1"/>
    <col min="3" max="3" width="13.21875" style="9" customWidth="1"/>
    <col min="4" max="4" width="19.33203125" style="9" customWidth="1"/>
    <col min="5" max="5" width="18.6640625" style="9" customWidth="1"/>
    <col min="6" max="6" width="14.44140625" style="9" customWidth="1"/>
    <col min="7" max="11" width="19.88671875" style="9" customWidth="1"/>
    <col min="12" max="12" width="26.77734375" style="55" bestFit="1" customWidth="1"/>
    <col min="13" max="13" width="11.33203125" style="6" bestFit="1" customWidth="1"/>
    <col min="14" max="14" width="96.21875" style="9" customWidth="1"/>
    <col min="15" max="23" width="12.88671875" style="57" customWidth="1"/>
    <col min="24" max="24" width="85" style="6" customWidth="1"/>
    <col min="25" max="25" width="16.33203125" style="57" customWidth="1"/>
    <col min="26" max="33" width="12.44140625" style="57" customWidth="1"/>
    <col min="34" max="36" width="12.33203125" style="6" customWidth="1"/>
    <col min="37" max="37" width="66.5546875" style="6" customWidth="1"/>
    <col min="38" max="38" width="181.6640625" style="9" customWidth="1"/>
    <col min="39" max="39" width="164.109375" style="9" customWidth="1"/>
    <col min="40" max="43" width="22.21875" style="9" customWidth="1"/>
    <col min="44" max="44" width="108.109375" style="9" customWidth="1"/>
    <col min="45" max="45" width="52.77734375" style="9" customWidth="1"/>
    <col min="46" max="16384" width="8.88671875" style="6"/>
  </cols>
  <sheetData>
    <row r="1" spans="1:55" ht="27.6" customHeight="1" x14ac:dyDescent="0.3">
      <c r="A1" s="2" t="s">
        <v>0</v>
      </c>
      <c r="B1" s="2" t="s">
        <v>334</v>
      </c>
      <c r="C1" s="2" t="s">
        <v>3</v>
      </c>
      <c r="D1" s="2" t="s">
        <v>1</v>
      </c>
      <c r="E1" s="2" t="s">
        <v>2</v>
      </c>
      <c r="F1" s="2" t="s">
        <v>7</v>
      </c>
      <c r="G1" s="2" t="s">
        <v>4</v>
      </c>
      <c r="H1" s="2" t="s">
        <v>671</v>
      </c>
      <c r="I1" s="2" t="s">
        <v>5</v>
      </c>
      <c r="J1" s="2" t="s">
        <v>6</v>
      </c>
      <c r="K1" s="2" t="s">
        <v>1663</v>
      </c>
      <c r="L1" s="53" t="s">
        <v>1664</v>
      </c>
      <c r="M1" s="2" t="s">
        <v>564</v>
      </c>
      <c r="N1" s="2" t="s">
        <v>566</v>
      </c>
      <c r="O1" s="53" t="s">
        <v>555</v>
      </c>
      <c r="P1" s="53" t="s">
        <v>556</v>
      </c>
      <c r="Q1" s="53" t="s">
        <v>557</v>
      </c>
      <c r="R1" s="53" t="s">
        <v>558</v>
      </c>
      <c r="S1" s="53" t="s">
        <v>559</v>
      </c>
      <c r="T1" s="53" t="s">
        <v>560</v>
      </c>
      <c r="U1" s="53" t="s">
        <v>561</v>
      </c>
      <c r="V1" s="53" t="s">
        <v>562</v>
      </c>
      <c r="W1" s="53" t="s">
        <v>563</v>
      </c>
      <c r="X1" s="2" t="s">
        <v>565</v>
      </c>
      <c r="Y1" s="53" t="s">
        <v>555</v>
      </c>
      <c r="Z1" s="53" t="s">
        <v>556</v>
      </c>
      <c r="AA1" s="53" t="s">
        <v>557</v>
      </c>
      <c r="AB1" s="53" t="s">
        <v>558</v>
      </c>
      <c r="AC1" s="53" t="s">
        <v>559</v>
      </c>
      <c r="AD1" s="53" t="s">
        <v>560</v>
      </c>
      <c r="AE1" s="53" t="s">
        <v>561</v>
      </c>
      <c r="AF1" s="53" t="s">
        <v>562</v>
      </c>
      <c r="AG1" s="53" t="s">
        <v>563</v>
      </c>
      <c r="AH1" s="2" t="s">
        <v>8</v>
      </c>
      <c r="AI1" s="2" t="s">
        <v>9</v>
      </c>
      <c r="AJ1" s="2" t="s">
        <v>10</v>
      </c>
      <c r="AK1" s="2" t="s">
        <v>11</v>
      </c>
      <c r="AL1" s="2" t="s">
        <v>584</v>
      </c>
      <c r="AM1" s="2" t="s">
        <v>585</v>
      </c>
      <c r="AN1" s="2" t="s">
        <v>595</v>
      </c>
      <c r="AO1" s="2" t="s">
        <v>596</v>
      </c>
      <c r="AP1" s="2" t="s">
        <v>597</v>
      </c>
      <c r="AQ1" s="2" t="s">
        <v>598</v>
      </c>
      <c r="AR1" s="2" t="s">
        <v>603</v>
      </c>
      <c r="AS1" s="2" t="s">
        <v>604</v>
      </c>
    </row>
    <row r="2" spans="1:55" s="14" customFormat="1" ht="27.6" customHeight="1" x14ac:dyDescent="0.3">
      <c r="A2" s="11">
        <v>337</v>
      </c>
      <c r="B2" s="12" t="s">
        <v>335</v>
      </c>
      <c r="C2" s="12" t="s">
        <v>13</v>
      </c>
      <c r="D2" s="12" t="s">
        <v>12</v>
      </c>
      <c r="E2" s="13" t="s">
        <v>12</v>
      </c>
      <c r="F2" s="12" t="s">
        <v>15</v>
      </c>
      <c r="G2" s="12" t="s">
        <v>14</v>
      </c>
      <c r="H2" s="12" t="s">
        <v>672</v>
      </c>
      <c r="I2" s="12"/>
      <c r="J2" s="10" t="s">
        <v>1541</v>
      </c>
      <c r="K2" s="12" t="s">
        <v>1665</v>
      </c>
      <c r="L2" s="60">
        <v>0.48</v>
      </c>
      <c r="M2" s="11">
        <v>16.989999999999998</v>
      </c>
      <c r="N2" s="12" t="s">
        <v>16</v>
      </c>
      <c r="O2" s="56">
        <f t="shared" ref="O2:W11" si="0">IFERROR(VALUE(_xlfn.TEXTBEFORE(_xlfn.TEXTAFTER(";"&amp;$N2,";"&amp;SUBSTITUTE(O$1,"Qty ","")&amp;":"),";")),"")</f>
        <v>16.23</v>
      </c>
      <c r="P2" s="56">
        <f t="shared" si="0"/>
        <v>14.81</v>
      </c>
      <c r="Q2" s="56">
        <f t="shared" si="0"/>
        <v>9.76</v>
      </c>
      <c r="R2" s="56">
        <f t="shared" si="0"/>
        <v>8.1</v>
      </c>
      <c r="S2" s="56">
        <f t="shared" si="0"/>
        <v>6.77</v>
      </c>
      <c r="T2" s="56">
        <f t="shared" si="0"/>
        <v>5.62</v>
      </c>
      <c r="U2" s="56">
        <f t="shared" si="0"/>
        <v>4.82</v>
      </c>
      <c r="V2" s="56">
        <f t="shared" si="0"/>
        <v>4.71</v>
      </c>
      <c r="W2" s="56">
        <f t="shared" si="0"/>
        <v>4.32</v>
      </c>
      <c r="X2" s="30" t="str" cm="1">
        <f t="array" ref="X2">IF(Y2="","",_xlfn.TEXTJOIN(";",TRUE,SUBSTITUTE($Y$1:$AG$1,"Qty ","")&amp;":"&amp;TEXT(Y2:AG2,"0.00"))&amp;";")</f>
        <v>1:21.45;10:19.21;25:13.33;50:11.07;100:9.50;250:8.00;500:7.19;750:7.02;1000:6.57;</v>
      </c>
      <c r="Y2" s="56">
        <f>'Blocking Prices'!$C$15+O2</f>
        <v>21.45</v>
      </c>
      <c r="Z2" s="56">
        <f>'Blocking Prices'!$D$15+P2</f>
        <v>19.21</v>
      </c>
      <c r="AA2" s="56">
        <f>'Blocking Prices'!$E$15+Q2</f>
        <v>13.33</v>
      </c>
      <c r="AB2" s="56">
        <f>'Blocking Prices'!$F$15+R2</f>
        <v>11.07</v>
      </c>
      <c r="AC2" s="56">
        <f>'Blocking Prices'!$G$15+S2</f>
        <v>9.5</v>
      </c>
      <c r="AD2" s="56">
        <f>'Blocking Prices'!$H$15+T2</f>
        <v>8</v>
      </c>
      <c r="AE2" s="56">
        <f>'Blocking Prices'!$I$15+U2</f>
        <v>7.19</v>
      </c>
      <c r="AF2" s="56">
        <f>'Blocking Prices'!$J$15+V2</f>
        <v>7.02</v>
      </c>
      <c r="AG2" s="56">
        <f>'Blocking Prices'!$K$15+W2</f>
        <v>6.57</v>
      </c>
      <c r="AH2" s="11"/>
      <c r="AI2" s="11"/>
      <c r="AJ2" s="11"/>
      <c r="AK2" s="11"/>
      <c r="AL2" s="12" t="s">
        <v>663</v>
      </c>
      <c r="AM2" s="12" t="s">
        <v>664</v>
      </c>
      <c r="AN2" s="12" t="str">
        <f>IFERROR(_xlfn.LET(_xlpm.v,INDEX('product-export-27-8-2026'!$A:$AJ,MATCH($A2,'product-export-27-8-2026'!$A:$A,0),MATCH(AN$1,'product-export-27-8-2026'!$1:$1,0)),IF(_xlpm.v="","",_xlpm.v)),"")</f>
        <v/>
      </c>
      <c r="AO2" s="12" t="str">
        <f>IFERROR(_xlfn.LET(_xlpm.v,INDEX('product-export-27-8-2026'!$A:$AJ,MATCH($A2,'product-export-27-8-2026'!$A:$A,0),MATCH(AO$1,'product-export-27-8-2026'!$1:$1,0)),IF(_xlpm.v="","",_xlpm.v)),"")</f>
        <v/>
      </c>
      <c r="AP2" s="12" t="str">
        <f>IFERROR(_xlfn.LET(_xlpm.v,INDEX('product-export-27-8-2026'!$A:$AJ,MATCH($A2,'product-export-27-8-2026'!$A:$A,0),MATCH(AP$1,'product-export-27-8-2026'!$1:$1,0)),IF(_xlpm.v="","",_xlpm.v)),"")</f>
        <v/>
      </c>
      <c r="AQ2" s="12" t="str">
        <f>IFERROR(_xlfn.LET(_xlpm.v,INDEX('product-export-27-8-2026'!$A:$AJ,MATCH($A2,'product-export-27-8-2026'!$A:$A,0),MATCH(AQ$1,'product-export-27-8-2026'!$1:$1,0)),IF(_xlpm.v="","",_xlpm.v)),"")</f>
        <v/>
      </c>
      <c r="AR2" s="12" t="str">
        <f>IFERROR(_xlfn.LET(_xlpm.v,INDEX('product-export-27-8-2026'!$A:$AJ,MATCH($A2,'product-export-27-8-2026'!$A:$A,0),MATCH(AR$1,'product-export-27-8-2026'!$1:$1,0)),IF(_xlpm.v="","",_xlpm.v)),"")</f>
        <v>Notebooks &gt; A5 Notebooks, Chelsea Collection, Foil blocked, Notebooks, Notebooks &gt; Real Leather Notebooks</v>
      </c>
      <c r="AS2" s="12" t="str">
        <f>IFERROR(_xlfn.LET(_xlpm.v,INDEX('product-export-27-8-2026'!$A:$AJ,MATCH($A2,'product-export-27-8-2026'!$A:$A,0),MATCH(AS$1,'product-export-27-8-2026'!$1:$1,0)),IF(_xlpm.v="","",_xlpm.v)),"")</f>
        <v>Chelsea-Leather-A5-Notebook-Feint-Ruled</v>
      </c>
      <c r="BC2" s="15"/>
    </row>
    <row r="3" spans="1:55" s="14" customFormat="1" ht="27.6" customHeight="1" x14ac:dyDescent="0.3">
      <c r="A3" s="11">
        <v>600</v>
      </c>
      <c r="B3" s="12" t="s">
        <v>336</v>
      </c>
      <c r="C3" s="12" t="s">
        <v>18</v>
      </c>
      <c r="D3" s="12" t="s">
        <v>17</v>
      </c>
      <c r="E3" s="13" t="s">
        <v>17</v>
      </c>
      <c r="F3" s="12" t="s">
        <v>21</v>
      </c>
      <c r="G3" s="12" t="s">
        <v>19</v>
      </c>
      <c r="H3" s="12" t="s">
        <v>1575</v>
      </c>
      <c r="I3" s="12" t="s">
        <v>20</v>
      </c>
      <c r="J3" s="12" t="s">
        <v>87</v>
      </c>
      <c r="K3" s="12" t="s">
        <v>1666</v>
      </c>
      <c r="L3" s="60">
        <v>0.42</v>
      </c>
      <c r="M3" s="11">
        <v>9.99</v>
      </c>
      <c r="N3" s="12" t="s">
        <v>22</v>
      </c>
      <c r="O3" s="56">
        <f t="shared" si="0"/>
        <v>9.74</v>
      </c>
      <c r="P3" s="56">
        <f t="shared" si="0"/>
        <v>9.33</v>
      </c>
      <c r="Q3" s="56">
        <f t="shared" si="0"/>
        <v>5.3</v>
      </c>
      <c r="R3" s="56">
        <f t="shared" si="0"/>
        <v>3.77</v>
      </c>
      <c r="S3" s="56">
        <f t="shared" si="0"/>
        <v>3.28</v>
      </c>
      <c r="T3" s="56">
        <f t="shared" si="0"/>
        <v>3.07</v>
      </c>
      <c r="U3" s="56">
        <f t="shared" si="0"/>
        <v>2.95</v>
      </c>
      <c r="V3" s="56">
        <f t="shared" si="0"/>
        <v>2.77</v>
      </c>
      <c r="W3" s="56">
        <f t="shared" si="0"/>
        <v>2.63</v>
      </c>
      <c r="X3" s="30" t="str" cm="1">
        <f t="array" ref="X3">IF(Y3="","",_xlfn.TEXTJOIN(";",TRUE,SUBSTITUTE($Y$1:$AG$1,"Qty ","")&amp;":"&amp;TEXT(Y3:AG3,"0.00"))&amp;";")</f>
        <v>1:13.16;10:11.96;25:7.13;50:5.27;100:4.66;250:4.33;500:4.15;750:3.94;1000:3.77;</v>
      </c>
      <c r="Y3" s="56">
        <f>'Blocking Prices'!$C$14+O3</f>
        <v>13.16</v>
      </c>
      <c r="Z3" s="56">
        <f>'Blocking Prices'!$D$14+P3</f>
        <v>11.96</v>
      </c>
      <c r="AA3" s="56">
        <f>'Blocking Prices'!$E$14+Q3</f>
        <v>7.13</v>
      </c>
      <c r="AB3" s="56">
        <f>'Blocking Prices'!$F$14+R3</f>
        <v>5.27</v>
      </c>
      <c r="AC3" s="56">
        <f>'Blocking Prices'!$G$14+S3</f>
        <v>4.66</v>
      </c>
      <c r="AD3" s="56">
        <f>'Blocking Prices'!$H$14+T3</f>
        <v>4.33</v>
      </c>
      <c r="AE3" s="56">
        <f>'Blocking Prices'!$I$14+U3</f>
        <v>4.1500000000000004</v>
      </c>
      <c r="AF3" s="56">
        <f>'Blocking Prices'!$J$14+V3</f>
        <v>3.94</v>
      </c>
      <c r="AG3" s="56">
        <f>'Blocking Prices'!$K$14+W3</f>
        <v>3.7699999999999996</v>
      </c>
      <c r="AH3" s="11"/>
      <c r="AI3" s="11"/>
      <c r="AJ3" s="11"/>
      <c r="AK3" s="11"/>
      <c r="AL3" s="12" t="s">
        <v>680</v>
      </c>
      <c r="AM3" s="12" t="s">
        <v>576</v>
      </c>
      <c r="AN3" s="12" t="str">
        <f>IFERROR(_xlfn.LET(_xlpm.v,INDEX('product-export-27-8-2026'!$A:$AJ,MATCH($A3,'product-export-27-8-2026'!$A:$A,0),MATCH(AN$1,'product-export-27-8-2026'!$1:$1,0)),IF(_xlpm.v="","",_xlpm.v)),"")</f>
        <v/>
      </c>
      <c r="AO3" s="12" t="str">
        <f>IFERROR(_xlfn.LET(_xlpm.v,INDEX('product-export-27-8-2026'!$A:$AJ,MATCH($A3,'product-export-27-8-2026'!$A:$A,0),MATCH(AO$1,'product-export-27-8-2026'!$1:$1,0)),IF(_xlpm.v="","",_xlpm.v)),"")</f>
        <v/>
      </c>
      <c r="AP3" s="12" t="str">
        <f>IFERROR(_xlfn.LET(_xlpm.v,INDEX('product-export-27-8-2026'!$A:$AJ,MATCH($A3,'product-export-27-8-2026'!$A:$A,0),MATCH(AP$1,'product-export-27-8-2026'!$1:$1,0)),IF(_xlpm.v="","",_xlpm.v)),"")</f>
        <v/>
      </c>
      <c r="AQ3" s="12" t="str">
        <f>IFERROR(_xlfn.LET(_xlpm.v,INDEX('product-export-27-8-2026'!$A:$AJ,MATCH($A3,'product-export-27-8-2026'!$A:$A,0),MATCH(AQ$1,'product-export-27-8-2026'!$1:$1,0)),IF(_xlpm.v="","",_xlpm.v)),"")</f>
        <v/>
      </c>
      <c r="AR3" s="12" t="str">
        <f>IFERROR(_xlfn.LET(_xlpm.v,INDEX('product-export-27-8-2026'!$A:$AJ,MATCH($A3,'product-export-27-8-2026'!$A:$A,0),MATCH(AR$1,'product-export-27-8-2026'!$1:$1,0)),IF(_xlpm.v="","",_xlpm.v)),"")</f>
        <v>Diaries, Dorchester Collection, Diaries &gt; Pocket Diaries</v>
      </c>
      <c r="AS3" s="12" t="str">
        <f>IFERROR(_xlfn.LET(_xlpm.v,INDEX('product-export-27-8-2026'!$A:$AJ,MATCH($A3,'product-export-27-8-2026'!$A:$A,0),MATCH(AS$1,'product-export-27-8-2026'!$1:$1,0)),IF(_xlpm.v="","",_xlpm.v)),"")</f>
        <v>Dorchester-Horizon-Pocket-Week-to-View</v>
      </c>
      <c r="BC3" s="15"/>
    </row>
    <row r="4" spans="1:55" s="14" customFormat="1" ht="27.6" customHeight="1" x14ac:dyDescent="0.3">
      <c r="A4" s="11">
        <v>604</v>
      </c>
      <c r="B4" s="12" t="s">
        <v>337</v>
      </c>
      <c r="C4" s="12" t="s">
        <v>18</v>
      </c>
      <c r="D4" s="12" t="s">
        <v>23</v>
      </c>
      <c r="E4" s="13" t="s">
        <v>23</v>
      </c>
      <c r="F4" s="12" t="s">
        <v>21</v>
      </c>
      <c r="G4" s="12" t="s">
        <v>19</v>
      </c>
      <c r="H4" s="12" t="s">
        <v>1576</v>
      </c>
      <c r="I4" s="12" t="s">
        <v>20</v>
      </c>
      <c r="J4" s="12" t="s">
        <v>87</v>
      </c>
      <c r="K4" s="12" t="s">
        <v>1666</v>
      </c>
      <c r="L4" s="60">
        <v>0.42</v>
      </c>
      <c r="M4" s="11">
        <v>9.99</v>
      </c>
      <c r="N4" s="12" t="s">
        <v>22</v>
      </c>
      <c r="O4" s="56">
        <f t="shared" si="0"/>
        <v>9.74</v>
      </c>
      <c r="P4" s="56">
        <f t="shared" si="0"/>
        <v>9.33</v>
      </c>
      <c r="Q4" s="56">
        <f t="shared" si="0"/>
        <v>5.3</v>
      </c>
      <c r="R4" s="56">
        <f t="shared" si="0"/>
        <v>3.77</v>
      </c>
      <c r="S4" s="56">
        <f t="shared" si="0"/>
        <v>3.28</v>
      </c>
      <c r="T4" s="56">
        <f t="shared" si="0"/>
        <v>3.07</v>
      </c>
      <c r="U4" s="56">
        <f t="shared" si="0"/>
        <v>2.95</v>
      </c>
      <c r="V4" s="56">
        <f t="shared" si="0"/>
        <v>2.77</v>
      </c>
      <c r="W4" s="56">
        <f t="shared" si="0"/>
        <v>2.63</v>
      </c>
      <c r="X4" s="30" t="str" cm="1">
        <f t="array" ref="X4">IF(Y4="","",_xlfn.TEXTJOIN(";",TRUE,SUBSTITUTE($Y$1:$AG$1,"Qty ","")&amp;":"&amp;TEXT(Y4:AG4,"0.00"))&amp;";")</f>
        <v>1:13.16;10:11.96;25:7.13;50:5.27;100:4.66;250:4.33;500:4.15;750:3.94;1000:3.77;</v>
      </c>
      <c r="Y4" s="56">
        <f>'Blocking Prices'!$C$14+O4</f>
        <v>13.16</v>
      </c>
      <c r="Z4" s="56">
        <f>'Blocking Prices'!$D$14+P4</f>
        <v>11.96</v>
      </c>
      <c r="AA4" s="56">
        <f>'Blocking Prices'!$E$14+Q4</f>
        <v>7.13</v>
      </c>
      <c r="AB4" s="56">
        <f>'Blocking Prices'!$F$14+R4</f>
        <v>5.27</v>
      </c>
      <c r="AC4" s="56">
        <f>'Blocking Prices'!$G$14+S4</f>
        <v>4.66</v>
      </c>
      <c r="AD4" s="56">
        <f>'Blocking Prices'!$H$14+T4</f>
        <v>4.33</v>
      </c>
      <c r="AE4" s="56">
        <f>'Blocking Prices'!$I$14+U4</f>
        <v>4.1500000000000004</v>
      </c>
      <c r="AF4" s="56">
        <f>'Blocking Prices'!$J$14+V4</f>
        <v>3.94</v>
      </c>
      <c r="AG4" s="56">
        <f>'Blocking Prices'!$K$14+W4</f>
        <v>3.7699999999999996</v>
      </c>
      <c r="AH4" s="11"/>
      <c r="AI4" s="11"/>
      <c r="AJ4" s="11"/>
      <c r="AK4" s="11"/>
      <c r="AL4" s="12" t="s">
        <v>680</v>
      </c>
      <c r="AM4" s="12" t="s">
        <v>576</v>
      </c>
      <c r="AN4" s="12" t="str">
        <f>IFERROR(_xlfn.LET(_xlpm.v,INDEX('product-export-27-8-2026'!$A:$AJ,MATCH($A4,'product-export-27-8-2026'!$A:$A,0),MATCH(AN$1,'product-export-27-8-2026'!$1:$1,0)),IF(_xlpm.v="","",_xlpm.v)),"")</f>
        <v/>
      </c>
      <c r="AO4" s="12" t="str">
        <f>IFERROR(_xlfn.LET(_xlpm.v,INDEX('product-export-27-8-2026'!$A:$AJ,MATCH($A4,'product-export-27-8-2026'!$A:$A,0),MATCH(AO$1,'product-export-27-8-2026'!$1:$1,0)),IF(_xlpm.v="","",_xlpm.v)),"")</f>
        <v/>
      </c>
      <c r="AP4" s="12" t="str">
        <f>IFERROR(_xlfn.LET(_xlpm.v,INDEX('product-export-27-8-2026'!$A:$AJ,MATCH($A4,'product-export-27-8-2026'!$A:$A,0),MATCH(AP$1,'product-export-27-8-2026'!$1:$1,0)),IF(_xlpm.v="","",_xlpm.v)),"")</f>
        <v/>
      </c>
      <c r="AQ4" s="12" t="str">
        <f>IFERROR(_xlfn.LET(_xlpm.v,INDEX('product-export-27-8-2026'!$A:$AJ,MATCH($A4,'product-export-27-8-2026'!$A:$A,0),MATCH(AQ$1,'product-export-27-8-2026'!$1:$1,0)),IF(_xlpm.v="","",_xlpm.v)),"")</f>
        <v/>
      </c>
      <c r="AR4" s="12" t="str">
        <f>IFERROR(_xlfn.LET(_xlpm.v,INDEX('product-export-27-8-2026'!$A:$AJ,MATCH($A4,'product-export-27-8-2026'!$A:$A,0),MATCH(AR$1,'product-export-27-8-2026'!$1:$1,0)),IF(_xlpm.v="","",_xlpm.v)),"")</f>
        <v>Diaries, Dorchester Collection, Diaries &gt; Pocket Diaries</v>
      </c>
      <c r="AS4" s="12" t="str">
        <f>IFERROR(_xlfn.LET(_xlpm.v,INDEX('product-export-27-8-2026'!$A:$AJ,MATCH($A4,'product-export-27-8-2026'!$A:$A,0),MATCH(AS$1,'product-export-27-8-2026'!$1:$1,0)),IF(_xlpm.v="","",_xlpm.v)),"")</f>
        <v>Dorchester-Horizon-Pocket-Week-to-View</v>
      </c>
      <c r="BC4" s="15"/>
    </row>
    <row r="5" spans="1:55" s="14" customFormat="1" ht="27.6" customHeight="1" x14ac:dyDescent="0.3">
      <c r="A5" s="11">
        <v>607</v>
      </c>
      <c r="B5" s="12" t="s">
        <v>338</v>
      </c>
      <c r="C5" s="12" t="s">
        <v>18</v>
      </c>
      <c r="D5" s="12" t="s">
        <v>24</v>
      </c>
      <c r="E5" s="13" t="s">
        <v>24</v>
      </c>
      <c r="F5" s="12" t="s">
        <v>21</v>
      </c>
      <c r="G5" s="12" t="s">
        <v>19</v>
      </c>
      <c r="H5" s="12" t="s">
        <v>1577</v>
      </c>
      <c r="I5" s="12" t="s">
        <v>20</v>
      </c>
      <c r="J5" s="12" t="s">
        <v>87</v>
      </c>
      <c r="K5" s="12" t="s">
        <v>1666</v>
      </c>
      <c r="L5" s="60">
        <v>0.42</v>
      </c>
      <c r="M5" s="11">
        <v>9.99</v>
      </c>
      <c r="N5" s="12" t="s">
        <v>22</v>
      </c>
      <c r="O5" s="56">
        <f t="shared" si="0"/>
        <v>9.74</v>
      </c>
      <c r="P5" s="56">
        <f t="shared" si="0"/>
        <v>9.33</v>
      </c>
      <c r="Q5" s="56">
        <f t="shared" si="0"/>
        <v>5.3</v>
      </c>
      <c r="R5" s="56">
        <f t="shared" si="0"/>
        <v>3.77</v>
      </c>
      <c r="S5" s="56">
        <f t="shared" si="0"/>
        <v>3.28</v>
      </c>
      <c r="T5" s="56">
        <f t="shared" si="0"/>
        <v>3.07</v>
      </c>
      <c r="U5" s="56">
        <f t="shared" si="0"/>
        <v>2.95</v>
      </c>
      <c r="V5" s="56">
        <f t="shared" si="0"/>
        <v>2.77</v>
      </c>
      <c r="W5" s="56">
        <f t="shared" si="0"/>
        <v>2.63</v>
      </c>
      <c r="X5" s="30" t="str" cm="1">
        <f t="array" ref="X5">IF(Y5="","",_xlfn.TEXTJOIN(";",TRUE,SUBSTITUTE($Y$1:$AG$1,"Qty ","")&amp;":"&amp;TEXT(Y5:AG5,"0.00"))&amp;";")</f>
        <v>1:13.16;10:11.96;25:7.13;50:5.27;100:4.66;250:4.33;500:4.15;750:3.94;1000:3.77;</v>
      </c>
      <c r="Y5" s="56">
        <f>'Blocking Prices'!$C$14+O5</f>
        <v>13.16</v>
      </c>
      <c r="Z5" s="56">
        <f>'Blocking Prices'!$D$14+P5</f>
        <v>11.96</v>
      </c>
      <c r="AA5" s="56">
        <f>'Blocking Prices'!$E$14+Q5</f>
        <v>7.13</v>
      </c>
      <c r="AB5" s="56">
        <f>'Blocking Prices'!$F$14+R5</f>
        <v>5.27</v>
      </c>
      <c r="AC5" s="56">
        <f>'Blocking Prices'!$G$14+S5</f>
        <v>4.66</v>
      </c>
      <c r="AD5" s="56">
        <f>'Blocking Prices'!$H$14+T5</f>
        <v>4.33</v>
      </c>
      <c r="AE5" s="56">
        <f>'Blocking Prices'!$I$14+U5</f>
        <v>4.1500000000000004</v>
      </c>
      <c r="AF5" s="56">
        <f>'Blocking Prices'!$J$14+V5</f>
        <v>3.94</v>
      </c>
      <c r="AG5" s="56">
        <f>'Blocking Prices'!$K$14+W5</f>
        <v>3.7699999999999996</v>
      </c>
      <c r="AH5" s="11"/>
      <c r="AI5" s="11"/>
      <c r="AJ5" s="11"/>
      <c r="AK5" s="11"/>
      <c r="AL5" s="12" t="s">
        <v>680</v>
      </c>
      <c r="AM5" s="12" t="s">
        <v>576</v>
      </c>
      <c r="AN5" s="12" t="str">
        <f>IFERROR(_xlfn.LET(_xlpm.v,INDEX('product-export-27-8-2026'!$A:$AJ,MATCH($A5,'product-export-27-8-2026'!$A:$A,0),MATCH(AN$1,'product-export-27-8-2026'!$1:$1,0)),IF(_xlpm.v="","",_xlpm.v)),"")</f>
        <v/>
      </c>
      <c r="AO5" s="12" t="str">
        <f>IFERROR(_xlfn.LET(_xlpm.v,INDEX('product-export-27-8-2026'!$A:$AJ,MATCH($A5,'product-export-27-8-2026'!$A:$A,0),MATCH(AO$1,'product-export-27-8-2026'!$1:$1,0)),IF(_xlpm.v="","",_xlpm.v)),"")</f>
        <v/>
      </c>
      <c r="AP5" s="12" t="str">
        <f>IFERROR(_xlfn.LET(_xlpm.v,INDEX('product-export-27-8-2026'!$A:$AJ,MATCH($A5,'product-export-27-8-2026'!$A:$A,0),MATCH(AP$1,'product-export-27-8-2026'!$1:$1,0)),IF(_xlpm.v="","",_xlpm.v)),"")</f>
        <v/>
      </c>
      <c r="AQ5" s="12" t="str">
        <f>IFERROR(_xlfn.LET(_xlpm.v,INDEX('product-export-27-8-2026'!$A:$AJ,MATCH($A5,'product-export-27-8-2026'!$A:$A,0),MATCH(AQ$1,'product-export-27-8-2026'!$1:$1,0)),IF(_xlpm.v="","",_xlpm.v)),"")</f>
        <v/>
      </c>
      <c r="AR5" s="12" t="str">
        <f>IFERROR(_xlfn.LET(_xlpm.v,INDEX('product-export-27-8-2026'!$A:$AJ,MATCH($A5,'product-export-27-8-2026'!$A:$A,0),MATCH(AR$1,'product-export-27-8-2026'!$1:$1,0)),IF(_xlpm.v="","",_xlpm.v)),"")</f>
        <v>Diaries, Dorchester Collection, Diaries &gt; Pocket Diaries</v>
      </c>
      <c r="AS5" s="12" t="str">
        <f>IFERROR(_xlfn.LET(_xlpm.v,INDEX('product-export-27-8-2026'!$A:$AJ,MATCH($A5,'product-export-27-8-2026'!$A:$A,0),MATCH(AS$1,'product-export-27-8-2026'!$1:$1,0)),IF(_xlpm.v="","",_xlpm.v)),"")</f>
        <v>Dorchester-Horizon-Pocket-Week-to-View</v>
      </c>
      <c r="BC5" s="15"/>
    </row>
    <row r="6" spans="1:55" s="14" customFormat="1" ht="27.6" customHeight="1" x14ac:dyDescent="0.3">
      <c r="A6" s="11">
        <v>609</v>
      </c>
      <c r="B6" s="12" t="s">
        <v>339</v>
      </c>
      <c r="C6" s="12" t="s">
        <v>18</v>
      </c>
      <c r="D6" s="12" t="s">
        <v>25</v>
      </c>
      <c r="E6" s="13" t="s">
        <v>25</v>
      </c>
      <c r="F6" s="12" t="s">
        <v>21</v>
      </c>
      <c r="G6" s="12" t="s">
        <v>19</v>
      </c>
      <c r="H6" s="12" t="s">
        <v>1578</v>
      </c>
      <c r="I6" s="12" t="s">
        <v>20</v>
      </c>
      <c r="J6" s="12" t="s">
        <v>87</v>
      </c>
      <c r="K6" s="12" t="s">
        <v>1666</v>
      </c>
      <c r="L6" s="60">
        <v>0.42</v>
      </c>
      <c r="M6" s="11">
        <v>9.99</v>
      </c>
      <c r="N6" s="12" t="s">
        <v>22</v>
      </c>
      <c r="O6" s="56">
        <f t="shared" si="0"/>
        <v>9.74</v>
      </c>
      <c r="P6" s="56">
        <f t="shared" si="0"/>
        <v>9.33</v>
      </c>
      <c r="Q6" s="56">
        <f t="shared" si="0"/>
        <v>5.3</v>
      </c>
      <c r="R6" s="56">
        <f t="shared" si="0"/>
        <v>3.77</v>
      </c>
      <c r="S6" s="56">
        <f t="shared" si="0"/>
        <v>3.28</v>
      </c>
      <c r="T6" s="56">
        <f t="shared" si="0"/>
        <v>3.07</v>
      </c>
      <c r="U6" s="56">
        <f t="shared" si="0"/>
        <v>2.95</v>
      </c>
      <c r="V6" s="56">
        <f t="shared" si="0"/>
        <v>2.77</v>
      </c>
      <c r="W6" s="56">
        <f t="shared" si="0"/>
        <v>2.63</v>
      </c>
      <c r="X6" s="30" t="str" cm="1">
        <f t="array" ref="X6">IF(Y6="","",_xlfn.TEXTJOIN(";",TRUE,SUBSTITUTE($Y$1:$AG$1,"Qty ","")&amp;":"&amp;TEXT(Y6:AG6,"0.00"))&amp;";")</f>
        <v>1:13.16;10:11.96;25:7.13;50:5.27;100:4.66;250:4.33;500:4.15;750:3.94;1000:3.77;</v>
      </c>
      <c r="Y6" s="56">
        <f>'Blocking Prices'!$C$14+O6</f>
        <v>13.16</v>
      </c>
      <c r="Z6" s="56">
        <f>'Blocking Prices'!$D$14+P6</f>
        <v>11.96</v>
      </c>
      <c r="AA6" s="56">
        <f>'Blocking Prices'!$E$14+Q6</f>
        <v>7.13</v>
      </c>
      <c r="AB6" s="56">
        <f>'Blocking Prices'!$F$14+R6</f>
        <v>5.27</v>
      </c>
      <c r="AC6" s="56">
        <f>'Blocking Prices'!$G$14+S6</f>
        <v>4.66</v>
      </c>
      <c r="AD6" s="56">
        <f>'Blocking Prices'!$H$14+T6</f>
        <v>4.33</v>
      </c>
      <c r="AE6" s="56">
        <f>'Blocking Prices'!$I$14+U6</f>
        <v>4.1500000000000004</v>
      </c>
      <c r="AF6" s="56">
        <f>'Blocking Prices'!$J$14+V6</f>
        <v>3.94</v>
      </c>
      <c r="AG6" s="56">
        <f>'Blocking Prices'!$K$14+W6</f>
        <v>3.7699999999999996</v>
      </c>
      <c r="AH6" s="11"/>
      <c r="AI6" s="11"/>
      <c r="AJ6" s="11"/>
      <c r="AK6" s="11"/>
      <c r="AL6" s="12" t="s">
        <v>680</v>
      </c>
      <c r="AM6" s="12" t="s">
        <v>576</v>
      </c>
      <c r="AN6" s="12" t="str">
        <f>IFERROR(_xlfn.LET(_xlpm.v,INDEX('product-export-27-8-2026'!$A:$AJ,MATCH($A6,'product-export-27-8-2026'!$A:$A,0),MATCH(AN$1,'product-export-27-8-2026'!$1:$1,0)),IF(_xlpm.v="","",_xlpm.v)),"")</f>
        <v/>
      </c>
      <c r="AO6" s="12" t="str">
        <f>IFERROR(_xlfn.LET(_xlpm.v,INDEX('product-export-27-8-2026'!$A:$AJ,MATCH($A6,'product-export-27-8-2026'!$A:$A,0),MATCH(AO$1,'product-export-27-8-2026'!$1:$1,0)),IF(_xlpm.v="","",_xlpm.v)),"")</f>
        <v/>
      </c>
      <c r="AP6" s="12" t="str">
        <f>IFERROR(_xlfn.LET(_xlpm.v,INDEX('product-export-27-8-2026'!$A:$AJ,MATCH($A6,'product-export-27-8-2026'!$A:$A,0),MATCH(AP$1,'product-export-27-8-2026'!$1:$1,0)),IF(_xlpm.v="","",_xlpm.v)),"")</f>
        <v/>
      </c>
      <c r="AQ6" s="12" t="str">
        <f>IFERROR(_xlfn.LET(_xlpm.v,INDEX('product-export-27-8-2026'!$A:$AJ,MATCH($A6,'product-export-27-8-2026'!$A:$A,0),MATCH(AQ$1,'product-export-27-8-2026'!$1:$1,0)),IF(_xlpm.v="","",_xlpm.v)),"")</f>
        <v/>
      </c>
      <c r="AR6" s="12" t="str">
        <f>IFERROR(_xlfn.LET(_xlpm.v,INDEX('product-export-27-8-2026'!$A:$AJ,MATCH($A6,'product-export-27-8-2026'!$A:$A,0),MATCH(AR$1,'product-export-27-8-2026'!$1:$1,0)),IF(_xlpm.v="","",_xlpm.v)),"")</f>
        <v>Diaries, Dorchester Collection, Diaries &gt; Pocket Diaries</v>
      </c>
      <c r="AS6" s="12" t="str">
        <f>IFERROR(_xlfn.LET(_xlpm.v,INDEX('product-export-27-8-2026'!$A:$AJ,MATCH($A6,'product-export-27-8-2026'!$A:$A,0),MATCH(AS$1,'product-export-27-8-2026'!$1:$1,0)),IF(_xlpm.v="","",_xlpm.v)),"")</f>
        <v>Dorchester-Horizon-Pocket-Week-to-View</v>
      </c>
      <c r="BC6" s="15"/>
    </row>
    <row r="7" spans="1:55" s="14" customFormat="1" ht="27.6" customHeight="1" x14ac:dyDescent="0.3">
      <c r="A7" s="11">
        <v>611</v>
      </c>
      <c r="B7" s="12" t="s">
        <v>340</v>
      </c>
      <c r="C7" s="12" t="s">
        <v>18</v>
      </c>
      <c r="D7" s="12" t="s">
        <v>26</v>
      </c>
      <c r="E7" s="13" t="s">
        <v>26</v>
      </c>
      <c r="F7" s="12" t="s">
        <v>21</v>
      </c>
      <c r="G7" s="12" t="s">
        <v>19</v>
      </c>
      <c r="H7" s="12" t="s">
        <v>1579</v>
      </c>
      <c r="I7" s="12" t="s">
        <v>20</v>
      </c>
      <c r="J7" s="12" t="s">
        <v>87</v>
      </c>
      <c r="K7" s="12" t="s">
        <v>1666</v>
      </c>
      <c r="L7" s="60">
        <v>0.42</v>
      </c>
      <c r="M7" s="11">
        <v>9.99</v>
      </c>
      <c r="N7" s="12" t="s">
        <v>22</v>
      </c>
      <c r="O7" s="56">
        <f t="shared" si="0"/>
        <v>9.74</v>
      </c>
      <c r="P7" s="56">
        <f t="shared" si="0"/>
        <v>9.33</v>
      </c>
      <c r="Q7" s="56">
        <f t="shared" si="0"/>
        <v>5.3</v>
      </c>
      <c r="R7" s="56">
        <f t="shared" si="0"/>
        <v>3.77</v>
      </c>
      <c r="S7" s="56">
        <f t="shared" si="0"/>
        <v>3.28</v>
      </c>
      <c r="T7" s="56">
        <f t="shared" si="0"/>
        <v>3.07</v>
      </c>
      <c r="U7" s="56">
        <f t="shared" si="0"/>
        <v>2.95</v>
      </c>
      <c r="V7" s="56">
        <f t="shared" si="0"/>
        <v>2.77</v>
      </c>
      <c r="W7" s="56">
        <f t="shared" si="0"/>
        <v>2.63</v>
      </c>
      <c r="X7" s="30" t="str" cm="1">
        <f t="array" ref="X7">IF(Y7="","",_xlfn.TEXTJOIN(";",TRUE,SUBSTITUTE($Y$1:$AG$1,"Qty ","")&amp;":"&amp;TEXT(Y7:AG7,"0.00"))&amp;";")</f>
        <v>1:13.16;10:11.96;25:7.13;50:5.27;100:4.66;250:4.33;500:4.15;750:3.94;1000:3.77;</v>
      </c>
      <c r="Y7" s="56">
        <f>'Blocking Prices'!$C$14+O7</f>
        <v>13.16</v>
      </c>
      <c r="Z7" s="56">
        <f>'Blocking Prices'!$D$14+P7</f>
        <v>11.96</v>
      </c>
      <c r="AA7" s="56">
        <f>'Blocking Prices'!$E$14+Q7</f>
        <v>7.13</v>
      </c>
      <c r="AB7" s="56">
        <f>'Blocking Prices'!$F$14+R7</f>
        <v>5.27</v>
      </c>
      <c r="AC7" s="56">
        <f>'Blocking Prices'!$G$14+S7</f>
        <v>4.66</v>
      </c>
      <c r="AD7" s="56">
        <f>'Blocking Prices'!$H$14+T7</f>
        <v>4.33</v>
      </c>
      <c r="AE7" s="56">
        <f>'Blocking Prices'!$I$14+U7</f>
        <v>4.1500000000000004</v>
      </c>
      <c r="AF7" s="56">
        <f>'Blocking Prices'!$J$14+V7</f>
        <v>3.94</v>
      </c>
      <c r="AG7" s="56">
        <f>'Blocking Prices'!$K$14+W7</f>
        <v>3.7699999999999996</v>
      </c>
      <c r="AH7" s="11"/>
      <c r="AI7" s="11"/>
      <c r="AJ7" s="11"/>
      <c r="AK7" s="11"/>
      <c r="AL7" s="12" t="s">
        <v>680</v>
      </c>
      <c r="AM7" s="12" t="s">
        <v>576</v>
      </c>
      <c r="AN7" s="12" t="str">
        <f>IFERROR(_xlfn.LET(_xlpm.v,INDEX('product-export-27-8-2026'!$A:$AJ,MATCH($A7,'product-export-27-8-2026'!$A:$A,0),MATCH(AN$1,'product-export-27-8-2026'!$1:$1,0)),IF(_xlpm.v="","",_xlpm.v)),"")</f>
        <v/>
      </c>
      <c r="AO7" s="12" t="str">
        <f>IFERROR(_xlfn.LET(_xlpm.v,INDEX('product-export-27-8-2026'!$A:$AJ,MATCH($A7,'product-export-27-8-2026'!$A:$A,0),MATCH(AO$1,'product-export-27-8-2026'!$1:$1,0)),IF(_xlpm.v="","",_xlpm.v)),"")</f>
        <v/>
      </c>
      <c r="AP7" s="12" t="str">
        <f>IFERROR(_xlfn.LET(_xlpm.v,INDEX('product-export-27-8-2026'!$A:$AJ,MATCH($A7,'product-export-27-8-2026'!$A:$A,0),MATCH(AP$1,'product-export-27-8-2026'!$1:$1,0)),IF(_xlpm.v="","",_xlpm.v)),"")</f>
        <v/>
      </c>
      <c r="AQ7" s="12" t="str">
        <f>IFERROR(_xlfn.LET(_xlpm.v,INDEX('product-export-27-8-2026'!$A:$AJ,MATCH($A7,'product-export-27-8-2026'!$A:$A,0),MATCH(AQ$1,'product-export-27-8-2026'!$1:$1,0)),IF(_xlpm.v="","",_xlpm.v)),"")</f>
        <v/>
      </c>
      <c r="AR7" s="12" t="str">
        <f>IFERROR(_xlfn.LET(_xlpm.v,INDEX('product-export-27-8-2026'!$A:$AJ,MATCH($A7,'product-export-27-8-2026'!$A:$A,0),MATCH(AR$1,'product-export-27-8-2026'!$1:$1,0)),IF(_xlpm.v="","",_xlpm.v)),"")</f>
        <v>Diaries, Dorchester Collection, Diaries &gt; Pocket Diaries</v>
      </c>
      <c r="AS7" s="12" t="str">
        <f>IFERROR(_xlfn.LET(_xlpm.v,INDEX('product-export-27-8-2026'!$A:$AJ,MATCH($A7,'product-export-27-8-2026'!$A:$A,0),MATCH(AS$1,'product-export-27-8-2026'!$1:$1,0)),IF(_xlpm.v="","",_xlpm.v)),"")</f>
        <v>Dorchester-Horizon-Pocket-Week-to-View</v>
      </c>
      <c r="BC7" s="15"/>
    </row>
    <row r="8" spans="1:55" s="14" customFormat="1" ht="27.6" customHeight="1" x14ac:dyDescent="0.3">
      <c r="A8" s="11">
        <v>613</v>
      </c>
      <c r="B8" s="12" t="s">
        <v>341</v>
      </c>
      <c r="C8" s="12" t="s">
        <v>18</v>
      </c>
      <c r="D8" s="12" t="s">
        <v>27</v>
      </c>
      <c r="E8" s="13" t="s">
        <v>27</v>
      </c>
      <c r="F8" s="12" t="s">
        <v>21</v>
      </c>
      <c r="G8" s="12" t="s">
        <v>19</v>
      </c>
      <c r="H8" s="12" t="s">
        <v>1580</v>
      </c>
      <c r="I8" s="12" t="s">
        <v>20</v>
      </c>
      <c r="J8" s="12" t="s">
        <v>87</v>
      </c>
      <c r="K8" s="12" t="s">
        <v>1666</v>
      </c>
      <c r="L8" s="60">
        <v>0.42</v>
      </c>
      <c r="M8" s="11">
        <v>9.99</v>
      </c>
      <c r="N8" s="12" t="s">
        <v>22</v>
      </c>
      <c r="O8" s="56">
        <f t="shared" si="0"/>
        <v>9.74</v>
      </c>
      <c r="P8" s="56">
        <f t="shared" si="0"/>
        <v>9.33</v>
      </c>
      <c r="Q8" s="56">
        <f t="shared" si="0"/>
        <v>5.3</v>
      </c>
      <c r="R8" s="56">
        <f t="shared" si="0"/>
        <v>3.77</v>
      </c>
      <c r="S8" s="56">
        <f t="shared" si="0"/>
        <v>3.28</v>
      </c>
      <c r="T8" s="56">
        <f t="shared" si="0"/>
        <v>3.07</v>
      </c>
      <c r="U8" s="56">
        <f t="shared" si="0"/>
        <v>2.95</v>
      </c>
      <c r="V8" s="56">
        <f t="shared" si="0"/>
        <v>2.77</v>
      </c>
      <c r="W8" s="56">
        <f t="shared" si="0"/>
        <v>2.63</v>
      </c>
      <c r="X8" s="30" t="str" cm="1">
        <f t="array" ref="X8">IF(Y8="","",_xlfn.TEXTJOIN(";",TRUE,SUBSTITUTE($Y$1:$AG$1,"Qty ","")&amp;":"&amp;TEXT(Y8:AG8,"0.00"))&amp;";")</f>
        <v>1:13.16;10:11.96;25:7.13;50:5.27;100:4.66;250:4.33;500:4.15;750:3.94;1000:3.77;</v>
      </c>
      <c r="Y8" s="56">
        <f>'Blocking Prices'!$C$14+O8</f>
        <v>13.16</v>
      </c>
      <c r="Z8" s="56">
        <f>'Blocking Prices'!$D$14+P8</f>
        <v>11.96</v>
      </c>
      <c r="AA8" s="56">
        <f>'Blocking Prices'!$E$14+Q8</f>
        <v>7.13</v>
      </c>
      <c r="AB8" s="56">
        <f>'Blocking Prices'!$F$14+R8</f>
        <v>5.27</v>
      </c>
      <c r="AC8" s="56">
        <f>'Blocking Prices'!$G$14+S8</f>
        <v>4.66</v>
      </c>
      <c r="AD8" s="56">
        <f>'Blocking Prices'!$H$14+T8</f>
        <v>4.33</v>
      </c>
      <c r="AE8" s="56">
        <f>'Blocking Prices'!$I$14+U8</f>
        <v>4.1500000000000004</v>
      </c>
      <c r="AF8" s="56">
        <f>'Blocking Prices'!$J$14+V8</f>
        <v>3.94</v>
      </c>
      <c r="AG8" s="56">
        <f>'Blocking Prices'!$K$14+W8</f>
        <v>3.7699999999999996</v>
      </c>
      <c r="AH8" s="11"/>
      <c r="AI8" s="11"/>
      <c r="AJ8" s="11"/>
      <c r="AK8" s="11"/>
      <c r="AL8" s="12" t="s">
        <v>680</v>
      </c>
      <c r="AM8" s="12" t="s">
        <v>576</v>
      </c>
      <c r="AN8" s="12" t="str">
        <f>IFERROR(_xlfn.LET(_xlpm.v,INDEX('product-export-27-8-2026'!$A:$AJ,MATCH($A8,'product-export-27-8-2026'!$A:$A,0),MATCH(AN$1,'product-export-27-8-2026'!$1:$1,0)),IF(_xlpm.v="","",_xlpm.v)),"")</f>
        <v/>
      </c>
      <c r="AO8" s="12" t="str">
        <f>IFERROR(_xlfn.LET(_xlpm.v,INDEX('product-export-27-8-2026'!$A:$AJ,MATCH($A8,'product-export-27-8-2026'!$A:$A,0),MATCH(AO$1,'product-export-27-8-2026'!$1:$1,0)),IF(_xlpm.v="","",_xlpm.v)),"")</f>
        <v/>
      </c>
      <c r="AP8" s="12" t="str">
        <f>IFERROR(_xlfn.LET(_xlpm.v,INDEX('product-export-27-8-2026'!$A:$AJ,MATCH($A8,'product-export-27-8-2026'!$A:$A,0),MATCH(AP$1,'product-export-27-8-2026'!$1:$1,0)),IF(_xlpm.v="","",_xlpm.v)),"")</f>
        <v/>
      </c>
      <c r="AQ8" s="12" t="str">
        <f>IFERROR(_xlfn.LET(_xlpm.v,INDEX('product-export-27-8-2026'!$A:$AJ,MATCH($A8,'product-export-27-8-2026'!$A:$A,0),MATCH(AQ$1,'product-export-27-8-2026'!$1:$1,0)),IF(_xlpm.v="","",_xlpm.v)),"")</f>
        <v/>
      </c>
      <c r="AR8" s="12" t="str">
        <f>IFERROR(_xlfn.LET(_xlpm.v,INDEX('product-export-27-8-2026'!$A:$AJ,MATCH($A8,'product-export-27-8-2026'!$A:$A,0),MATCH(AR$1,'product-export-27-8-2026'!$1:$1,0)),IF(_xlpm.v="","",_xlpm.v)),"")</f>
        <v>Diaries, Dorchester Collection, Diaries &gt; Pocket Diaries</v>
      </c>
      <c r="AS8" s="12" t="str">
        <f>IFERROR(_xlfn.LET(_xlpm.v,INDEX('product-export-27-8-2026'!$A:$AJ,MATCH($A8,'product-export-27-8-2026'!$A:$A,0),MATCH(AS$1,'product-export-27-8-2026'!$1:$1,0)),IF(_xlpm.v="","",_xlpm.v)),"")</f>
        <v>Dorchester-Horizon-Pocket-Week-to-View</v>
      </c>
      <c r="BC8" s="15"/>
    </row>
    <row r="9" spans="1:55" s="14" customFormat="1" ht="27.6" customHeight="1" x14ac:dyDescent="0.3">
      <c r="A9" s="11">
        <v>615</v>
      </c>
      <c r="B9" s="12" t="s">
        <v>342</v>
      </c>
      <c r="C9" s="12" t="s">
        <v>18</v>
      </c>
      <c r="D9" s="12" t="s">
        <v>28</v>
      </c>
      <c r="E9" s="13" t="s">
        <v>28</v>
      </c>
      <c r="F9" s="12" t="s">
        <v>29</v>
      </c>
      <c r="G9" s="12" t="s">
        <v>19</v>
      </c>
      <c r="H9" s="12" t="s">
        <v>1581</v>
      </c>
      <c r="I9" s="12" t="s">
        <v>20</v>
      </c>
      <c r="J9" s="12" t="s">
        <v>91</v>
      </c>
      <c r="K9" s="12" t="s">
        <v>1666</v>
      </c>
      <c r="L9" s="60">
        <v>0.42</v>
      </c>
      <c r="M9" s="11">
        <v>9.99</v>
      </c>
      <c r="N9" s="12" t="s">
        <v>22</v>
      </c>
      <c r="O9" s="56">
        <f t="shared" si="0"/>
        <v>9.74</v>
      </c>
      <c r="P9" s="56">
        <f t="shared" si="0"/>
        <v>9.33</v>
      </c>
      <c r="Q9" s="56">
        <f t="shared" si="0"/>
        <v>5.3</v>
      </c>
      <c r="R9" s="56">
        <f t="shared" si="0"/>
        <v>3.77</v>
      </c>
      <c r="S9" s="56">
        <f t="shared" si="0"/>
        <v>3.28</v>
      </c>
      <c r="T9" s="56">
        <f t="shared" si="0"/>
        <v>3.07</v>
      </c>
      <c r="U9" s="56">
        <f t="shared" si="0"/>
        <v>2.95</v>
      </c>
      <c r="V9" s="56">
        <f t="shared" si="0"/>
        <v>2.77</v>
      </c>
      <c r="W9" s="56">
        <f t="shared" si="0"/>
        <v>2.63</v>
      </c>
      <c r="X9" s="30" t="str" cm="1">
        <f t="array" ref="X9">IF(Y9="","",_xlfn.TEXTJOIN(";",TRUE,SUBSTITUTE($Y$1:$AG$1,"Qty ","")&amp;":"&amp;TEXT(Y9:AG9,"0.00"))&amp;";")</f>
        <v>1:13.16;10:11.96;25:7.13;50:5.27;100:4.66;250:4.33;500:4.15;750:3.94;1000:3.77;</v>
      </c>
      <c r="Y9" s="56">
        <f>'Blocking Prices'!$C$14+O9</f>
        <v>13.16</v>
      </c>
      <c r="Z9" s="56">
        <f>'Blocking Prices'!$D$14+P9</f>
        <v>11.96</v>
      </c>
      <c r="AA9" s="56">
        <f>'Blocking Prices'!$E$14+Q9</f>
        <v>7.13</v>
      </c>
      <c r="AB9" s="56">
        <f>'Blocking Prices'!$F$14+R9</f>
        <v>5.27</v>
      </c>
      <c r="AC9" s="56">
        <f>'Blocking Prices'!$G$14+S9</f>
        <v>4.66</v>
      </c>
      <c r="AD9" s="56">
        <f>'Blocking Prices'!$H$14+T9</f>
        <v>4.33</v>
      </c>
      <c r="AE9" s="56">
        <f>'Blocking Prices'!$I$14+U9</f>
        <v>4.1500000000000004</v>
      </c>
      <c r="AF9" s="56">
        <f>'Blocking Prices'!$J$14+V9</f>
        <v>3.94</v>
      </c>
      <c r="AG9" s="56">
        <f>'Blocking Prices'!$K$14+W9</f>
        <v>3.7699999999999996</v>
      </c>
      <c r="AH9" s="11"/>
      <c r="AI9" s="11"/>
      <c r="AJ9" s="11"/>
      <c r="AK9" s="11"/>
      <c r="AL9" s="12" t="s">
        <v>700</v>
      </c>
      <c r="AM9" s="12" t="s">
        <v>576</v>
      </c>
      <c r="AN9" s="12" t="str">
        <f>IFERROR(_xlfn.LET(_xlpm.v,INDEX('product-export-27-8-2026'!$A:$AJ,MATCH($A9,'product-export-27-8-2026'!$A:$A,0),MATCH(AN$1,'product-export-27-8-2026'!$1:$1,0)),IF(_xlpm.v="","",_xlpm.v)),"")</f>
        <v/>
      </c>
      <c r="AO9" s="12" t="str">
        <f>IFERROR(_xlfn.LET(_xlpm.v,INDEX('product-export-27-8-2026'!$A:$AJ,MATCH($A9,'product-export-27-8-2026'!$A:$A,0),MATCH(AO$1,'product-export-27-8-2026'!$1:$1,0)),IF(_xlpm.v="","",_xlpm.v)),"")</f>
        <v/>
      </c>
      <c r="AP9" s="12" t="str">
        <f>IFERROR(_xlfn.LET(_xlpm.v,INDEX('product-export-27-8-2026'!$A:$AJ,MATCH($A9,'product-export-27-8-2026'!$A:$A,0),MATCH(AP$1,'product-export-27-8-2026'!$1:$1,0)),IF(_xlpm.v="","",_xlpm.v)),"")</f>
        <v/>
      </c>
      <c r="AQ9" s="12" t="str">
        <f>IFERROR(_xlfn.LET(_xlpm.v,INDEX('product-export-27-8-2026'!$A:$AJ,MATCH($A9,'product-export-27-8-2026'!$A:$A,0),MATCH(AQ$1,'product-export-27-8-2026'!$1:$1,0)),IF(_xlpm.v="","",_xlpm.v)),"")</f>
        <v/>
      </c>
      <c r="AR9" s="12" t="str">
        <f>IFERROR(_xlfn.LET(_xlpm.v,INDEX('product-export-27-8-2026'!$A:$AJ,MATCH($A9,'product-export-27-8-2026'!$A:$A,0),MATCH(AR$1,'product-export-27-8-2026'!$1:$1,0)),IF(_xlpm.v="","",_xlpm.v)),"")</f>
        <v>Diaries, Dorchester Collection, Diaries &gt; Pocket Diaries</v>
      </c>
      <c r="AS9" s="12" t="str">
        <f>IFERROR(_xlfn.LET(_xlpm.v,INDEX('product-export-27-8-2026'!$A:$AJ,MATCH($A9,'product-export-27-8-2026'!$A:$A,0),MATCH(AS$1,'product-export-27-8-2026'!$1:$1,0)),IF(_xlpm.v="","",_xlpm.v)),"")</f>
        <v>Dorchester-Newhide-Bicolor-Pocket-Week-to-View</v>
      </c>
      <c r="BC9" s="15"/>
    </row>
    <row r="10" spans="1:55" s="14" customFormat="1" ht="27.6" customHeight="1" x14ac:dyDescent="0.3">
      <c r="A10" s="11">
        <v>618</v>
      </c>
      <c r="B10" s="12" t="s">
        <v>343</v>
      </c>
      <c r="C10" s="12" t="s">
        <v>18</v>
      </c>
      <c r="D10" s="12" t="s">
        <v>30</v>
      </c>
      <c r="E10" s="13" t="s">
        <v>30</v>
      </c>
      <c r="F10" s="12" t="s">
        <v>29</v>
      </c>
      <c r="G10" s="12" t="s">
        <v>19</v>
      </c>
      <c r="H10" s="12" t="s">
        <v>1582</v>
      </c>
      <c r="I10" s="12" t="s">
        <v>20</v>
      </c>
      <c r="J10" s="12" t="s">
        <v>91</v>
      </c>
      <c r="K10" s="12" t="s">
        <v>1666</v>
      </c>
      <c r="L10" s="60">
        <v>0.42</v>
      </c>
      <c r="M10" s="11">
        <v>9.99</v>
      </c>
      <c r="N10" s="12" t="s">
        <v>22</v>
      </c>
      <c r="O10" s="56">
        <f t="shared" si="0"/>
        <v>9.74</v>
      </c>
      <c r="P10" s="56">
        <f t="shared" si="0"/>
        <v>9.33</v>
      </c>
      <c r="Q10" s="56">
        <f t="shared" si="0"/>
        <v>5.3</v>
      </c>
      <c r="R10" s="56">
        <f t="shared" si="0"/>
        <v>3.77</v>
      </c>
      <c r="S10" s="56">
        <f t="shared" si="0"/>
        <v>3.28</v>
      </c>
      <c r="T10" s="56">
        <f t="shared" si="0"/>
        <v>3.07</v>
      </c>
      <c r="U10" s="56">
        <f t="shared" si="0"/>
        <v>2.95</v>
      </c>
      <c r="V10" s="56">
        <f t="shared" si="0"/>
        <v>2.77</v>
      </c>
      <c r="W10" s="56">
        <f t="shared" si="0"/>
        <v>2.63</v>
      </c>
      <c r="X10" s="30" t="str" cm="1">
        <f t="array" ref="X10">IF(Y10="","",_xlfn.TEXTJOIN(";",TRUE,SUBSTITUTE($Y$1:$AG$1,"Qty ","")&amp;":"&amp;TEXT(Y10:AG10,"0.00"))&amp;";")</f>
        <v>1:13.16;10:11.96;25:7.13;50:5.27;100:4.66;250:4.33;500:4.15;750:3.94;1000:3.77;</v>
      </c>
      <c r="Y10" s="56">
        <f>'Blocking Prices'!$C$14+O10</f>
        <v>13.16</v>
      </c>
      <c r="Z10" s="56">
        <f>'Blocking Prices'!$D$14+P10</f>
        <v>11.96</v>
      </c>
      <c r="AA10" s="56">
        <f>'Blocking Prices'!$E$14+Q10</f>
        <v>7.13</v>
      </c>
      <c r="AB10" s="56">
        <f>'Blocking Prices'!$F$14+R10</f>
        <v>5.27</v>
      </c>
      <c r="AC10" s="56">
        <f>'Blocking Prices'!$G$14+S10</f>
        <v>4.66</v>
      </c>
      <c r="AD10" s="56">
        <f>'Blocking Prices'!$H$14+T10</f>
        <v>4.33</v>
      </c>
      <c r="AE10" s="56">
        <f>'Blocking Prices'!$I$14+U10</f>
        <v>4.1500000000000004</v>
      </c>
      <c r="AF10" s="56">
        <f>'Blocking Prices'!$J$14+V10</f>
        <v>3.94</v>
      </c>
      <c r="AG10" s="56">
        <f>'Blocking Prices'!$K$14+W10</f>
        <v>3.7699999999999996</v>
      </c>
      <c r="AH10" s="11"/>
      <c r="AI10" s="11"/>
      <c r="AJ10" s="11"/>
      <c r="AK10" s="11"/>
      <c r="AL10" s="12" t="s">
        <v>700</v>
      </c>
      <c r="AM10" s="12" t="s">
        <v>576</v>
      </c>
      <c r="AN10" s="12" t="str">
        <f>IFERROR(_xlfn.LET(_xlpm.v,INDEX('product-export-27-8-2026'!$A:$AJ,MATCH($A10,'product-export-27-8-2026'!$A:$A,0),MATCH(AN$1,'product-export-27-8-2026'!$1:$1,0)),IF(_xlpm.v="","",_xlpm.v)),"")</f>
        <v/>
      </c>
      <c r="AO10" s="12" t="str">
        <f>IFERROR(_xlfn.LET(_xlpm.v,INDEX('product-export-27-8-2026'!$A:$AJ,MATCH($A10,'product-export-27-8-2026'!$A:$A,0),MATCH(AO$1,'product-export-27-8-2026'!$1:$1,0)),IF(_xlpm.v="","",_xlpm.v)),"")</f>
        <v/>
      </c>
      <c r="AP10" s="12" t="str">
        <f>IFERROR(_xlfn.LET(_xlpm.v,INDEX('product-export-27-8-2026'!$A:$AJ,MATCH($A10,'product-export-27-8-2026'!$A:$A,0),MATCH(AP$1,'product-export-27-8-2026'!$1:$1,0)),IF(_xlpm.v="","",_xlpm.v)),"")</f>
        <v/>
      </c>
      <c r="AQ10" s="12" t="str">
        <f>IFERROR(_xlfn.LET(_xlpm.v,INDEX('product-export-27-8-2026'!$A:$AJ,MATCH($A10,'product-export-27-8-2026'!$A:$A,0),MATCH(AQ$1,'product-export-27-8-2026'!$1:$1,0)),IF(_xlpm.v="","",_xlpm.v)),"")</f>
        <v/>
      </c>
      <c r="AR10" s="12" t="str">
        <f>IFERROR(_xlfn.LET(_xlpm.v,INDEX('product-export-27-8-2026'!$A:$AJ,MATCH($A10,'product-export-27-8-2026'!$A:$A,0),MATCH(AR$1,'product-export-27-8-2026'!$1:$1,0)),IF(_xlpm.v="","",_xlpm.v)),"")</f>
        <v>Diaries, Dorchester Collection, Diaries &gt; Pocket Diaries</v>
      </c>
      <c r="AS10" s="12" t="str">
        <f>IFERROR(_xlfn.LET(_xlpm.v,INDEX('product-export-27-8-2026'!$A:$AJ,MATCH($A10,'product-export-27-8-2026'!$A:$A,0),MATCH(AS$1,'product-export-27-8-2026'!$1:$1,0)),IF(_xlpm.v="","",_xlpm.v)),"")</f>
        <v>Dorchester-Newhide-Bicolor-Pocket-Week-to-View</v>
      </c>
      <c r="BC10" s="15"/>
    </row>
    <row r="11" spans="1:55" s="14" customFormat="1" ht="27.6" customHeight="1" x14ac:dyDescent="0.3">
      <c r="A11" s="11">
        <v>620</v>
      </c>
      <c r="B11" s="12" t="s">
        <v>344</v>
      </c>
      <c r="C11" s="12" t="s">
        <v>18</v>
      </c>
      <c r="D11" s="12" t="s">
        <v>31</v>
      </c>
      <c r="E11" s="13" t="s">
        <v>31</v>
      </c>
      <c r="F11" s="12" t="s">
        <v>29</v>
      </c>
      <c r="G11" s="12" t="s">
        <v>19</v>
      </c>
      <c r="H11" s="12" t="s">
        <v>1583</v>
      </c>
      <c r="I11" s="12" t="s">
        <v>20</v>
      </c>
      <c r="J11" s="12" t="s">
        <v>91</v>
      </c>
      <c r="K11" s="12" t="s">
        <v>1666</v>
      </c>
      <c r="L11" s="60">
        <v>0.42</v>
      </c>
      <c r="M11" s="11">
        <v>9.99</v>
      </c>
      <c r="N11" s="12" t="s">
        <v>22</v>
      </c>
      <c r="O11" s="56">
        <f t="shared" si="0"/>
        <v>9.74</v>
      </c>
      <c r="P11" s="56">
        <f t="shared" si="0"/>
        <v>9.33</v>
      </c>
      <c r="Q11" s="56">
        <f t="shared" si="0"/>
        <v>5.3</v>
      </c>
      <c r="R11" s="56">
        <f t="shared" si="0"/>
        <v>3.77</v>
      </c>
      <c r="S11" s="56">
        <f t="shared" si="0"/>
        <v>3.28</v>
      </c>
      <c r="T11" s="56">
        <f t="shared" si="0"/>
        <v>3.07</v>
      </c>
      <c r="U11" s="56">
        <f t="shared" si="0"/>
        <v>2.95</v>
      </c>
      <c r="V11" s="56">
        <f t="shared" si="0"/>
        <v>2.77</v>
      </c>
      <c r="W11" s="56">
        <f t="shared" si="0"/>
        <v>2.63</v>
      </c>
      <c r="X11" s="30" t="str" cm="1">
        <f t="array" ref="X11">IF(Y11="","",_xlfn.TEXTJOIN(";",TRUE,SUBSTITUTE($Y$1:$AG$1,"Qty ","")&amp;":"&amp;TEXT(Y11:AG11,"0.00"))&amp;";")</f>
        <v>1:13.16;10:11.96;25:7.13;50:5.27;100:4.66;250:4.33;500:4.15;750:3.94;1000:3.77;</v>
      </c>
      <c r="Y11" s="56">
        <f>'Blocking Prices'!$C$14+O11</f>
        <v>13.16</v>
      </c>
      <c r="Z11" s="56">
        <f>'Blocking Prices'!$D$14+P11</f>
        <v>11.96</v>
      </c>
      <c r="AA11" s="56">
        <f>'Blocking Prices'!$E$14+Q11</f>
        <v>7.13</v>
      </c>
      <c r="AB11" s="56">
        <f>'Blocking Prices'!$F$14+R11</f>
        <v>5.27</v>
      </c>
      <c r="AC11" s="56">
        <f>'Blocking Prices'!$G$14+S11</f>
        <v>4.66</v>
      </c>
      <c r="AD11" s="56">
        <f>'Blocking Prices'!$H$14+T11</f>
        <v>4.33</v>
      </c>
      <c r="AE11" s="56">
        <f>'Blocking Prices'!$I$14+U11</f>
        <v>4.1500000000000004</v>
      </c>
      <c r="AF11" s="56">
        <f>'Blocking Prices'!$J$14+V11</f>
        <v>3.94</v>
      </c>
      <c r="AG11" s="56">
        <f>'Blocking Prices'!$K$14+W11</f>
        <v>3.7699999999999996</v>
      </c>
      <c r="AH11" s="11"/>
      <c r="AI11" s="11"/>
      <c r="AJ11" s="11"/>
      <c r="AK11" s="11"/>
      <c r="AL11" s="12" t="s">
        <v>700</v>
      </c>
      <c r="AM11" s="12" t="s">
        <v>576</v>
      </c>
      <c r="AN11" s="12" t="str">
        <f>IFERROR(_xlfn.LET(_xlpm.v,INDEX('product-export-27-8-2026'!$A:$AJ,MATCH($A11,'product-export-27-8-2026'!$A:$A,0),MATCH(AN$1,'product-export-27-8-2026'!$1:$1,0)),IF(_xlpm.v="","",_xlpm.v)),"")</f>
        <v/>
      </c>
      <c r="AO11" s="12" t="str">
        <f>IFERROR(_xlfn.LET(_xlpm.v,INDEX('product-export-27-8-2026'!$A:$AJ,MATCH($A11,'product-export-27-8-2026'!$A:$A,0),MATCH(AO$1,'product-export-27-8-2026'!$1:$1,0)),IF(_xlpm.v="","",_xlpm.v)),"")</f>
        <v/>
      </c>
      <c r="AP11" s="12" t="str">
        <f>IFERROR(_xlfn.LET(_xlpm.v,INDEX('product-export-27-8-2026'!$A:$AJ,MATCH($A11,'product-export-27-8-2026'!$A:$A,0),MATCH(AP$1,'product-export-27-8-2026'!$1:$1,0)),IF(_xlpm.v="","",_xlpm.v)),"")</f>
        <v/>
      </c>
      <c r="AQ11" s="12" t="str">
        <f>IFERROR(_xlfn.LET(_xlpm.v,INDEX('product-export-27-8-2026'!$A:$AJ,MATCH($A11,'product-export-27-8-2026'!$A:$A,0),MATCH(AQ$1,'product-export-27-8-2026'!$1:$1,0)),IF(_xlpm.v="","",_xlpm.v)),"")</f>
        <v/>
      </c>
      <c r="AR11" s="12" t="str">
        <f>IFERROR(_xlfn.LET(_xlpm.v,INDEX('product-export-27-8-2026'!$A:$AJ,MATCH($A11,'product-export-27-8-2026'!$A:$A,0),MATCH(AR$1,'product-export-27-8-2026'!$1:$1,0)),IF(_xlpm.v="","",_xlpm.v)),"")</f>
        <v>Diaries, Dorchester Collection, Diaries &gt; Pocket Diaries</v>
      </c>
      <c r="AS11" s="12" t="str">
        <f>IFERROR(_xlfn.LET(_xlpm.v,INDEX('product-export-27-8-2026'!$A:$AJ,MATCH($A11,'product-export-27-8-2026'!$A:$A,0),MATCH(AS$1,'product-export-27-8-2026'!$1:$1,0)),IF(_xlpm.v="","",_xlpm.v)),"")</f>
        <v>Dorchester-Newhide-Bicolor-Pocket-Week-to-View</v>
      </c>
      <c r="BC11" s="15"/>
    </row>
    <row r="12" spans="1:55" s="14" customFormat="1" ht="27.6" customHeight="1" x14ac:dyDescent="0.3">
      <c r="A12" s="11">
        <v>622</v>
      </c>
      <c r="B12" s="12" t="s">
        <v>345</v>
      </c>
      <c r="C12" s="12" t="s">
        <v>18</v>
      </c>
      <c r="D12" s="12" t="s">
        <v>32</v>
      </c>
      <c r="E12" s="13" t="s">
        <v>32</v>
      </c>
      <c r="F12" s="12" t="s">
        <v>29</v>
      </c>
      <c r="G12" s="12" t="s">
        <v>19</v>
      </c>
      <c r="H12" s="12" t="s">
        <v>1577</v>
      </c>
      <c r="I12" s="12" t="s">
        <v>20</v>
      </c>
      <c r="J12" s="12" t="s">
        <v>91</v>
      </c>
      <c r="K12" s="12" t="s">
        <v>1666</v>
      </c>
      <c r="L12" s="60">
        <v>0.42</v>
      </c>
      <c r="M12" s="11">
        <v>9.99</v>
      </c>
      <c r="N12" s="12" t="s">
        <v>22</v>
      </c>
      <c r="O12" s="56">
        <f>IFERROR(VALUE(_xlfn.TEXTBEFORE(_xlfn.TEXTAFTER(";"&amp;$N12,";"&amp;SUBSTITUTE(O$1,"Qty ","")&amp;":"),";")),"")</f>
        <v>9.74</v>
      </c>
      <c r="P12" s="56">
        <f>IFERROR(VALUE(_xlfn.TEXTBEFORE(_xlfn.TEXTAFTER(";"&amp;$N12,";"&amp;SUBSTITUTE(P$1,"Qty ","")&amp;":"),";")),"")</f>
        <v>9.33</v>
      </c>
      <c r="Q12" s="56">
        <f>IFERROR(VALUE(_xlfn.TEXTBEFORE(_xlfn.TEXTAFTER(";"&amp;$N12,";"&amp;SUBSTITUTE(Q$1,"Qty ","")&amp;":"),";")),"")</f>
        <v>5.3</v>
      </c>
      <c r="R12" s="56">
        <f>IFERROR(VALUE(_xlfn.TEXTBEFORE(_xlfn.TEXTAFTER(";"&amp;$N12,";"&amp;SUBSTITUTE(R$1,"Qty ","")&amp;":"),";")),"")</f>
        <v>3.77</v>
      </c>
      <c r="S12" s="56">
        <f>IFERROR(VALUE(_xlfn.TEXTBEFORE(_xlfn.TEXTAFTER(";"&amp;$N12,";"&amp;SUBSTITUTE(S$1,"Qty ","")&amp;":"),";")),"")</f>
        <v>3.28</v>
      </c>
      <c r="T12" s="56">
        <f>IFERROR(VALUE(_xlfn.TEXTBEFORE(_xlfn.TEXTAFTER(";"&amp;$N12,";"&amp;SUBSTITUTE(T$1,"Qty ","")&amp;":"),";")),"")</f>
        <v>3.07</v>
      </c>
      <c r="U12" s="56">
        <f>IFERROR(VALUE(_xlfn.TEXTBEFORE(_xlfn.TEXTAFTER(";"&amp;$N12,";"&amp;SUBSTITUTE(U$1,"Qty ","")&amp;":"),";")),"")</f>
        <v>2.95</v>
      </c>
      <c r="V12" s="56">
        <f>IFERROR(VALUE(_xlfn.TEXTBEFORE(_xlfn.TEXTAFTER(";"&amp;$N12,";"&amp;SUBSTITUTE(V$1,"Qty ","")&amp;":"),";")),"")</f>
        <v>2.77</v>
      </c>
      <c r="W12" s="56">
        <f>IFERROR(VALUE(_xlfn.TEXTBEFORE(_xlfn.TEXTAFTER(";"&amp;$N12,";"&amp;SUBSTITUTE(W$1,"Qty ","")&amp;":"),";")),"")</f>
        <v>2.63</v>
      </c>
      <c r="X12" s="30" t="str" cm="1">
        <f t="array" ref="X12">IF(Y12="","",_xlfn.TEXTJOIN(";",TRUE,SUBSTITUTE($Y$1:$AG$1,"Qty ","")&amp;":"&amp;TEXT(Y12:AG12,"0.00"))&amp;";")</f>
        <v>1:13.16;10:11.96;25:7.13;50:5.27;100:4.66;250:4.33;500:4.15;750:3.94;1000:3.77;</v>
      </c>
      <c r="Y12" s="56">
        <f>'Blocking Prices'!$C$14+O12</f>
        <v>13.16</v>
      </c>
      <c r="Z12" s="56">
        <f>'Blocking Prices'!$D$14+P12</f>
        <v>11.96</v>
      </c>
      <c r="AA12" s="56">
        <f>'Blocking Prices'!$E$14+Q12</f>
        <v>7.13</v>
      </c>
      <c r="AB12" s="56">
        <f>'Blocking Prices'!$F$14+R12</f>
        <v>5.27</v>
      </c>
      <c r="AC12" s="56">
        <f>'Blocking Prices'!$G$14+S12</f>
        <v>4.66</v>
      </c>
      <c r="AD12" s="56">
        <f>'Blocking Prices'!$H$14+T12</f>
        <v>4.33</v>
      </c>
      <c r="AE12" s="56">
        <f>'Blocking Prices'!$I$14+U12</f>
        <v>4.1500000000000004</v>
      </c>
      <c r="AF12" s="56">
        <f>'Blocking Prices'!$J$14+V12</f>
        <v>3.94</v>
      </c>
      <c r="AG12" s="56">
        <f>'Blocking Prices'!$K$14+W12</f>
        <v>3.7699999999999996</v>
      </c>
      <c r="AH12" s="11"/>
      <c r="AI12" s="11"/>
      <c r="AJ12" s="11"/>
      <c r="AK12" s="11"/>
      <c r="AL12" s="12" t="s">
        <v>712</v>
      </c>
      <c r="AM12" s="12" t="s">
        <v>576</v>
      </c>
      <c r="AN12" s="12" t="str">
        <f>IFERROR(_xlfn.LET(_xlpm.v,INDEX('product-export-27-8-2026'!$A:$AJ,MATCH($A12,'product-export-27-8-2026'!$A:$A,0),MATCH(AN$1,'product-export-27-8-2026'!$1:$1,0)),IF(_xlpm.v="","",_xlpm.v)),"")</f>
        <v/>
      </c>
      <c r="AO12" s="12" t="str">
        <f>IFERROR(_xlfn.LET(_xlpm.v,INDEX('product-export-27-8-2026'!$A:$AJ,MATCH($A12,'product-export-27-8-2026'!$A:$A,0),MATCH(AO$1,'product-export-27-8-2026'!$1:$1,0)),IF(_xlpm.v="","",_xlpm.v)),"")</f>
        <v/>
      </c>
      <c r="AP12" s="12" t="str">
        <f>IFERROR(_xlfn.LET(_xlpm.v,INDEX('product-export-27-8-2026'!$A:$AJ,MATCH($A12,'product-export-27-8-2026'!$A:$A,0),MATCH(AP$1,'product-export-27-8-2026'!$1:$1,0)),IF(_xlpm.v="","",_xlpm.v)),"")</f>
        <v/>
      </c>
      <c r="AQ12" s="12" t="str">
        <f>IFERROR(_xlfn.LET(_xlpm.v,INDEX('product-export-27-8-2026'!$A:$AJ,MATCH($A12,'product-export-27-8-2026'!$A:$A,0),MATCH(AQ$1,'product-export-27-8-2026'!$1:$1,0)),IF(_xlpm.v="","",_xlpm.v)),"")</f>
        <v/>
      </c>
      <c r="AR12" s="12" t="str">
        <f>IFERROR(_xlfn.LET(_xlpm.v,INDEX('product-export-27-8-2026'!$A:$AJ,MATCH($A12,'product-export-27-8-2026'!$A:$A,0),MATCH(AR$1,'product-export-27-8-2026'!$1:$1,0)),IF(_xlpm.v="","",_xlpm.v)),"")</f>
        <v>Diaries, Dorchester Collection, Diaries &gt; Pocket Diaries</v>
      </c>
      <c r="AS12" s="12" t="str">
        <f>IFERROR(_xlfn.LET(_xlpm.v,INDEX('product-export-27-8-2026'!$A:$AJ,MATCH($A12,'product-export-27-8-2026'!$A:$A,0),MATCH(AS$1,'product-export-27-8-2026'!$1:$1,0)),IF(_xlpm.v="","",_xlpm.v)),"")</f>
        <v>Dorchester-Newhide-Bicolor-Pocket-Week-to-View</v>
      </c>
      <c r="BC12" s="15"/>
    </row>
    <row r="13" spans="1:55" s="14" customFormat="1" ht="27.6" customHeight="1" x14ac:dyDescent="0.3">
      <c r="A13" s="11">
        <v>624</v>
      </c>
      <c r="B13" s="12" t="s">
        <v>346</v>
      </c>
      <c r="C13" s="12" t="s">
        <v>18</v>
      </c>
      <c r="D13" s="12" t="s">
        <v>33</v>
      </c>
      <c r="E13" s="13" t="s">
        <v>33</v>
      </c>
      <c r="F13" s="12" t="s">
        <v>29</v>
      </c>
      <c r="G13" s="12" t="s">
        <v>19</v>
      </c>
      <c r="H13" s="12" t="s">
        <v>1584</v>
      </c>
      <c r="I13" s="12" t="s">
        <v>20</v>
      </c>
      <c r="J13" s="12" t="s">
        <v>91</v>
      </c>
      <c r="K13" s="12" t="s">
        <v>1666</v>
      </c>
      <c r="L13" s="60">
        <v>0.42</v>
      </c>
      <c r="M13" s="11">
        <v>9.99</v>
      </c>
      <c r="N13" s="12" t="s">
        <v>22</v>
      </c>
      <c r="O13" s="56">
        <f>IFERROR(VALUE(_xlfn.TEXTBEFORE(_xlfn.TEXTAFTER(";"&amp;$N13,";"&amp;SUBSTITUTE(O$1,"Qty ","")&amp;":"),";")),"")</f>
        <v>9.74</v>
      </c>
      <c r="P13" s="56">
        <f>IFERROR(VALUE(_xlfn.TEXTBEFORE(_xlfn.TEXTAFTER(";"&amp;$N13,";"&amp;SUBSTITUTE(P$1,"Qty ","")&amp;":"),";")),"")</f>
        <v>9.33</v>
      </c>
      <c r="Q13" s="56">
        <v>5.3</v>
      </c>
      <c r="R13" s="56">
        <f>IFERROR(VALUE(_xlfn.TEXTBEFORE(_xlfn.TEXTAFTER(";"&amp;$N13,";"&amp;SUBSTITUTE(R$1,"Qty ","")&amp;":"),";")),"")</f>
        <v>3.77</v>
      </c>
      <c r="S13" s="56">
        <f>IFERROR(VALUE(_xlfn.TEXTBEFORE(_xlfn.TEXTAFTER(";"&amp;$N13,";"&amp;SUBSTITUTE(S$1,"Qty ","")&amp;":"),";")),"")</f>
        <v>3.28</v>
      </c>
      <c r="T13" s="56">
        <f>IFERROR(VALUE(_xlfn.TEXTBEFORE(_xlfn.TEXTAFTER(";"&amp;$N13,";"&amp;SUBSTITUTE(T$1,"Qty ","")&amp;":"),";")),"")</f>
        <v>3.07</v>
      </c>
      <c r="U13" s="56">
        <f>IFERROR(VALUE(_xlfn.TEXTBEFORE(_xlfn.TEXTAFTER(";"&amp;$N13,";"&amp;SUBSTITUTE(U$1,"Qty ","")&amp;":"),";")),"")</f>
        <v>2.95</v>
      </c>
      <c r="V13" s="56">
        <f>IFERROR(VALUE(_xlfn.TEXTBEFORE(_xlfn.TEXTAFTER(";"&amp;$N13,";"&amp;SUBSTITUTE(V$1,"Qty ","")&amp;":"),";")),"")</f>
        <v>2.77</v>
      </c>
      <c r="W13" s="56">
        <f>IFERROR(VALUE(_xlfn.TEXTBEFORE(_xlfn.TEXTAFTER(";"&amp;$N13,";"&amp;SUBSTITUTE(W$1,"Qty ","")&amp;":"),";")),"")</f>
        <v>2.63</v>
      </c>
      <c r="X13" s="30" t="str" cm="1">
        <f t="array" ref="X13">IF(Y13="","",_xlfn.TEXTJOIN(";",TRUE,SUBSTITUTE($Y$1:$AG$1,"Qty ","")&amp;":"&amp;TEXT(Y13:AG13,"0.00"))&amp;";")</f>
        <v>1:13.16;10:11.96;25:7.13;50:5.27;100:4.66;250:4.33;500:4.15;750:3.94;1000:3.77;</v>
      </c>
      <c r="Y13" s="56">
        <f>'Blocking Prices'!$C$14+O13</f>
        <v>13.16</v>
      </c>
      <c r="Z13" s="56">
        <f>'Blocking Prices'!$D$14+P13</f>
        <v>11.96</v>
      </c>
      <c r="AA13" s="56">
        <f>'Blocking Prices'!$E$14+Q13</f>
        <v>7.13</v>
      </c>
      <c r="AB13" s="56">
        <f>'Blocking Prices'!$F$14+R13</f>
        <v>5.27</v>
      </c>
      <c r="AC13" s="56">
        <f>'Blocking Prices'!$G$14+S13</f>
        <v>4.66</v>
      </c>
      <c r="AD13" s="56">
        <f>'Blocking Prices'!$H$14+T13</f>
        <v>4.33</v>
      </c>
      <c r="AE13" s="56">
        <f>'Blocking Prices'!$I$14+U13</f>
        <v>4.1500000000000004</v>
      </c>
      <c r="AF13" s="56">
        <f>'Blocking Prices'!$J$14+V13</f>
        <v>3.94</v>
      </c>
      <c r="AG13" s="56">
        <f>'Blocking Prices'!$K$14+W13</f>
        <v>3.7699999999999996</v>
      </c>
      <c r="AH13" s="11"/>
      <c r="AI13" s="11"/>
      <c r="AJ13" s="11"/>
      <c r="AK13" s="11"/>
      <c r="AL13" s="12" t="s">
        <v>712</v>
      </c>
      <c r="AM13" s="12" t="s">
        <v>576</v>
      </c>
      <c r="AN13" s="12" t="str">
        <f>IFERROR(_xlfn.LET(_xlpm.v,INDEX('product-export-27-8-2026'!$A:$AJ,MATCH($A13,'product-export-27-8-2026'!$A:$A,0),MATCH(AN$1,'product-export-27-8-2026'!$1:$1,0)),IF(_xlpm.v="","",_xlpm.v)),"")</f>
        <v/>
      </c>
      <c r="AO13" s="12" t="str">
        <f>IFERROR(_xlfn.LET(_xlpm.v,INDEX('product-export-27-8-2026'!$A:$AJ,MATCH($A13,'product-export-27-8-2026'!$A:$A,0),MATCH(AO$1,'product-export-27-8-2026'!$1:$1,0)),IF(_xlpm.v="","",_xlpm.v)),"")</f>
        <v/>
      </c>
      <c r="AP13" s="12" t="str">
        <f>IFERROR(_xlfn.LET(_xlpm.v,INDEX('product-export-27-8-2026'!$A:$AJ,MATCH($A13,'product-export-27-8-2026'!$A:$A,0),MATCH(AP$1,'product-export-27-8-2026'!$1:$1,0)),IF(_xlpm.v="","",_xlpm.v)),"")</f>
        <v/>
      </c>
      <c r="AQ13" s="12" t="str">
        <f>IFERROR(_xlfn.LET(_xlpm.v,INDEX('product-export-27-8-2026'!$A:$AJ,MATCH($A13,'product-export-27-8-2026'!$A:$A,0),MATCH(AQ$1,'product-export-27-8-2026'!$1:$1,0)),IF(_xlpm.v="","",_xlpm.v)),"")</f>
        <v/>
      </c>
      <c r="AR13" s="12" t="str">
        <f>IFERROR(_xlfn.LET(_xlpm.v,INDEX('product-export-27-8-2026'!$A:$AJ,MATCH($A13,'product-export-27-8-2026'!$A:$A,0),MATCH(AR$1,'product-export-27-8-2026'!$1:$1,0)),IF(_xlpm.v="","",_xlpm.v)),"")</f>
        <v>Diaries, Dorchester Collection, Diaries &gt; Pocket Diaries</v>
      </c>
      <c r="AS13" s="12" t="str">
        <f>IFERROR(_xlfn.LET(_xlpm.v,INDEX('product-export-27-8-2026'!$A:$AJ,MATCH($A13,'product-export-27-8-2026'!$A:$A,0),MATCH(AS$1,'product-export-27-8-2026'!$1:$1,0)),IF(_xlpm.v="","",_xlpm.v)),"")</f>
        <v>Dorchester-Newhide-Bicolor-Pocket-Week-to-View</v>
      </c>
      <c r="BC13" s="15"/>
    </row>
    <row r="14" spans="1:55" s="14" customFormat="1" ht="27.6" customHeight="1" x14ac:dyDescent="0.3">
      <c r="A14" s="11">
        <v>626</v>
      </c>
      <c r="B14" s="12" t="s">
        <v>347</v>
      </c>
      <c r="C14" s="12" t="s">
        <v>18</v>
      </c>
      <c r="D14" s="12" t="s">
        <v>34</v>
      </c>
      <c r="E14" s="13" t="s">
        <v>34</v>
      </c>
      <c r="F14" s="12" t="s">
        <v>35</v>
      </c>
      <c r="G14" s="12" t="s">
        <v>19</v>
      </c>
      <c r="H14" s="12" t="s">
        <v>720</v>
      </c>
      <c r="I14" s="12" t="s">
        <v>20</v>
      </c>
      <c r="J14" s="12" t="s">
        <v>87</v>
      </c>
      <c r="K14" s="12" t="s">
        <v>1666</v>
      </c>
      <c r="L14" s="60">
        <v>0.42</v>
      </c>
      <c r="M14" s="11">
        <v>8.99</v>
      </c>
      <c r="N14" s="12" t="s">
        <v>36</v>
      </c>
      <c r="O14" s="56">
        <f>IFERROR(VALUE(_xlfn.TEXTBEFORE(_xlfn.TEXTAFTER(";"&amp;$N14,";"&amp;SUBSTITUTE(O$1,"Qty ","")&amp;":"),";")),"")</f>
        <v>9.09</v>
      </c>
      <c r="P14" s="56">
        <f>IFERROR(VALUE(_xlfn.TEXTBEFORE(_xlfn.TEXTAFTER(";"&amp;$N14,";"&amp;SUBSTITUTE(P$1,"Qty ","")&amp;":"),";")),"")</f>
        <v>8.7100000000000009</v>
      </c>
      <c r="Q14" s="56">
        <f>IFERROR(VALUE(_xlfn.TEXTBEFORE(_xlfn.TEXTAFTER(";"&amp;$N14,";"&amp;SUBSTITUTE(Q$1,"Qty ","")&amp;":"),";")),"")</f>
        <v>5.2</v>
      </c>
      <c r="R14" s="56">
        <f>IFERROR(VALUE(_xlfn.TEXTBEFORE(_xlfn.TEXTAFTER(";"&amp;$N14,";"&amp;SUBSTITUTE(R$1,"Qty ","")&amp;":"),";")),"")</f>
        <v>4.33</v>
      </c>
      <c r="S14" s="56">
        <f>IFERROR(VALUE(_xlfn.TEXTBEFORE(_xlfn.TEXTAFTER(";"&amp;$N14,";"&amp;SUBSTITUTE(S$1,"Qty ","")&amp;":"),";")),"")</f>
        <v>3.6</v>
      </c>
      <c r="T14" s="56">
        <f>IFERROR(VALUE(_xlfn.TEXTBEFORE(_xlfn.TEXTAFTER(";"&amp;$N14,";"&amp;SUBSTITUTE(T$1,"Qty ","")&amp;":"),";")),"")</f>
        <v>2.98</v>
      </c>
      <c r="U14" s="56">
        <f>IFERROR(VALUE(_xlfn.TEXTBEFORE(_xlfn.TEXTAFTER(";"&amp;$N14,";"&amp;SUBSTITUTE(U$1,"Qty ","")&amp;":"),";")),"")</f>
        <v>2.61</v>
      </c>
      <c r="V14" s="56">
        <f>IFERROR(VALUE(_xlfn.TEXTBEFORE(_xlfn.TEXTAFTER(";"&amp;$N14,";"&amp;SUBSTITUTE(V$1,"Qty ","")&amp;":"),";")),"")</f>
        <v>2.5</v>
      </c>
      <c r="W14" s="56">
        <f>IFERROR(VALUE(_xlfn.TEXTBEFORE(_xlfn.TEXTAFTER(";"&amp;$N14,";"&amp;SUBSTITUTE(W$1,"Qty ","")&amp;":"),";")),"")</f>
        <v>2.31</v>
      </c>
      <c r="X14" s="30" t="str" cm="1">
        <f t="array" ref="X14">IF(Y14="","",_xlfn.TEXTJOIN(";",TRUE,SUBSTITUTE($Y$1:$AG$1,"Qty ","")&amp;":"&amp;TEXT(Y14:AG14,"0.00"))&amp;";")</f>
        <v>1:12.51;10:11.34;25:7.03;50:5.83;100:4.98;250:4.24;500:3.81;750:3.67;1000:3.45;</v>
      </c>
      <c r="Y14" s="56">
        <f>'Blocking Prices'!$C$14+O14</f>
        <v>12.51</v>
      </c>
      <c r="Z14" s="56">
        <f>'Blocking Prices'!$D$14+P14</f>
        <v>11.34</v>
      </c>
      <c r="AA14" s="56">
        <f>'Blocking Prices'!$E$14+Q14</f>
        <v>7.03</v>
      </c>
      <c r="AB14" s="56">
        <f>'Blocking Prices'!$F$14+R14</f>
        <v>5.83</v>
      </c>
      <c r="AC14" s="56">
        <f>'Blocking Prices'!$G$14+S14</f>
        <v>4.9800000000000004</v>
      </c>
      <c r="AD14" s="56">
        <f>'Blocking Prices'!$H$14+T14</f>
        <v>4.24</v>
      </c>
      <c r="AE14" s="56">
        <f>'Blocking Prices'!$I$14+U14</f>
        <v>3.8099999999999996</v>
      </c>
      <c r="AF14" s="56">
        <f>'Blocking Prices'!$J$14+V14</f>
        <v>3.67</v>
      </c>
      <c r="AG14" s="56">
        <f>'Blocking Prices'!$K$14+W14</f>
        <v>3.45</v>
      </c>
      <c r="AH14" s="11"/>
      <c r="AI14" s="11"/>
      <c r="AJ14" s="11"/>
      <c r="AK14" s="11"/>
      <c r="AL14" s="12" t="s">
        <v>717</v>
      </c>
      <c r="AM14" s="12" t="s">
        <v>576</v>
      </c>
      <c r="AN14" s="12" t="str">
        <f>IFERROR(_xlfn.LET(_xlpm.v,INDEX('product-export-27-8-2026'!$A:$AJ,MATCH($A14,'product-export-27-8-2026'!$A:$A,0),MATCH(AN$1,'product-export-27-8-2026'!$1:$1,0)),IF(_xlpm.v="","",_xlpm.v)),"")</f>
        <v/>
      </c>
      <c r="AO14" s="12" t="str">
        <f>IFERROR(_xlfn.LET(_xlpm.v,INDEX('product-export-27-8-2026'!$A:$AJ,MATCH($A14,'product-export-27-8-2026'!$A:$A,0),MATCH(AO$1,'product-export-27-8-2026'!$1:$1,0)),IF(_xlpm.v="","",_xlpm.v)),"")</f>
        <v/>
      </c>
      <c r="AP14" s="12" t="str">
        <f>IFERROR(_xlfn.LET(_xlpm.v,INDEX('product-export-27-8-2026'!$A:$AJ,MATCH($A14,'product-export-27-8-2026'!$A:$A,0),MATCH(AP$1,'product-export-27-8-2026'!$1:$1,0)),IF(_xlpm.v="","",_xlpm.v)),"")</f>
        <v/>
      </c>
      <c r="AQ14" s="12" t="str">
        <f>IFERROR(_xlfn.LET(_xlpm.v,INDEX('product-export-27-8-2026'!$A:$AJ,MATCH($A14,'product-export-27-8-2026'!$A:$A,0),MATCH(AQ$1,'product-export-27-8-2026'!$1:$1,0)),IF(_xlpm.v="","",_xlpm.v)),"")</f>
        <v/>
      </c>
      <c r="AR14" s="12" t="str">
        <f>IFERROR(_xlfn.LET(_xlpm.v,INDEX('product-export-27-8-2026'!$A:$AJ,MATCH($A14,'product-export-27-8-2026'!$A:$A,0),MATCH(AR$1,'product-export-27-8-2026'!$1:$1,0)),IF(_xlpm.v="","",_xlpm.v)),"")</f>
        <v>Diaries, Dorchester Collection, Diaries &gt; Pocket Diaries</v>
      </c>
      <c r="AS14" s="12" t="str">
        <f>IFERROR(_xlfn.LET(_xlpm.v,INDEX('product-export-27-8-2026'!$A:$AJ,MATCH($A14,'product-export-27-8-2026'!$A:$A,0),MATCH(AS$1,'product-export-27-8-2026'!$1:$1,0)),IF(_xlpm.v="","",_xlpm.v)),"")</f>
        <v>Dorchester-NewHide-Pocket-Week-to-View</v>
      </c>
      <c r="BC14" s="15"/>
    </row>
    <row r="15" spans="1:55" s="14" customFormat="1" ht="27.6" customHeight="1" x14ac:dyDescent="0.3">
      <c r="A15" s="11">
        <v>628</v>
      </c>
      <c r="B15" s="12" t="s">
        <v>348</v>
      </c>
      <c r="C15" s="12" t="s">
        <v>18</v>
      </c>
      <c r="D15" s="12" t="s">
        <v>37</v>
      </c>
      <c r="E15" s="13" t="s">
        <v>37</v>
      </c>
      <c r="F15" s="12" t="s">
        <v>35</v>
      </c>
      <c r="G15" s="12" t="s">
        <v>19</v>
      </c>
      <c r="H15" s="12" t="s">
        <v>672</v>
      </c>
      <c r="I15" s="12" t="s">
        <v>20</v>
      </c>
      <c r="J15" s="12" t="s">
        <v>87</v>
      </c>
      <c r="K15" s="12" t="s">
        <v>1666</v>
      </c>
      <c r="L15" s="60">
        <v>0.42</v>
      </c>
      <c r="M15" s="11">
        <v>8.99</v>
      </c>
      <c r="N15" s="12" t="s">
        <v>36</v>
      </c>
      <c r="O15" s="56">
        <f>IFERROR(VALUE(_xlfn.TEXTBEFORE(_xlfn.TEXTAFTER(";"&amp;$N15,";"&amp;SUBSTITUTE(O$1,"Qty ","")&amp;":"),";")),"")</f>
        <v>9.09</v>
      </c>
      <c r="P15" s="56">
        <f>IFERROR(VALUE(_xlfn.TEXTBEFORE(_xlfn.TEXTAFTER(";"&amp;$N15,";"&amp;SUBSTITUTE(P$1,"Qty ","")&amp;":"),";")),"")</f>
        <v>8.7100000000000009</v>
      </c>
      <c r="Q15" s="56">
        <f>IFERROR(VALUE(_xlfn.TEXTBEFORE(_xlfn.TEXTAFTER(";"&amp;$N15,";"&amp;SUBSTITUTE(Q$1,"Qty ","")&amp;":"),";")),"")</f>
        <v>5.2</v>
      </c>
      <c r="R15" s="56">
        <f>IFERROR(VALUE(_xlfn.TEXTBEFORE(_xlfn.TEXTAFTER(";"&amp;$N15,";"&amp;SUBSTITUTE(R$1,"Qty ","")&amp;":"),";")),"")</f>
        <v>4.33</v>
      </c>
      <c r="S15" s="56">
        <f>IFERROR(VALUE(_xlfn.TEXTBEFORE(_xlfn.TEXTAFTER(";"&amp;$N15,";"&amp;SUBSTITUTE(S$1,"Qty ","")&amp;":"),";")),"")</f>
        <v>3.6</v>
      </c>
      <c r="T15" s="56">
        <f>IFERROR(VALUE(_xlfn.TEXTBEFORE(_xlfn.TEXTAFTER(";"&amp;$N15,";"&amp;SUBSTITUTE(T$1,"Qty ","")&amp;":"),";")),"")</f>
        <v>2.98</v>
      </c>
      <c r="U15" s="56">
        <f>IFERROR(VALUE(_xlfn.TEXTBEFORE(_xlfn.TEXTAFTER(";"&amp;$N15,";"&amp;SUBSTITUTE(U$1,"Qty ","")&amp;":"),";")),"")</f>
        <v>2.61</v>
      </c>
      <c r="V15" s="56">
        <f>IFERROR(VALUE(_xlfn.TEXTBEFORE(_xlfn.TEXTAFTER(";"&amp;$N15,";"&amp;SUBSTITUTE(V$1,"Qty ","")&amp;":"),";")),"")</f>
        <v>2.5</v>
      </c>
      <c r="W15" s="56">
        <f>IFERROR(VALUE(_xlfn.TEXTBEFORE(_xlfn.TEXTAFTER(";"&amp;$N15,";"&amp;SUBSTITUTE(W$1,"Qty ","")&amp;":"),";")),"")</f>
        <v>2.31</v>
      </c>
      <c r="X15" s="30" t="str" cm="1">
        <f t="array" ref="X15">IF(Y15="","",_xlfn.TEXTJOIN(";",TRUE,SUBSTITUTE($Y$1:$AG$1,"Qty ","")&amp;":"&amp;TEXT(Y15:AG15,"0.00"))&amp;";")</f>
        <v>1:12.51;10:11.34;25:7.03;50:5.83;100:4.98;250:4.24;500:3.81;750:3.67;1000:3.45;</v>
      </c>
      <c r="Y15" s="56">
        <f>'Blocking Prices'!$C$14+O15</f>
        <v>12.51</v>
      </c>
      <c r="Z15" s="56">
        <f>'Blocking Prices'!$D$14+P15</f>
        <v>11.34</v>
      </c>
      <c r="AA15" s="56">
        <f>'Blocking Prices'!$E$14+Q15</f>
        <v>7.03</v>
      </c>
      <c r="AB15" s="56">
        <f>'Blocking Prices'!$F$14+R15</f>
        <v>5.83</v>
      </c>
      <c r="AC15" s="56">
        <f>'Blocking Prices'!$G$14+S15</f>
        <v>4.9800000000000004</v>
      </c>
      <c r="AD15" s="56">
        <f>'Blocking Prices'!$H$14+T15</f>
        <v>4.24</v>
      </c>
      <c r="AE15" s="56">
        <f>'Blocking Prices'!$I$14+U15</f>
        <v>3.8099999999999996</v>
      </c>
      <c r="AF15" s="56">
        <f>'Blocking Prices'!$J$14+V15</f>
        <v>3.67</v>
      </c>
      <c r="AG15" s="56">
        <f>'Blocking Prices'!$K$14+W15</f>
        <v>3.45</v>
      </c>
      <c r="AH15" s="11"/>
      <c r="AI15" s="11"/>
      <c r="AJ15" s="11"/>
      <c r="AK15" s="11"/>
      <c r="AL15" s="12" t="s">
        <v>724</v>
      </c>
      <c r="AM15" s="12" t="s">
        <v>576</v>
      </c>
      <c r="AN15" s="12" t="str">
        <f>IFERROR(_xlfn.LET(_xlpm.v,INDEX('product-export-27-8-2026'!$A:$AJ,MATCH($A15,'product-export-27-8-2026'!$A:$A,0),MATCH(AN$1,'product-export-27-8-2026'!$1:$1,0)),IF(_xlpm.v="","",_xlpm.v)),"")</f>
        <v/>
      </c>
      <c r="AO15" s="12" t="str">
        <f>IFERROR(_xlfn.LET(_xlpm.v,INDEX('product-export-27-8-2026'!$A:$AJ,MATCH($A15,'product-export-27-8-2026'!$A:$A,0),MATCH(AO$1,'product-export-27-8-2026'!$1:$1,0)),IF(_xlpm.v="","",_xlpm.v)),"")</f>
        <v/>
      </c>
      <c r="AP15" s="12" t="str">
        <f>IFERROR(_xlfn.LET(_xlpm.v,INDEX('product-export-27-8-2026'!$A:$AJ,MATCH($A15,'product-export-27-8-2026'!$A:$A,0),MATCH(AP$1,'product-export-27-8-2026'!$1:$1,0)),IF(_xlpm.v="","",_xlpm.v)),"")</f>
        <v/>
      </c>
      <c r="AQ15" s="12" t="str">
        <f>IFERROR(_xlfn.LET(_xlpm.v,INDEX('product-export-27-8-2026'!$A:$AJ,MATCH($A15,'product-export-27-8-2026'!$A:$A,0),MATCH(AQ$1,'product-export-27-8-2026'!$1:$1,0)),IF(_xlpm.v="","",_xlpm.v)),"")</f>
        <v/>
      </c>
      <c r="AR15" s="12" t="str">
        <f>IFERROR(_xlfn.LET(_xlpm.v,INDEX('product-export-27-8-2026'!$A:$AJ,MATCH($A15,'product-export-27-8-2026'!$A:$A,0),MATCH(AR$1,'product-export-27-8-2026'!$1:$1,0)),IF(_xlpm.v="","",_xlpm.v)),"")</f>
        <v>Diaries, Dorchester Collection, Diaries &gt; Pocket Diaries</v>
      </c>
      <c r="AS15" s="12" t="str">
        <f>IFERROR(_xlfn.LET(_xlpm.v,INDEX('product-export-27-8-2026'!$A:$AJ,MATCH($A15,'product-export-27-8-2026'!$A:$A,0),MATCH(AS$1,'product-export-27-8-2026'!$1:$1,0)),IF(_xlpm.v="","",_xlpm.v)),"")</f>
        <v>Dorchester-NewHide-Pocket-Week-to-View</v>
      </c>
      <c r="BC15" s="15"/>
    </row>
    <row r="16" spans="1:55" s="14" customFormat="1" ht="27.6" customHeight="1" x14ac:dyDescent="0.3">
      <c r="A16" s="11">
        <v>630</v>
      </c>
      <c r="B16" s="12" t="s">
        <v>349</v>
      </c>
      <c r="C16" s="12" t="s">
        <v>18</v>
      </c>
      <c r="D16" s="12" t="s">
        <v>38</v>
      </c>
      <c r="E16" s="13" t="s">
        <v>38</v>
      </c>
      <c r="F16" s="12" t="s">
        <v>35</v>
      </c>
      <c r="G16" s="12" t="s">
        <v>19</v>
      </c>
      <c r="H16" s="12" t="s">
        <v>728</v>
      </c>
      <c r="I16" s="12" t="s">
        <v>20</v>
      </c>
      <c r="J16" s="12" t="s">
        <v>87</v>
      </c>
      <c r="K16" s="12" t="s">
        <v>1666</v>
      </c>
      <c r="L16" s="60">
        <v>0.42</v>
      </c>
      <c r="M16" s="11">
        <v>8.99</v>
      </c>
      <c r="N16" s="12" t="s">
        <v>36</v>
      </c>
      <c r="O16" s="56">
        <f>IFERROR(VALUE(_xlfn.TEXTBEFORE(_xlfn.TEXTAFTER(";"&amp;$N16,";"&amp;SUBSTITUTE(O$1,"Qty ","")&amp;":"),";")),"")</f>
        <v>9.09</v>
      </c>
      <c r="P16" s="56">
        <f>IFERROR(VALUE(_xlfn.TEXTBEFORE(_xlfn.TEXTAFTER(";"&amp;$N16,";"&amp;SUBSTITUTE(P$1,"Qty ","")&amp;":"),";")),"")</f>
        <v>8.7100000000000009</v>
      </c>
      <c r="Q16" s="56">
        <f>IFERROR(VALUE(_xlfn.TEXTBEFORE(_xlfn.TEXTAFTER(";"&amp;$N16,";"&amp;SUBSTITUTE(Q$1,"Qty ","")&amp;":"),";")),"")</f>
        <v>5.2</v>
      </c>
      <c r="R16" s="56">
        <f>IFERROR(VALUE(_xlfn.TEXTBEFORE(_xlfn.TEXTAFTER(";"&amp;$N16,";"&amp;SUBSTITUTE(R$1,"Qty ","")&amp;":"),";")),"")</f>
        <v>4.33</v>
      </c>
      <c r="S16" s="56">
        <f>IFERROR(VALUE(_xlfn.TEXTBEFORE(_xlfn.TEXTAFTER(";"&amp;$N16,";"&amp;SUBSTITUTE(S$1,"Qty ","")&amp;":"),";")),"")</f>
        <v>3.6</v>
      </c>
      <c r="T16" s="56">
        <f>IFERROR(VALUE(_xlfn.TEXTBEFORE(_xlfn.TEXTAFTER(";"&amp;$N16,";"&amp;SUBSTITUTE(T$1,"Qty ","")&amp;":"),";")),"")</f>
        <v>2.98</v>
      </c>
      <c r="U16" s="56">
        <f>IFERROR(VALUE(_xlfn.TEXTBEFORE(_xlfn.TEXTAFTER(";"&amp;$N16,";"&amp;SUBSTITUTE(U$1,"Qty ","")&amp;":"),";")),"")</f>
        <v>2.61</v>
      </c>
      <c r="V16" s="56">
        <f>IFERROR(VALUE(_xlfn.TEXTBEFORE(_xlfn.TEXTAFTER(";"&amp;$N16,";"&amp;SUBSTITUTE(V$1,"Qty ","")&amp;":"),";")),"")</f>
        <v>2.5</v>
      </c>
      <c r="W16" s="56">
        <f>IFERROR(VALUE(_xlfn.TEXTBEFORE(_xlfn.TEXTAFTER(";"&amp;$N16,";"&amp;SUBSTITUTE(W$1,"Qty ","")&amp;":"),";")),"")</f>
        <v>2.31</v>
      </c>
      <c r="X16" s="30" t="str" cm="1">
        <f t="array" ref="X16">IF(Y16="","",_xlfn.TEXTJOIN(";",TRUE,SUBSTITUTE($Y$1:$AG$1,"Qty ","")&amp;":"&amp;TEXT(Y16:AG16,"0.00"))&amp;";")</f>
        <v>1:12.51;10:11.34;25:7.03;50:5.83;100:4.98;250:4.24;500:3.81;750:3.67;1000:3.45;</v>
      </c>
      <c r="Y16" s="56">
        <f>'Blocking Prices'!$C$14+O16</f>
        <v>12.51</v>
      </c>
      <c r="Z16" s="56">
        <f>'Blocking Prices'!$D$14+P16</f>
        <v>11.34</v>
      </c>
      <c r="AA16" s="56">
        <f>'Blocking Prices'!$E$14+Q16</f>
        <v>7.03</v>
      </c>
      <c r="AB16" s="56">
        <f>'Blocking Prices'!$F$14+R16</f>
        <v>5.83</v>
      </c>
      <c r="AC16" s="56">
        <f>'Blocking Prices'!$G$14+S16</f>
        <v>4.9800000000000004</v>
      </c>
      <c r="AD16" s="56">
        <f>'Blocking Prices'!$H$14+T16</f>
        <v>4.24</v>
      </c>
      <c r="AE16" s="56">
        <f>'Blocking Prices'!$I$14+U16</f>
        <v>3.8099999999999996</v>
      </c>
      <c r="AF16" s="56">
        <f>'Blocking Prices'!$J$14+V16</f>
        <v>3.67</v>
      </c>
      <c r="AG16" s="56">
        <f>'Blocking Prices'!$K$14+W16</f>
        <v>3.45</v>
      </c>
      <c r="AH16" s="11"/>
      <c r="AI16" s="11"/>
      <c r="AJ16" s="11"/>
      <c r="AK16" s="11"/>
      <c r="AL16" s="12" t="s">
        <v>724</v>
      </c>
      <c r="AM16" s="12" t="s">
        <v>576</v>
      </c>
      <c r="AN16" s="12" t="str">
        <f>IFERROR(_xlfn.LET(_xlpm.v,INDEX('product-export-27-8-2026'!$A:$AJ,MATCH($A16,'product-export-27-8-2026'!$A:$A,0),MATCH(AN$1,'product-export-27-8-2026'!$1:$1,0)),IF(_xlpm.v="","",_xlpm.v)),"")</f>
        <v/>
      </c>
      <c r="AO16" s="12" t="str">
        <f>IFERROR(_xlfn.LET(_xlpm.v,INDEX('product-export-27-8-2026'!$A:$AJ,MATCH($A16,'product-export-27-8-2026'!$A:$A,0),MATCH(AO$1,'product-export-27-8-2026'!$1:$1,0)),IF(_xlpm.v="","",_xlpm.v)),"")</f>
        <v/>
      </c>
      <c r="AP16" s="12" t="str">
        <f>IFERROR(_xlfn.LET(_xlpm.v,INDEX('product-export-27-8-2026'!$A:$AJ,MATCH($A16,'product-export-27-8-2026'!$A:$A,0),MATCH(AP$1,'product-export-27-8-2026'!$1:$1,0)),IF(_xlpm.v="","",_xlpm.v)),"")</f>
        <v/>
      </c>
      <c r="AQ16" s="12" t="str">
        <f>IFERROR(_xlfn.LET(_xlpm.v,INDEX('product-export-27-8-2026'!$A:$AJ,MATCH($A16,'product-export-27-8-2026'!$A:$A,0),MATCH(AQ$1,'product-export-27-8-2026'!$1:$1,0)),IF(_xlpm.v="","",_xlpm.v)),"")</f>
        <v/>
      </c>
      <c r="AR16" s="12" t="str">
        <f>IFERROR(_xlfn.LET(_xlpm.v,INDEX('product-export-27-8-2026'!$A:$AJ,MATCH($A16,'product-export-27-8-2026'!$A:$A,0),MATCH(AR$1,'product-export-27-8-2026'!$1:$1,0)),IF(_xlpm.v="","",_xlpm.v)),"")</f>
        <v>Diaries, Dorchester Collection, Diaries &gt; Pocket Diaries</v>
      </c>
      <c r="AS16" s="12" t="str">
        <f>IFERROR(_xlfn.LET(_xlpm.v,INDEX('product-export-27-8-2026'!$A:$AJ,MATCH($A16,'product-export-27-8-2026'!$A:$A,0),MATCH(AS$1,'product-export-27-8-2026'!$1:$1,0)),IF(_xlpm.v="","",_xlpm.v)),"")</f>
        <v>Dorchester-NewHide-Pocket-Week-to-View</v>
      </c>
      <c r="BC16" s="15"/>
    </row>
    <row r="17" spans="1:55" s="14" customFormat="1" ht="27.6" customHeight="1" x14ac:dyDescent="0.3">
      <c r="A17" s="11">
        <v>632</v>
      </c>
      <c r="B17" s="12" t="s">
        <v>350</v>
      </c>
      <c r="C17" s="12" t="s">
        <v>18</v>
      </c>
      <c r="D17" s="12" t="s">
        <v>39</v>
      </c>
      <c r="E17" s="13" t="s">
        <v>39</v>
      </c>
      <c r="F17" s="12" t="s">
        <v>35</v>
      </c>
      <c r="G17" s="12" t="s">
        <v>19</v>
      </c>
      <c r="H17" s="12" t="s">
        <v>731</v>
      </c>
      <c r="I17" s="12" t="s">
        <v>20</v>
      </c>
      <c r="J17" s="12" t="s">
        <v>87</v>
      </c>
      <c r="K17" s="12" t="s">
        <v>1666</v>
      </c>
      <c r="L17" s="60">
        <v>0.42</v>
      </c>
      <c r="M17" s="11">
        <v>8.99</v>
      </c>
      <c r="N17" s="12" t="s">
        <v>36</v>
      </c>
      <c r="O17" s="56">
        <f>IFERROR(VALUE(_xlfn.TEXTBEFORE(_xlfn.TEXTAFTER(";"&amp;$N17,";"&amp;SUBSTITUTE(O$1,"Qty ","")&amp;":"),";")),"")</f>
        <v>9.09</v>
      </c>
      <c r="P17" s="56">
        <f>IFERROR(VALUE(_xlfn.TEXTBEFORE(_xlfn.TEXTAFTER(";"&amp;$N17,";"&amp;SUBSTITUTE(P$1,"Qty ","")&amp;":"),";")),"")</f>
        <v>8.7100000000000009</v>
      </c>
      <c r="Q17" s="56">
        <f>IFERROR(VALUE(_xlfn.TEXTBEFORE(_xlfn.TEXTAFTER(";"&amp;$N17,";"&amp;SUBSTITUTE(Q$1,"Qty ","")&amp;":"),";")),"")</f>
        <v>5.2</v>
      </c>
      <c r="R17" s="56">
        <f>IFERROR(VALUE(_xlfn.TEXTBEFORE(_xlfn.TEXTAFTER(";"&amp;$N17,";"&amp;SUBSTITUTE(R$1,"Qty ","")&amp;":"),";")),"")</f>
        <v>4.33</v>
      </c>
      <c r="S17" s="56">
        <f>IFERROR(VALUE(_xlfn.TEXTBEFORE(_xlfn.TEXTAFTER(";"&amp;$N17,";"&amp;SUBSTITUTE(S$1,"Qty ","")&amp;":"),";")),"")</f>
        <v>3.6</v>
      </c>
      <c r="T17" s="56">
        <f>IFERROR(VALUE(_xlfn.TEXTBEFORE(_xlfn.TEXTAFTER(";"&amp;$N17,";"&amp;SUBSTITUTE(T$1,"Qty ","")&amp;":"),";")),"")</f>
        <v>2.98</v>
      </c>
      <c r="U17" s="56">
        <f>IFERROR(VALUE(_xlfn.TEXTBEFORE(_xlfn.TEXTAFTER(";"&amp;$N17,";"&amp;SUBSTITUTE(U$1,"Qty ","")&amp;":"),";")),"")</f>
        <v>2.61</v>
      </c>
      <c r="V17" s="56">
        <f>IFERROR(VALUE(_xlfn.TEXTBEFORE(_xlfn.TEXTAFTER(";"&amp;$N17,";"&amp;SUBSTITUTE(V$1,"Qty ","")&amp;":"),";")),"")</f>
        <v>2.5</v>
      </c>
      <c r="W17" s="56">
        <f>IFERROR(VALUE(_xlfn.TEXTBEFORE(_xlfn.TEXTAFTER(";"&amp;$N17,";"&amp;SUBSTITUTE(W$1,"Qty ","")&amp;":"),";")),"")</f>
        <v>2.31</v>
      </c>
      <c r="X17" s="30" t="str" cm="1">
        <f t="array" ref="X17">IF(Y17="","",_xlfn.TEXTJOIN(";",TRUE,SUBSTITUTE($Y$1:$AG$1,"Qty ","")&amp;":"&amp;TEXT(Y17:AG17,"0.00"))&amp;";")</f>
        <v>1:12.51;10:11.34;25:7.03;50:5.83;100:4.98;250:4.24;500:3.81;750:3.67;1000:3.45;</v>
      </c>
      <c r="Y17" s="56">
        <f>'Blocking Prices'!$C$14+O17</f>
        <v>12.51</v>
      </c>
      <c r="Z17" s="56">
        <f>'Blocking Prices'!$D$14+P17</f>
        <v>11.34</v>
      </c>
      <c r="AA17" s="56">
        <f>'Blocking Prices'!$E$14+Q17</f>
        <v>7.03</v>
      </c>
      <c r="AB17" s="56">
        <f>'Blocking Prices'!$F$14+R17</f>
        <v>5.83</v>
      </c>
      <c r="AC17" s="56">
        <f>'Blocking Prices'!$G$14+S17</f>
        <v>4.9800000000000004</v>
      </c>
      <c r="AD17" s="56">
        <f>'Blocking Prices'!$H$14+T17</f>
        <v>4.24</v>
      </c>
      <c r="AE17" s="56">
        <f>'Blocking Prices'!$I$14+U17</f>
        <v>3.8099999999999996</v>
      </c>
      <c r="AF17" s="56">
        <f>'Blocking Prices'!$J$14+V17</f>
        <v>3.67</v>
      </c>
      <c r="AG17" s="56">
        <f>'Blocking Prices'!$K$14+W17</f>
        <v>3.45</v>
      </c>
      <c r="AH17" s="11"/>
      <c r="AI17" s="11"/>
      <c r="AJ17" s="11"/>
      <c r="AK17" s="11"/>
      <c r="AL17" s="12" t="s">
        <v>717</v>
      </c>
      <c r="AM17" s="12" t="s">
        <v>576</v>
      </c>
      <c r="AN17" s="12" t="str">
        <f>IFERROR(_xlfn.LET(_xlpm.v,INDEX('product-export-27-8-2026'!$A:$AJ,MATCH($A17,'product-export-27-8-2026'!$A:$A,0),MATCH(AN$1,'product-export-27-8-2026'!$1:$1,0)),IF(_xlpm.v="","",_xlpm.v)),"")</f>
        <v/>
      </c>
      <c r="AO17" s="12" t="str">
        <f>IFERROR(_xlfn.LET(_xlpm.v,INDEX('product-export-27-8-2026'!$A:$AJ,MATCH($A17,'product-export-27-8-2026'!$A:$A,0),MATCH(AO$1,'product-export-27-8-2026'!$1:$1,0)),IF(_xlpm.v="","",_xlpm.v)),"")</f>
        <v/>
      </c>
      <c r="AP17" s="12" t="str">
        <f>IFERROR(_xlfn.LET(_xlpm.v,INDEX('product-export-27-8-2026'!$A:$AJ,MATCH($A17,'product-export-27-8-2026'!$A:$A,0),MATCH(AP$1,'product-export-27-8-2026'!$1:$1,0)),IF(_xlpm.v="","",_xlpm.v)),"")</f>
        <v/>
      </c>
      <c r="AQ17" s="12" t="str">
        <f>IFERROR(_xlfn.LET(_xlpm.v,INDEX('product-export-27-8-2026'!$A:$AJ,MATCH($A17,'product-export-27-8-2026'!$A:$A,0),MATCH(AQ$1,'product-export-27-8-2026'!$1:$1,0)),IF(_xlpm.v="","",_xlpm.v)),"")</f>
        <v/>
      </c>
      <c r="AR17" s="12" t="str">
        <f>IFERROR(_xlfn.LET(_xlpm.v,INDEX('product-export-27-8-2026'!$A:$AJ,MATCH($A17,'product-export-27-8-2026'!$A:$A,0),MATCH(AR$1,'product-export-27-8-2026'!$1:$1,0)),IF(_xlpm.v="","",_xlpm.v)),"")</f>
        <v>Diaries, Dorchester Collection, Diaries &gt; Pocket Diaries</v>
      </c>
      <c r="AS17" s="12" t="str">
        <f>IFERROR(_xlfn.LET(_xlpm.v,INDEX('product-export-27-8-2026'!$A:$AJ,MATCH($A17,'product-export-27-8-2026'!$A:$A,0),MATCH(AS$1,'product-export-27-8-2026'!$1:$1,0)),IF(_xlpm.v="","",_xlpm.v)),"")</f>
        <v>Dorchester-NewHide-Pocket-Week-to-View</v>
      </c>
      <c r="BC17" s="15"/>
    </row>
    <row r="18" spans="1:55" s="14" customFormat="1" ht="27.6" customHeight="1" x14ac:dyDescent="0.3">
      <c r="A18" s="11">
        <v>681</v>
      </c>
      <c r="B18" s="12" t="s">
        <v>351</v>
      </c>
      <c r="C18" s="12" t="s">
        <v>18</v>
      </c>
      <c r="D18" s="12" t="s">
        <v>40</v>
      </c>
      <c r="E18" s="13" t="s">
        <v>40</v>
      </c>
      <c r="F18" s="12" t="s">
        <v>42</v>
      </c>
      <c r="G18" s="12" t="s">
        <v>14</v>
      </c>
      <c r="H18" s="12" t="s">
        <v>728</v>
      </c>
      <c r="I18" s="12" t="s">
        <v>41</v>
      </c>
      <c r="J18" s="10" t="s">
        <v>1541</v>
      </c>
      <c r="K18" s="12" t="s">
        <v>1665</v>
      </c>
      <c r="L18" s="60">
        <v>0.48</v>
      </c>
      <c r="M18" s="11">
        <v>21.99</v>
      </c>
      <c r="N18" s="12" t="s">
        <v>43</v>
      </c>
      <c r="O18" s="56">
        <f>IFERROR(VALUE(_xlfn.TEXTBEFORE(_xlfn.TEXTAFTER(";"&amp;$N18,";"&amp;SUBSTITUTE(O$1,"Qty ","")&amp;":"),";")),"")</f>
        <v>19.98</v>
      </c>
      <c r="P18" s="56">
        <f>IFERROR(VALUE(_xlfn.TEXTBEFORE(_xlfn.TEXTAFTER(";"&amp;$N18,";"&amp;SUBSTITUTE(P$1,"Qty ","")&amp;":"),";")),"")</f>
        <v>19.059999999999999</v>
      </c>
      <c r="Q18" s="56">
        <f>IFERROR(VALUE(_xlfn.TEXTBEFORE(_xlfn.TEXTAFTER(";"&amp;$N18,";"&amp;SUBSTITUTE(Q$1,"Qty ","")&amp;":"),";")),"")</f>
        <v>15.93</v>
      </c>
      <c r="R18" s="56">
        <f>IFERROR(VALUE(_xlfn.TEXTBEFORE(_xlfn.TEXTAFTER(";"&amp;$N18,";"&amp;SUBSTITUTE(R$1,"Qty ","")&amp;":"),";")),"")</f>
        <v>11.89</v>
      </c>
      <c r="S18" s="56">
        <f>IFERROR(VALUE(_xlfn.TEXTBEFORE(_xlfn.TEXTAFTER(";"&amp;$N18,";"&amp;SUBSTITUTE(S$1,"Qty ","")&amp;":"),";")),"")</f>
        <v>10.7</v>
      </c>
      <c r="T18" s="56">
        <f>IFERROR(VALUE(_xlfn.TEXTBEFORE(_xlfn.TEXTAFTER(";"&amp;$N18,";"&amp;SUBSTITUTE(T$1,"Qty ","")&amp;":"),";")),"")</f>
        <v>10.01</v>
      </c>
      <c r="U18" s="56">
        <f>IFERROR(VALUE(_xlfn.TEXTBEFORE(_xlfn.TEXTAFTER(";"&amp;$N18,";"&amp;SUBSTITUTE(U$1,"Qty ","")&amp;":"),";")),"")</f>
        <v>9.56</v>
      </c>
      <c r="V18" s="56">
        <f>IFERROR(VALUE(_xlfn.TEXTBEFORE(_xlfn.TEXTAFTER(";"&amp;$N18,";"&amp;SUBSTITUTE(V$1,"Qty ","")&amp;":"),";")),"")</f>
        <v>9.1300000000000008</v>
      </c>
      <c r="W18" s="56">
        <f>IFERROR(VALUE(_xlfn.TEXTBEFORE(_xlfn.TEXTAFTER(";"&amp;$N18,";"&amp;SUBSTITUTE(W$1,"Qty ","")&amp;":"),";")),"")</f>
        <v>8.5399999999999991</v>
      </c>
      <c r="X18" s="30" t="str" cm="1">
        <f t="array" ref="X18">IF(Y18="","",_xlfn.TEXTJOIN(";",TRUE,SUBSTITUTE($Y$1:$AG$1,"Qty ","")&amp;":"&amp;TEXT(Y18:AG18,"0.00"))&amp;";")</f>
        <v>1:25.20;10:23.46;25:19.50;50:14.86;100:13.43;250:12.39;500:11.93;750:11.44;1000:10.79;</v>
      </c>
      <c r="Y18" s="56">
        <f>'Blocking Prices'!$C$15+O18</f>
        <v>25.2</v>
      </c>
      <c r="Z18" s="56">
        <f>'Blocking Prices'!$D$15+P18</f>
        <v>23.46</v>
      </c>
      <c r="AA18" s="56">
        <f>'Blocking Prices'!$E$15+Q18</f>
        <v>19.5</v>
      </c>
      <c r="AB18" s="56">
        <f>'Blocking Prices'!$F$15+R18</f>
        <v>14.860000000000001</v>
      </c>
      <c r="AC18" s="56">
        <f>'Blocking Prices'!$G$15+S18</f>
        <v>13.43</v>
      </c>
      <c r="AD18" s="56">
        <f>'Blocking Prices'!$H$15+T18</f>
        <v>12.39</v>
      </c>
      <c r="AE18" s="56">
        <f>'Blocking Prices'!$I$15+U18</f>
        <v>11.93</v>
      </c>
      <c r="AF18" s="56">
        <f>'Blocking Prices'!$J$15+V18</f>
        <v>11.440000000000001</v>
      </c>
      <c r="AG18" s="56">
        <f>'Blocking Prices'!$K$15+W18</f>
        <v>10.79</v>
      </c>
      <c r="AH18" s="11"/>
      <c r="AI18" s="11"/>
      <c r="AJ18" s="11"/>
      <c r="AK18" s="11"/>
      <c r="AL18" s="12" t="s">
        <v>732</v>
      </c>
      <c r="AM18" s="12" t="s">
        <v>664</v>
      </c>
      <c r="AN18" s="12" t="str">
        <f>IFERROR(_xlfn.LET(_xlpm.v,INDEX('product-export-27-8-2026'!$A:$AJ,MATCH($A18,'product-export-27-8-2026'!$A:$A,0),MATCH(AN$1,'product-export-27-8-2026'!$1:$1,0)),IF(_xlpm.v="","",_xlpm.v)),"")</f>
        <v/>
      </c>
      <c r="AO18" s="12" t="str">
        <f>IFERROR(_xlfn.LET(_xlpm.v,INDEX('product-export-27-8-2026'!$A:$AJ,MATCH($A18,'product-export-27-8-2026'!$A:$A,0),MATCH(AO$1,'product-export-27-8-2026'!$1:$1,0)),IF(_xlpm.v="","",_xlpm.v)),"")</f>
        <v/>
      </c>
      <c r="AP18" s="12" t="str">
        <f>IFERROR(_xlfn.LET(_xlpm.v,INDEX('product-export-27-8-2026'!$A:$AJ,MATCH($A18,'product-export-27-8-2026'!$A:$A,0),MATCH(AP$1,'product-export-27-8-2026'!$1:$1,0)),IF(_xlpm.v="","",_xlpm.v)),"")</f>
        <v/>
      </c>
      <c r="AQ18" s="12" t="str">
        <f>IFERROR(_xlfn.LET(_xlpm.v,INDEX('product-export-27-8-2026'!$A:$AJ,MATCH($A18,'product-export-27-8-2026'!$A:$A,0),MATCH(AQ$1,'product-export-27-8-2026'!$1:$1,0)),IF(_xlpm.v="","",_xlpm.v)),"")</f>
        <v/>
      </c>
      <c r="AR18" s="12" t="str">
        <f>IFERROR(_xlfn.LET(_xlpm.v,INDEX('product-export-27-8-2026'!$A:$AJ,MATCH($A18,'product-export-27-8-2026'!$A:$A,0),MATCH(AR$1,'product-export-27-8-2026'!$1:$1,0)),IF(_xlpm.v="","",_xlpm.v)),"")</f>
        <v>Diaries &gt; A5 Diary, Chelsea Collection, Diaries, Diaries &gt; A5 Diary &gt; DPP, Foil blocked, Diaries &gt; Real Leather</v>
      </c>
      <c r="AS18" s="12" t="str">
        <f>IFERROR(_xlfn.LET(_xlpm.v,INDEX('product-export-27-8-2026'!$A:$AJ,MATCH($A18,'product-export-27-8-2026'!$A:$A,0),MATCH(AS$1,'product-export-27-8-2026'!$1:$1,0)),IF(_xlpm.v="","",_xlpm.v)),"")</f>
        <v/>
      </c>
      <c r="BC18" s="15"/>
    </row>
    <row r="19" spans="1:55" s="14" customFormat="1" ht="27.6" customHeight="1" x14ac:dyDescent="0.3">
      <c r="A19" s="11">
        <v>685</v>
      </c>
      <c r="B19" s="12" t="s">
        <v>352</v>
      </c>
      <c r="C19" s="12" t="s">
        <v>18</v>
      </c>
      <c r="D19" s="12" t="s">
        <v>44</v>
      </c>
      <c r="E19" s="13" t="s">
        <v>44</v>
      </c>
      <c r="F19" s="12" t="s">
        <v>45</v>
      </c>
      <c r="G19" s="12" t="s">
        <v>14</v>
      </c>
      <c r="H19" s="12" t="s">
        <v>1575</v>
      </c>
      <c r="I19" s="12" t="s">
        <v>41</v>
      </c>
      <c r="J19" s="12" t="s">
        <v>87</v>
      </c>
      <c r="K19" s="12" t="s">
        <v>1665</v>
      </c>
      <c r="L19" s="60">
        <v>0.48</v>
      </c>
      <c r="M19" s="11">
        <v>15.99</v>
      </c>
      <c r="N19" s="12" t="s">
        <v>46</v>
      </c>
      <c r="O19" s="56">
        <f>IFERROR(VALUE(_xlfn.TEXTBEFORE(_xlfn.TEXTAFTER(";"&amp;$N19,";"&amp;SUBSTITUTE(O$1,"Qty ","")&amp;":"),";")),"")</f>
        <v>15.44</v>
      </c>
      <c r="P19" s="56">
        <f>IFERROR(VALUE(_xlfn.TEXTBEFORE(_xlfn.TEXTAFTER(";"&amp;$N19,";"&amp;SUBSTITUTE(P$1,"Qty ","")&amp;":"),";")),"")</f>
        <v>14.78</v>
      </c>
      <c r="Q19" s="56">
        <f>IFERROR(VALUE(_xlfn.TEXTBEFORE(_xlfn.TEXTAFTER(";"&amp;$N19,";"&amp;SUBSTITUTE(Q$1,"Qty ","")&amp;":"),";")),"")</f>
        <v>10.01</v>
      </c>
      <c r="R19" s="56">
        <f>IFERROR(VALUE(_xlfn.TEXTBEFORE(_xlfn.TEXTAFTER(";"&amp;$N19,";"&amp;SUBSTITUTE(R$1,"Qty ","")&amp;":"),";")),"")</f>
        <v>8.94</v>
      </c>
      <c r="S19" s="56">
        <f>IFERROR(VALUE(_xlfn.TEXTBEFORE(_xlfn.TEXTAFTER(";"&amp;$N19,";"&amp;SUBSTITUTE(S$1,"Qty ","")&amp;":"),";")),"")</f>
        <v>8.4700000000000006</v>
      </c>
      <c r="T19" s="56">
        <f>IFERROR(VALUE(_xlfn.TEXTBEFORE(_xlfn.TEXTAFTER(";"&amp;$N19,";"&amp;SUBSTITUTE(T$1,"Qty ","")&amp;":"),";")),"")</f>
        <v>8.09</v>
      </c>
      <c r="U19" s="56">
        <f>IFERROR(VALUE(_xlfn.TEXTBEFORE(_xlfn.TEXTAFTER(";"&amp;$N19,";"&amp;SUBSTITUTE(U$1,"Qty ","")&amp;":"),";")),"")</f>
        <v>7.44</v>
      </c>
      <c r="V19" s="56">
        <f>IFERROR(VALUE(_xlfn.TEXTBEFORE(_xlfn.TEXTAFTER(";"&amp;$N19,";"&amp;SUBSTITUTE(V$1,"Qty ","")&amp;":"),";")),"")</f>
        <v>7.15</v>
      </c>
      <c r="W19" s="56">
        <f>IFERROR(VALUE(_xlfn.TEXTBEFORE(_xlfn.TEXTAFTER(";"&amp;$N19,";"&amp;SUBSTITUTE(W$1,"Qty ","")&amp;":"),";")),"")</f>
        <v>6.7</v>
      </c>
      <c r="X19" s="30" t="str" cm="1">
        <f t="array" ref="X19">IF(Y19="","",_xlfn.TEXTJOIN(";",TRUE,SUBSTITUTE($Y$1:$AG$1,"Qty ","")&amp;":"&amp;TEXT(Y19:AG19,"0.00"))&amp;";")</f>
        <v>1:20.66;10:19.18;25:13.58;50:11.91;100:11.20;250:10.47;500:9.81;750:9.46;1000:8.95;</v>
      </c>
      <c r="Y19" s="56">
        <f>'Blocking Prices'!$C$15+O19</f>
        <v>20.66</v>
      </c>
      <c r="Z19" s="56">
        <f>'Blocking Prices'!$D$15+P19</f>
        <v>19.18</v>
      </c>
      <c r="AA19" s="56">
        <f>'Blocking Prices'!$E$15+Q19</f>
        <v>13.58</v>
      </c>
      <c r="AB19" s="56">
        <f>'Blocking Prices'!$F$15+R19</f>
        <v>11.91</v>
      </c>
      <c r="AC19" s="56">
        <f>'Blocking Prices'!$G$15+S19</f>
        <v>11.200000000000001</v>
      </c>
      <c r="AD19" s="56">
        <f>'Blocking Prices'!$H$15+T19</f>
        <v>10.469999999999999</v>
      </c>
      <c r="AE19" s="56">
        <f>'Blocking Prices'!$I$15+U19</f>
        <v>9.81</v>
      </c>
      <c r="AF19" s="56">
        <f>'Blocking Prices'!$J$15+V19</f>
        <v>9.4600000000000009</v>
      </c>
      <c r="AG19" s="56">
        <f>'Blocking Prices'!$K$15+W19</f>
        <v>8.9499999999999993</v>
      </c>
      <c r="AH19" s="11"/>
      <c r="AI19" s="11"/>
      <c r="AJ19" s="11"/>
      <c r="AK19" s="11"/>
      <c r="AL19" s="12" t="s">
        <v>737</v>
      </c>
      <c r="AM19" s="12" t="s">
        <v>738</v>
      </c>
      <c r="AN19" s="12" t="str">
        <f>IFERROR(_xlfn.LET(_xlpm.v,INDEX('product-export-27-8-2026'!$A:$AJ,MATCH($A19,'product-export-27-8-2026'!$A:$A,0),MATCH(AN$1,'product-export-27-8-2026'!$1:$1,0)),IF(_xlpm.v="","",_xlpm.v)),"")</f>
        <v/>
      </c>
      <c r="AO19" s="12" t="str">
        <f>IFERROR(_xlfn.LET(_xlpm.v,INDEX('product-export-27-8-2026'!$A:$AJ,MATCH($A19,'product-export-27-8-2026'!$A:$A,0),MATCH(AO$1,'product-export-27-8-2026'!$1:$1,0)),IF(_xlpm.v="","",_xlpm.v)),"")</f>
        <v/>
      </c>
      <c r="AP19" s="12" t="str">
        <f>IFERROR(_xlfn.LET(_xlpm.v,INDEX('product-export-27-8-2026'!$A:$AJ,MATCH($A19,'product-export-27-8-2026'!$A:$A,0),MATCH(AP$1,'product-export-27-8-2026'!$1:$1,0)),IF(_xlpm.v="","",_xlpm.v)),"")</f>
        <v/>
      </c>
      <c r="AQ19" s="12" t="str">
        <f>IFERROR(_xlfn.LET(_xlpm.v,INDEX('product-export-27-8-2026'!$A:$AJ,MATCH($A19,'product-export-27-8-2026'!$A:$A,0),MATCH(AQ$1,'product-export-27-8-2026'!$1:$1,0)),IF(_xlpm.v="","",_xlpm.v)),"")</f>
        <v/>
      </c>
      <c r="AR19" s="12" t="str">
        <f>IFERROR(_xlfn.LET(_xlpm.v,INDEX('product-export-27-8-2026'!$A:$AJ,MATCH($A19,'product-export-27-8-2026'!$A:$A,0),MATCH(AR$1,'product-export-27-8-2026'!$1:$1,0)),IF(_xlpm.v="","",_xlpm.v)),"")</f>
        <v>Diaries &gt; A5 Diary, Diaries, Dorchester Collection, Diaries &gt; A5 Diary &gt; DPP</v>
      </c>
      <c r="AS19" s="12" t="str">
        <f>IFERROR(_xlfn.LET(_xlpm.v,INDEX('product-export-27-8-2026'!$A:$AJ,MATCH($A19,'product-export-27-8-2026'!$A:$A,0),MATCH(AS$1,'product-export-27-8-2026'!$1:$1,0)),IF(_xlpm.v="","",_xlpm.v)),"")</f>
        <v>Dorchester-Horizon-A5-Desk-Diary-Day-Per-Page</v>
      </c>
      <c r="BC19" s="15"/>
    </row>
    <row r="20" spans="1:55" s="14" customFormat="1" ht="27.6" customHeight="1" x14ac:dyDescent="0.3">
      <c r="A20" s="11">
        <v>687</v>
      </c>
      <c r="B20" s="12" t="s">
        <v>353</v>
      </c>
      <c r="C20" s="12" t="s">
        <v>18</v>
      </c>
      <c r="D20" s="12" t="s">
        <v>47</v>
      </c>
      <c r="E20" s="13" t="s">
        <v>47</v>
      </c>
      <c r="F20" s="12" t="s">
        <v>45</v>
      </c>
      <c r="G20" s="12" t="s">
        <v>14</v>
      </c>
      <c r="H20" s="12" t="s">
        <v>1576</v>
      </c>
      <c r="I20" s="12" t="s">
        <v>41</v>
      </c>
      <c r="J20" s="12" t="s">
        <v>87</v>
      </c>
      <c r="K20" s="12" t="s">
        <v>1665</v>
      </c>
      <c r="L20" s="60">
        <v>0.48</v>
      </c>
      <c r="M20" s="11">
        <v>15.99</v>
      </c>
      <c r="N20" s="12" t="s">
        <v>46</v>
      </c>
      <c r="O20" s="56">
        <f>IFERROR(VALUE(_xlfn.TEXTBEFORE(_xlfn.TEXTAFTER(";"&amp;$N20,";"&amp;SUBSTITUTE(O$1,"Qty ","")&amp;":"),";")),"")</f>
        <v>15.44</v>
      </c>
      <c r="P20" s="56">
        <f>IFERROR(VALUE(_xlfn.TEXTBEFORE(_xlfn.TEXTAFTER(";"&amp;$N20,";"&amp;SUBSTITUTE(P$1,"Qty ","")&amp;":"),";")),"")</f>
        <v>14.78</v>
      </c>
      <c r="Q20" s="56">
        <f>IFERROR(VALUE(_xlfn.TEXTBEFORE(_xlfn.TEXTAFTER(";"&amp;$N20,";"&amp;SUBSTITUTE(Q$1,"Qty ","")&amp;":"),";")),"")</f>
        <v>10.01</v>
      </c>
      <c r="R20" s="56">
        <f>IFERROR(VALUE(_xlfn.TEXTBEFORE(_xlfn.TEXTAFTER(";"&amp;$N20,";"&amp;SUBSTITUTE(R$1,"Qty ","")&amp;":"),";")),"")</f>
        <v>8.94</v>
      </c>
      <c r="S20" s="56">
        <f>IFERROR(VALUE(_xlfn.TEXTBEFORE(_xlfn.TEXTAFTER(";"&amp;$N20,";"&amp;SUBSTITUTE(S$1,"Qty ","")&amp;":"),";")),"")</f>
        <v>8.4700000000000006</v>
      </c>
      <c r="T20" s="56">
        <f>IFERROR(VALUE(_xlfn.TEXTBEFORE(_xlfn.TEXTAFTER(";"&amp;$N20,";"&amp;SUBSTITUTE(T$1,"Qty ","")&amp;":"),";")),"")</f>
        <v>8.09</v>
      </c>
      <c r="U20" s="56">
        <f>IFERROR(VALUE(_xlfn.TEXTBEFORE(_xlfn.TEXTAFTER(";"&amp;$N20,";"&amp;SUBSTITUTE(U$1,"Qty ","")&amp;":"),";")),"")</f>
        <v>7.44</v>
      </c>
      <c r="V20" s="56">
        <f>IFERROR(VALUE(_xlfn.TEXTBEFORE(_xlfn.TEXTAFTER(";"&amp;$N20,";"&amp;SUBSTITUTE(V$1,"Qty ","")&amp;":"),";")),"")</f>
        <v>7.15</v>
      </c>
      <c r="W20" s="56">
        <f>IFERROR(VALUE(_xlfn.TEXTBEFORE(_xlfn.TEXTAFTER(";"&amp;$N20,";"&amp;SUBSTITUTE(W$1,"Qty ","")&amp;":"),";")),"")</f>
        <v>6.7</v>
      </c>
      <c r="X20" s="30" t="str" cm="1">
        <f t="array" ref="X20">IF(Y20="","",_xlfn.TEXTJOIN(";",TRUE,SUBSTITUTE($Y$1:$AG$1,"Qty ","")&amp;":"&amp;TEXT(Y20:AG20,"0.00"))&amp;";")</f>
        <v>1:20.66;10:19.18;25:13.58;50:11.91;100:11.20;250:10.47;500:9.81;750:9.46;1000:8.95;</v>
      </c>
      <c r="Y20" s="56">
        <f>'Blocking Prices'!$C$15+O20</f>
        <v>20.66</v>
      </c>
      <c r="Z20" s="56">
        <f>'Blocking Prices'!$D$15+P20</f>
        <v>19.18</v>
      </c>
      <c r="AA20" s="56">
        <f>'Blocking Prices'!$E$15+Q20</f>
        <v>13.58</v>
      </c>
      <c r="AB20" s="56">
        <f>'Blocking Prices'!$F$15+R20</f>
        <v>11.91</v>
      </c>
      <c r="AC20" s="56">
        <f>'Blocking Prices'!$G$15+S20</f>
        <v>11.200000000000001</v>
      </c>
      <c r="AD20" s="56">
        <f>'Blocking Prices'!$H$15+T20</f>
        <v>10.469999999999999</v>
      </c>
      <c r="AE20" s="56">
        <f>'Blocking Prices'!$I$15+U20</f>
        <v>9.81</v>
      </c>
      <c r="AF20" s="56">
        <f>'Blocking Prices'!$J$15+V20</f>
        <v>9.4600000000000009</v>
      </c>
      <c r="AG20" s="56">
        <f>'Blocking Prices'!$K$15+W20</f>
        <v>8.9499999999999993</v>
      </c>
      <c r="AH20" s="11"/>
      <c r="AI20" s="11"/>
      <c r="AJ20" s="11"/>
      <c r="AK20" s="11"/>
      <c r="AL20" s="12" t="s">
        <v>744</v>
      </c>
      <c r="AM20" s="12" t="s">
        <v>738</v>
      </c>
      <c r="AN20" s="12" t="str">
        <f>IFERROR(_xlfn.LET(_xlpm.v,INDEX('product-export-27-8-2026'!$A:$AJ,MATCH($A20,'product-export-27-8-2026'!$A:$A,0),MATCH(AN$1,'product-export-27-8-2026'!$1:$1,0)),IF(_xlpm.v="","",_xlpm.v)),"")</f>
        <v/>
      </c>
      <c r="AO20" s="12" t="str">
        <f>IFERROR(_xlfn.LET(_xlpm.v,INDEX('product-export-27-8-2026'!$A:$AJ,MATCH($A20,'product-export-27-8-2026'!$A:$A,0),MATCH(AO$1,'product-export-27-8-2026'!$1:$1,0)),IF(_xlpm.v="","",_xlpm.v)),"")</f>
        <v/>
      </c>
      <c r="AP20" s="12" t="str">
        <f>IFERROR(_xlfn.LET(_xlpm.v,INDEX('product-export-27-8-2026'!$A:$AJ,MATCH($A20,'product-export-27-8-2026'!$A:$A,0),MATCH(AP$1,'product-export-27-8-2026'!$1:$1,0)),IF(_xlpm.v="","",_xlpm.v)),"")</f>
        <v/>
      </c>
      <c r="AQ20" s="12" t="str">
        <f>IFERROR(_xlfn.LET(_xlpm.v,INDEX('product-export-27-8-2026'!$A:$AJ,MATCH($A20,'product-export-27-8-2026'!$A:$A,0),MATCH(AQ$1,'product-export-27-8-2026'!$1:$1,0)),IF(_xlpm.v="","",_xlpm.v)),"")</f>
        <v/>
      </c>
      <c r="AR20" s="12" t="str">
        <f>IFERROR(_xlfn.LET(_xlpm.v,INDEX('product-export-27-8-2026'!$A:$AJ,MATCH($A20,'product-export-27-8-2026'!$A:$A,0),MATCH(AR$1,'product-export-27-8-2026'!$1:$1,0)),IF(_xlpm.v="","",_xlpm.v)),"")</f>
        <v>Diaries &gt; A5 Diary, Diaries, Dorchester Collection, Diaries &gt; A5 Diary &gt; DPP</v>
      </c>
      <c r="AS20" s="12" t="str">
        <f>IFERROR(_xlfn.LET(_xlpm.v,INDEX('product-export-27-8-2026'!$A:$AJ,MATCH($A20,'product-export-27-8-2026'!$A:$A,0),MATCH(AS$1,'product-export-27-8-2026'!$1:$1,0)),IF(_xlpm.v="","",_xlpm.v)),"")</f>
        <v>Dorchester-Horizon-A5-Desk-Diary-Day-Per-Page</v>
      </c>
      <c r="BC20" s="15"/>
    </row>
    <row r="21" spans="1:55" s="14" customFormat="1" ht="27.6" customHeight="1" x14ac:dyDescent="0.3">
      <c r="A21" s="11">
        <v>689</v>
      </c>
      <c r="B21" s="12" t="s">
        <v>354</v>
      </c>
      <c r="C21" s="12" t="s">
        <v>18</v>
      </c>
      <c r="D21" s="12" t="s">
        <v>48</v>
      </c>
      <c r="E21" s="13" t="s">
        <v>48</v>
      </c>
      <c r="F21" s="12" t="s">
        <v>45</v>
      </c>
      <c r="G21" s="12" t="s">
        <v>14</v>
      </c>
      <c r="H21" s="12" t="s">
        <v>1577</v>
      </c>
      <c r="I21" s="12" t="s">
        <v>41</v>
      </c>
      <c r="J21" s="12" t="s">
        <v>87</v>
      </c>
      <c r="K21" s="12" t="s">
        <v>1665</v>
      </c>
      <c r="L21" s="60">
        <v>0.48</v>
      </c>
      <c r="M21" s="11">
        <v>15.99</v>
      </c>
      <c r="N21" s="12" t="s">
        <v>46</v>
      </c>
      <c r="O21" s="56">
        <f>IFERROR(VALUE(_xlfn.TEXTBEFORE(_xlfn.TEXTAFTER(";"&amp;$N21,";"&amp;SUBSTITUTE(O$1,"Qty ","")&amp;":"),";")),"")</f>
        <v>15.44</v>
      </c>
      <c r="P21" s="56">
        <f>IFERROR(VALUE(_xlfn.TEXTBEFORE(_xlfn.TEXTAFTER(";"&amp;$N21,";"&amp;SUBSTITUTE(P$1,"Qty ","")&amp;":"),";")),"")</f>
        <v>14.78</v>
      </c>
      <c r="Q21" s="56">
        <f>IFERROR(VALUE(_xlfn.TEXTBEFORE(_xlfn.TEXTAFTER(";"&amp;$N21,";"&amp;SUBSTITUTE(Q$1,"Qty ","")&amp;":"),";")),"")</f>
        <v>10.01</v>
      </c>
      <c r="R21" s="56">
        <f>IFERROR(VALUE(_xlfn.TEXTBEFORE(_xlfn.TEXTAFTER(";"&amp;$N21,";"&amp;SUBSTITUTE(R$1,"Qty ","")&amp;":"),";")),"")</f>
        <v>8.94</v>
      </c>
      <c r="S21" s="56">
        <f>IFERROR(VALUE(_xlfn.TEXTBEFORE(_xlfn.TEXTAFTER(";"&amp;$N21,";"&amp;SUBSTITUTE(S$1,"Qty ","")&amp;":"),";")),"")</f>
        <v>8.4700000000000006</v>
      </c>
      <c r="T21" s="56">
        <f>IFERROR(VALUE(_xlfn.TEXTBEFORE(_xlfn.TEXTAFTER(";"&amp;$N21,";"&amp;SUBSTITUTE(T$1,"Qty ","")&amp;":"),";")),"")</f>
        <v>8.09</v>
      </c>
      <c r="U21" s="56">
        <f>IFERROR(VALUE(_xlfn.TEXTBEFORE(_xlfn.TEXTAFTER(";"&amp;$N21,";"&amp;SUBSTITUTE(U$1,"Qty ","")&amp;":"),";")),"")</f>
        <v>7.44</v>
      </c>
      <c r="V21" s="56">
        <f>IFERROR(VALUE(_xlfn.TEXTBEFORE(_xlfn.TEXTAFTER(";"&amp;$N21,";"&amp;SUBSTITUTE(V$1,"Qty ","")&amp;":"),";")),"")</f>
        <v>7.15</v>
      </c>
      <c r="W21" s="56">
        <f>IFERROR(VALUE(_xlfn.TEXTBEFORE(_xlfn.TEXTAFTER(";"&amp;$N21,";"&amp;SUBSTITUTE(W$1,"Qty ","")&amp;":"),";")),"")</f>
        <v>6.7</v>
      </c>
      <c r="X21" s="30" t="str" cm="1">
        <f t="array" ref="X21">IF(Y21="","",_xlfn.TEXTJOIN(";",TRUE,SUBSTITUTE($Y$1:$AG$1,"Qty ","")&amp;":"&amp;TEXT(Y21:AG21,"0.00"))&amp;";")</f>
        <v>1:20.66;10:19.18;25:13.58;50:11.91;100:11.20;250:10.47;500:9.81;750:9.46;1000:8.95;</v>
      </c>
      <c r="Y21" s="56">
        <f>'Blocking Prices'!$C$15+O21</f>
        <v>20.66</v>
      </c>
      <c r="Z21" s="56">
        <f>'Blocking Prices'!$D$15+P21</f>
        <v>19.18</v>
      </c>
      <c r="AA21" s="56">
        <f>'Blocking Prices'!$E$15+Q21</f>
        <v>13.58</v>
      </c>
      <c r="AB21" s="56">
        <f>'Blocking Prices'!$F$15+R21</f>
        <v>11.91</v>
      </c>
      <c r="AC21" s="56">
        <f>'Blocking Prices'!$G$15+S21</f>
        <v>11.200000000000001</v>
      </c>
      <c r="AD21" s="56">
        <f>'Blocking Prices'!$H$15+T21</f>
        <v>10.469999999999999</v>
      </c>
      <c r="AE21" s="56">
        <f>'Blocking Prices'!$I$15+U21</f>
        <v>9.81</v>
      </c>
      <c r="AF21" s="56">
        <f>'Blocking Prices'!$J$15+V21</f>
        <v>9.4600000000000009</v>
      </c>
      <c r="AG21" s="56">
        <f>'Blocking Prices'!$K$15+W21</f>
        <v>8.9499999999999993</v>
      </c>
      <c r="AH21" s="11"/>
      <c r="AI21" s="11"/>
      <c r="AJ21" s="11"/>
      <c r="AK21" s="11"/>
      <c r="AL21" s="12" t="s">
        <v>744</v>
      </c>
      <c r="AM21" s="12" t="s">
        <v>738</v>
      </c>
      <c r="AN21" s="12" t="str">
        <f>IFERROR(_xlfn.LET(_xlpm.v,INDEX('product-export-27-8-2026'!$A:$AJ,MATCH($A21,'product-export-27-8-2026'!$A:$A,0),MATCH(AN$1,'product-export-27-8-2026'!$1:$1,0)),IF(_xlpm.v="","",_xlpm.v)),"")</f>
        <v/>
      </c>
      <c r="AO21" s="12" t="str">
        <f>IFERROR(_xlfn.LET(_xlpm.v,INDEX('product-export-27-8-2026'!$A:$AJ,MATCH($A21,'product-export-27-8-2026'!$A:$A,0),MATCH(AO$1,'product-export-27-8-2026'!$1:$1,0)),IF(_xlpm.v="","",_xlpm.v)),"")</f>
        <v/>
      </c>
      <c r="AP21" s="12" t="str">
        <f>IFERROR(_xlfn.LET(_xlpm.v,INDEX('product-export-27-8-2026'!$A:$AJ,MATCH($A21,'product-export-27-8-2026'!$A:$A,0),MATCH(AP$1,'product-export-27-8-2026'!$1:$1,0)),IF(_xlpm.v="","",_xlpm.v)),"")</f>
        <v/>
      </c>
      <c r="AQ21" s="12" t="str">
        <f>IFERROR(_xlfn.LET(_xlpm.v,INDEX('product-export-27-8-2026'!$A:$AJ,MATCH($A21,'product-export-27-8-2026'!$A:$A,0),MATCH(AQ$1,'product-export-27-8-2026'!$1:$1,0)),IF(_xlpm.v="","",_xlpm.v)),"")</f>
        <v/>
      </c>
      <c r="AR21" s="12" t="str">
        <f>IFERROR(_xlfn.LET(_xlpm.v,INDEX('product-export-27-8-2026'!$A:$AJ,MATCH($A21,'product-export-27-8-2026'!$A:$A,0),MATCH(AR$1,'product-export-27-8-2026'!$1:$1,0)),IF(_xlpm.v="","",_xlpm.v)),"")</f>
        <v>Diaries &gt; A5 Diary, Diaries, Dorchester Collection, Diaries &gt; A5 Diary &gt; DPP</v>
      </c>
      <c r="AS21" s="12" t="str">
        <f>IFERROR(_xlfn.LET(_xlpm.v,INDEX('product-export-27-8-2026'!$A:$AJ,MATCH($A21,'product-export-27-8-2026'!$A:$A,0),MATCH(AS$1,'product-export-27-8-2026'!$1:$1,0)),IF(_xlpm.v="","",_xlpm.v)),"")</f>
        <v>Dorchester-Horizon-A5-Desk-Diary-Day-Per-Page</v>
      </c>
      <c r="BC21" s="15"/>
    </row>
    <row r="22" spans="1:55" s="14" customFormat="1" ht="27.6" customHeight="1" x14ac:dyDescent="0.3">
      <c r="A22" s="11">
        <v>691</v>
      </c>
      <c r="B22" s="12" t="s">
        <v>355</v>
      </c>
      <c r="C22" s="12" t="s">
        <v>18</v>
      </c>
      <c r="D22" s="12" t="s">
        <v>49</v>
      </c>
      <c r="E22" s="13" t="s">
        <v>49</v>
      </c>
      <c r="F22" s="12" t="s">
        <v>45</v>
      </c>
      <c r="G22" s="12" t="s">
        <v>14</v>
      </c>
      <c r="H22" s="12" t="s">
        <v>1578</v>
      </c>
      <c r="I22" s="12" t="s">
        <v>41</v>
      </c>
      <c r="J22" s="12" t="s">
        <v>87</v>
      </c>
      <c r="K22" s="12" t="s">
        <v>1665</v>
      </c>
      <c r="L22" s="60">
        <v>0.48</v>
      </c>
      <c r="M22" s="11">
        <v>15.99</v>
      </c>
      <c r="N22" s="12" t="s">
        <v>46</v>
      </c>
      <c r="O22" s="56">
        <f t="shared" ref="O22:W31" si="1">IFERROR(VALUE(_xlfn.TEXTBEFORE(_xlfn.TEXTAFTER(";"&amp;$N22,";"&amp;SUBSTITUTE(O$1,"Qty ","")&amp;":"),";")),"")</f>
        <v>15.44</v>
      </c>
      <c r="P22" s="56">
        <f t="shared" si="1"/>
        <v>14.78</v>
      </c>
      <c r="Q22" s="56">
        <f t="shared" si="1"/>
        <v>10.01</v>
      </c>
      <c r="R22" s="56">
        <f t="shared" si="1"/>
        <v>8.94</v>
      </c>
      <c r="S22" s="56">
        <f t="shared" si="1"/>
        <v>8.4700000000000006</v>
      </c>
      <c r="T22" s="56">
        <f t="shared" si="1"/>
        <v>8.09</v>
      </c>
      <c r="U22" s="56">
        <f t="shared" si="1"/>
        <v>7.44</v>
      </c>
      <c r="V22" s="56">
        <f t="shared" si="1"/>
        <v>7.15</v>
      </c>
      <c r="W22" s="56">
        <f t="shared" si="1"/>
        <v>6.7</v>
      </c>
      <c r="X22" s="30" t="str" cm="1">
        <f t="array" ref="X22">IF(Y22="","",_xlfn.TEXTJOIN(";",TRUE,SUBSTITUTE($Y$1:$AG$1,"Qty ","")&amp;":"&amp;TEXT(Y22:AG22,"0.00"))&amp;";")</f>
        <v>1:20.66;10:19.18;25:13.58;50:11.91;100:11.20;250:10.47;500:9.81;750:9.46;1000:8.95;</v>
      </c>
      <c r="Y22" s="56">
        <f>'Blocking Prices'!$C$15+O22</f>
        <v>20.66</v>
      </c>
      <c r="Z22" s="56">
        <f>'Blocking Prices'!$D$15+P22</f>
        <v>19.18</v>
      </c>
      <c r="AA22" s="56">
        <f>'Blocking Prices'!$E$15+Q22</f>
        <v>13.58</v>
      </c>
      <c r="AB22" s="56">
        <f>'Blocking Prices'!$F$15+R22</f>
        <v>11.91</v>
      </c>
      <c r="AC22" s="56">
        <f>'Blocking Prices'!$G$15+S22</f>
        <v>11.200000000000001</v>
      </c>
      <c r="AD22" s="56">
        <f>'Blocking Prices'!$H$15+T22</f>
        <v>10.469999999999999</v>
      </c>
      <c r="AE22" s="56">
        <f>'Blocking Prices'!$I$15+U22</f>
        <v>9.81</v>
      </c>
      <c r="AF22" s="56">
        <f>'Blocking Prices'!$J$15+V22</f>
        <v>9.4600000000000009</v>
      </c>
      <c r="AG22" s="56">
        <f>'Blocking Prices'!$K$15+W22</f>
        <v>8.9499999999999993</v>
      </c>
      <c r="AH22" s="11"/>
      <c r="AI22" s="11"/>
      <c r="AJ22" s="11"/>
      <c r="AK22" s="11"/>
      <c r="AL22" s="12" t="s">
        <v>744</v>
      </c>
      <c r="AM22" s="12" t="s">
        <v>738</v>
      </c>
      <c r="AN22" s="12" t="str">
        <f>IFERROR(_xlfn.LET(_xlpm.v,INDEX('product-export-27-8-2026'!$A:$AJ,MATCH($A22,'product-export-27-8-2026'!$A:$A,0),MATCH(AN$1,'product-export-27-8-2026'!$1:$1,0)),IF(_xlpm.v="","",_xlpm.v)),"")</f>
        <v/>
      </c>
      <c r="AO22" s="12" t="str">
        <f>IFERROR(_xlfn.LET(_xlpm.v,INDEX('product-export-27-8-2026'!$A:$AJ,MATCH($A22,'product-export-27-8-2026'!$A:$A,0),MATCH(AO$1,'product-export-27-8-2026'!$1:$1,0)),IF(_xlpm.v="","",_xlpm.v)),"")</f>
        <v/>
      </c>
      <c r="AP22" s="12" t="str">
        <f>IFERROR(_xlfn.LET(_xlpm.v,INDEX('product-export-27-8-2026'!$A:$AJ,MATCH($A22,'product-export-27-8-2026'!$A:$A,0),MATCH(AP$1,'product-export-27-8-2026'!$1:$1,0)),IF(_xlpm.v="","",_xlpm.v)),"")</f>
        <v/>
      </c>
      <c r="AQ22" s="12" t="str">
        <f>IFERROR(_xlfn.LET(_xlpm.v,INDEX('product-export-27-8-2026'!$A:$AJ,MATCH($A22,'product-export-27-8-2026'!$A:$A,0),MATCH(AQ$1,'product-export-27-8-2026'!$1:$1,0)),IF(_xlpm.v="","",_xlpm.v)),"")</f>
        <v/>
      </c>
      <c r="AR22" s="12" t="str">
        <f>IFERROR(_xlfn.LET(_xlpm.v,INDEX('product-export-27-8-2026'!$A:$AJ,MATCH($A22,'product-export-27-8-2026'!$A:$A,0),MATCH(AR$1,'product-export-27-8-2026'!$1:$1,0)),IF(_xlpm.v="","",_xlpm.v)),"")</f>
        <v>Diaries &gt; A5 Diary, Diaries, Dorchester Collection, Diaries &gt; A5 Diary &gt; DPP</v>
      </c>
      <c r="AS22" s="12" t="str">
        <f>IFERROR(_xlfn.LET(_xlpm.v,INDEX('product-export-27-8-2026'!$A:$AJ,MATCH($A22,'product-export-27-8-2026'!$A:$A,0),MATCH(AS$1,'product-export-27-8-2026'!$1:$1,0)),IF(_xlpm.v="","",_xlpm.v)),"")</f>
        <v>Dorchester-Horizon-A5-Desk-Diary-Day-Per-Page</v>
      </c>
      <c r="BC22" s="15"/>
    </row>
    <row r="23" spans="1:55" s="14" customFormat="1" ht="27.6" customHeight="1" x14ac:dyDescent="0.3">
      <c r="A23" s="11">
        <v>693</v>
      </c>
      <c r="B23" s="12" t="s">
        <v>356</v>
      </c>
      <c r="C23" s="12" t="s">
        <v>18</v>
      </c>
      <c r="D23" s="12" t="s">
        <v>50</v>
      </c>
      <c r="E23" s="13" t="s">
        <v>50</v>
      </c>
      <c r="F23" s="12" t="s">
        <v>45</v>
      </c>
      <c r="G23" s="12" t="s">
        <v>14</v>
      </c>
      <c r="H23" s="12" t="s">
        <v>1579</v>
      </c>
      <c r="I23" s="12" t="s">
        <v>41</v>
      </c>
      <c r="J23" s="12" t="s">
        <v>87</v>
      </c>
      <c r="K23" s="12" t="s">
        <v>1665</v>
      </c>
      <c r="L23" s="60">
        <v>0.48</v>
      </c>
      <c r="M23" s="11">
        <v>15.99</v>
      </c>
      <c r="N23" s="12" t="s">
        <v>46</v>
      </c>
      <c r="O23" s="56">
        <f t="shared" si="1"/>
        <v>15.44</v>
      </c>
      <c r="P23" s="56">
        <f t="shared" si="1"/>
        <v>14.78</v>
      </c>
      <c r="Q23" s="56">
        <f t="shared" si="1"/>
        <v>10.01</v>
      </c>
      <c r="R23" s="56">
        <f t="shared" si="1"/>
        <v>8.94</v>
      </c>
      <c r="S23" s="56">
        <f t="shared" si="1"/>
        <v>8.4700000000000006</v>
      </c>
      <c r="T23" s="56">
        <f t="shared" si="1"/>
        <v>8.09</v>
      </c>
      <c r="U23" s="56">
        <f t="shared" si="1"/>
        <v>7.44</v>
      </c>
      <c r="V23" s="56">
        <f t="shared" si="1"/>
        <v>7.15</v>
      </c>
      <c r="W23" s="56">
        <f t="shared" si="1"/>
        <v>6.7</v>
      </c>
      <c r="X23" s="30" t="str" cm="1">
        <f t="array" ref="X23">IF(Y23="","",_xlfn.TEXTJOIN(";",TRUE,SUBSTITUTE($Y$1:$AG$1,"Qty ","")&amp;":"&amp;TEXT(Y23:AG23,"0.00"))&amp;";")</f>
        <v>1:20.66;10:19.18;25:13.58;50:11.91;100:11.20;250:10.47;500:9.81;750:9.46;1000:8.95;</v>
      </c>
      <c r="Y23" s="56">
        <f>'Blocking Prices'!$C$15+O23</f>
        <v>20.66</v>
      </c>
      <c r="Z23" s="56">
        <f>'Blocking Prices'!$D$15+P23</f>
        <v>19.18</v>
      </c>
      <c r="AA23" s="56">
        <f>'Blocking Prices'!$E$15+Q23</f>
        <v>13.58</v>
      </c>
      <c r="AB23" s="56">
        <f>'Blocking Prices'!$F$15+R23</f>
        <v>11.91</v>
      </c>
      <c r="AC23" s="56">
        <f>'Blocking Prices'!$G$15+S23</f>
        <v>11.200000000000001</v>
      </c>
      <c r="AD23" s="56">
        <f>'Blocking Prices'!$H$15+T23</f>
        <v>10.469999999999999</v>
      </c>
      <c r="AE23" s="56">
        <f>'Blocking Prices'!$I$15+U23</f>
        <v>9.81</v>
      </c>
      <c r="AF23" s="56">
        <f>'Blocking Prices'!$J$15+V23</f>
        <v>9.4600000000000009</v>
      </c>
      <c r="AG23" s="56">
        <f>'Blocking Prices'!$K$15+W23</f>
        <v>8.9499999999999993</v>
      </c>
      <c r="AH23" s="11"/>
      <c r="AI23" s="11"/>
      <c r="AJ23" s="11"/>
      <c r="AK23" s="11"/>
      <c r="AL23" s="12" t="s">
        <v>744</v>
      </c>
      <c r="AM23" s="12" t="s">
        <v>738</v>
      </c>
      <c r="AN23" s="12" t="str">
        <f>IFERROR(_xlfn.LET(_xlpm.v,INDEX('product-export-27-8-2026'!$A:$AJ,MATCH($A23,'product-export-27-8-2026'!$A:$A,0),MATCH(AN$1,'product-export-27-8-2026'!$1:$1,0)),IF(_xlpm.v="","",_xlpm.v)),"")</f>
        <v/>
      </c>
      <c r="AO23" s="12" t="str">
        <f>IFERROR(_xlfn.LET(_xlpm.v,INDEX('product-export-27-8-2026'!$A:$AJ,MATCH($A23,'product-export-27-8-2026'!$A:$A,0),MATCH(AO$1,'product-export-27-8-2026'!$1:$1,0)),IF(_xlpm.v="","",_xlpm.v)),"")</f>
        <v/>
      </c>
      <c r="AP23" s="12" t="str">
        <f>IFERROR(_xlfn.LET(_xlpm.v,INDEX('product-export-27-8-2026'!$A:$AJ,MATCH($A23,'product-export-27-8-2026'!$A:$A,0),MATCH(AP$1,'product-export-27-8-2026'!$1:$1,0)),IF(_xlpm.v="","",_xlpm.v)),"")</f>
        <v/>
      </c>
      <c r="AQ23" s="12" t="str">
        <f>IFERROR(_xlfn.LET(_xlpm.v,INDEX('product-export-27-8-2026'!$A:$AJ,MATCH($A23,'product-export-27-8-2026'!$A:$A,0),MATCH(AQ$1,'product-export-27-8-2026'!$1:$1,0)),IF(_xlpm.v="","",_xlpm.v)),"")</f>
        <v/>
      </c>
      <c r="AR23" s="12" t="str">
        <f>IFERROR(_xlfn.LET(_xlpm.v,INDEX('product-export-27-8-2026'!$A:$AJ,MATCH($A23,'product-export-27-8-2026'!$A:$A,0),MATCH(AR$1,'product-export-27-8-2026'!$1:$1,0)),IF(_xlpm.v="","",_xlpm.v)),"")</f>
        <v>Diaries &gt; A5 Diary, Diaries, Dorchester Collection, Diaries &gt; A5 Diary &gt; DPP</v>
      </c>
      <c r="AS23" s="12" t="str">
        <f>IFERROR(_xlfn.LET(_xlpm.v,INDEX('product-export-27-8-2026'!$A:$AJ,MATCH($A23,'product-export-27-8-2026'!$A:$A,0),MATCH(AS$1,'product-export-27-8-2026'!$1:$1,0)),IF(_xlpm.v="","",_xlpm.v)),"")</f>
        <v>Dorchester-Horizon-A5-Desk-Diary-Day-Per-Page</v>
      </c>
      <c r="BC23" s="15"/>
    </row>
    <row r="24" spans="1:55" s="14" customFormat="1" ht="27.6" customHeight="1" x14ac:dyDescent="0.3">
      <c r="A24" s="11">
        <v>843</v>
      </c>
      <c r="B24" s="12" t="s">
        <v>357</v>
      </c>
      <c r="C24" s="12" t="s">
        <v>18</v>
      </c>
      <c r="D24" s="12" t="s">
        <v>51</v>
      </c>
      <c r="E24" s="13" t="s">
        <v>51</v>
      </c>
      <c r="F24" s="12" t="s">
        <v>52</v>
      </c>
      <c r="G24" s="12" t="s">
        <v>14</v>
      </c>
      <c r="H24" s="12" t="s">
        <v>672</v>
      </c>
      <c r="I24" s="12" t="s">
        <v>41</v>
      </c>
      <c r="J24" s="12" t="s">
        <v>87</v>
      </c>
      <c r="K24" s="12" t="s">
        <v>1665</v>
      </c>
      <c r="L24" s="60">
        <v>0.48</v>
      </c>
      <c r="M24" s="11">
        <v>17.989999999999998</v>
      </c>
      <c r="N24" s="12" t="s">
        <v>53</v>
      </c>
      <c r="O24" s="56">
        <f t="shared" si="1"/>
        <v>16.98</v>
      </c>
      <c r="P24" s="56">
        <f t="shared" si="1"/>
        <v>16.23</v>
      </c>
      <c r="Q24" s="56">
        <f t="shared" si="1"/>
        <v>12.35</v>
      </c>
      <c r="R24" s="56">
        <f t="shared" si="1"/>
        <v>9.3800000000000008</v>
      </c>
      <c r="S24" s="56">
        <f t="shared" si="1"/>
        <v>8.6199999999999992</v>
      </c>
      <c r="T24" s="56">
        <f t="shared" si="1"/>
        <v>7.78</v>
      </c>
      <c r="U24" s="56">
        <f t="shared" si="1"/>
        <v>6.7</v>
      </c>
      <c r="V24" s="56">
        <f t="shared" si="1"/>
        <v>6.33</v>
      </c>
      <c r="W24" s="56">
        <f t="shared" si="1"/>
        <v>5.76</v>
      </c>
      <c r="X24" s="30" t="str" cm="1">
        <f t="array" ref="X24">IF(Y24="","",_xlfn.TEXTJOIN(";",TRUE,SUBSTITUTE($Y$1:$AG$1,"Qty ","")&amp;":"&amp;TEXT(Y24:AG24,"0.00"))&amp;";")</f>
        <v>1:22.20;10:20.63;25:15.92;50:12.35;100:11.35;250:10.16;500:9.07;750:8.64;1000:8.01;</v>
      </c>
      <c r="Y24" s="56">
        <f>'Blocking Prices'!$C$15+O24</f>
        <v>22.2</v>
      </c>
      <c r="Z24" s="56">
        <f>'Blocking Prices'!$D$15+P24</f>
        <v>20.630000000000003</v>
      </c>
      <c r="AA24" s="56">
        <f>'Blocking Prices'!$E$15+Q24</f>
        <v>15.92</v>
      </c>
      <c r="AB24" s="56">
        <f>'Blocking Prices'!$F$15+R24</f>
        <v>12.350000000000001</v>
      </c>
      <c r="AC24" s="56">
        <f>'Blocking Prices'!$G$15+S24</f>
        <v>11.35</v>
      </c>
      <c r="AD24" s="56">
        <f>'Blocking Prices'!$H$15+T24</f>
        <v>10.16</v>
      </c>
      <c r="AE24" s="56">
        <f>'Blocking Prices'!$I$15+U24</f>
        <v>9.07</v>
      </c>
      <c r="AF24" s="56">
        <f>'Blocking Prices'!$J$15+V24</f>
        <v>8.64</v>
      </c>
      <c r="AG24" s="56">
        <f>'Blocking Prices'!$K$15+W24</f>
        <v>8.01</v>
      </c>
      <c r="AH24" s="11"/>
      <c r="AI24" s="11"/>
      <c r="AJ24" s="11"/>
      <c r="AK24" s="11"/>
      <c r="AL24" s="12" t="s">
        <v>775</v>
      </c>
      <c r="AM24" s="12" t="s">
        <v>776</v>
      </c>
      <c r="AN24" s="12" t="str">
        <f>IFERROR(_xlfn.LET(_xlpm.v,INDEX('product-export-27-8-2026'!$A:$AJ,MATCH($A24,'product-export-27-8-2026'!$A:$A,0),MATCH(AN$1,'product-export-27-8-2026'!$1:$1,0)),IF(_xlpm.v="","",_xlpm.v)),"")</f>
        <v/>
      </c>
      <c r="AO24" s="12" t="str">
        <f>IFERROR(_xlfn.LET(_xlpm.v,INDEX('product-export-27-8-2026'!$A:$AJ,MATCH($A24,'product-export-27-8-2026'!$A:$A,0),MATCH(AO$1,'product-export-27-8-2026'!$1:$1,0)),IF(_xlpm.v="","",_xlpm.v)),"")</f>
        <v/>
      </c>
      <c r="AP24" s="12" t="str">
        <f>IFERROR(_xlfn.LET(_xlpm.v,INDEX('product-export-27-8-2026'!$A:$AJ,MATCH($A24,'product-export-27-8-2026'!$A:$A,0),MATCH(AP$1,'product-export-27-8-2026'!$1:$1,0)),IF(_xlpm.v="","",_xlpm.v)),"")</f>
        <v/>
      </c>
      <c r="AQ24" s="12" t="str">
        <f>IFERROR(_xlfn.LET(_xlpm.v,INDEX('product-export-27-8-2026'!$A:$AJ,MATCH($A24,'product-export-27-8-2026'!$A:$A,0),MATCH(AQ$1,'product-export-27-8-2026'!$1:$1,0)),IF(_xlpm.v="","",_xlpm.v)),"")</f>
        <v/>
      </c>
      <c r="AR24" s="12" t="str">
        <f>IFERROR(_xlfn.LET(_xlpm.v,INDEX('product-export-27-8-2026'!$A:$AJ,MATCH($A24,'product-export-27-8-2026'!$A:$A,0),MATCH(AR$1,'product-export-27-8-2026'!$1:$1,0)),IF(_xlpm.v="","",_xlpm.v)),"")</f>
        <v>Diaries &gt; A5 Diary, Diaries, Dorchester Collection, Diaries &gt; A5 Diary &gt; DPP</v>
      </c>
      <c r="AS24" s="12" t="str">
        <f>IFERROR(_xlfn.LET(_xlpm.v,INDEX('product-export-27-8-2026'!$A:$AJ,MATCH($A24,'product-export-27-8-2026'!$A:$A,0),MATCH(AS$1,'product-export-27-8-2026'!$1:$1,0)),IF(_xlpm.v="","",_xlpm.v)),"")</f>
        <v>Dorchester-NewHide-A5-Desk-Diary-Day-Per-Page</v>
      </c>
      <c r="BC24" s="15"/>
    </row>
    <row r="25" spans="1:55" s="14" customFormat="1" ht="27.6" customHeight="1" x14ac:dyDescent="0.3">
      <c r="A25" s="11">
        <v>847</v>
      </c>
      <c r="B25" s="12" t="s">
        <v>358</v>
      </c>
      <c r="C25" s="12" t="s">
        <v>18</v>
      </c>
      <c r="D25" s="12" t="s">
        <v>54</v>
      </c>
      <c r="E25" s="13" t="s">
        <v>54</v>
      </c>
      <c r="F25" s="12" t="s">
        <v>52</v>
      </c>
      <c r="G25" s="12" t="s">
        <v>14</v>
      </c>
      <c r="H25" s="12" t="s">
        <v>728</v>
      </c>
      <c r="I25" s="12" t="s">
        <v>41</v>
      </c>
      <c r="J25" s="12" t="s">
        <v>87</v>
      </c>
      <c r="K25" s="12" t="s">
        <v>1665</v>
      </c>
      <c r="L25" s="60">
        <v>0.48</v>
      </c>
      <c r="M25" s="11">
        <v>17.989999999999998</v>
      </c>
      <c r="N25" s="12" t="s">
        <v>53</v>
      </c>
      <c r="O25" s="56">
        <f t="shared" si="1"/>
        <v>16.98</v>
      </c>
      <c r="P25" s="56">
        <f t="shared" si="1"/>
        <v>16.23</v>
      </c>
      <c r="Q25" s="56">
        <f t="shared" si="1"/>
        <v>12.35</v>
      </c>
      <c r="R25" s="56">
        <f t="shared" si="1"/>
        <v>9.3800000000000008</v>
      </c>
      <c r="S25" s="56">
        <f t="shared" si="1"/>
        <v>8.6199999999999992</v>
      </c>
      <c r="T25" s="56">
        <f t="shared" si="1"/>
        <v>7.78</v>
      </c>
      <c r="U25" s="56">
        <f t="shared" si="1"/>
        <v>6.7</v>
      </c>
      <c r="V25" s="56">
        <f t="shared" si="1"/>
        <v>6.33</v>
      </c>
      <c r="W25" s="56">
        <f t="shared" si="1"/>
        <v>5.76</v>
      </c>
      <c r="X25" s="30" t="str" cm="1">
        <f t="array" ref="X25">IF(Y25="","",_xlfn.TEXTJOIN(";",TRUE,SUBSTITUTE($Y$1:$AG$1,"Qty ","")&amp;":"&amp;TEXT(Y25:AG25,"0.00"))&amp;";")</f>
        <v>1:22.20;10:20.63;25:15.92;50:12.35;100:11.35;250:10.16;500:9.07;750:8.64;1000:8.01;</v>
      </c>
      <c r="Y25" s="56">
        <f>'Blocking Prices'!$C$15+O25</f>
        <v>22.2</v>
      </c>
      <c r="Z25" s="56">
        <f>'Blocking Prices'!$D$15+P25</f>
        <v>20.630000000000003</v>
      </c>
      <c r="AA25" s="56">
        <f>'Blocking Prices'!$E$15+Q25</f>
        <v>15.92</v>
      </c>
      <c r="AB25" s="56">
        <f>'Blocking Prices'!$F$15+R25</f>
        <v>12.350000000000001</v>
      </c>
      <c r="AC25" s="56">
        <f>'Blocking Prices'!$G$15+S25</f>
        <v>11.35</v>
      </c>
      <c r="AD25" s="56">
        <f>'Blocking Prices'!$H$15+T25</f>
        <v>10.16</v>
      </c>
      <c r="AE25" s="56">
        <f>'Blocking Prices'!$I$15+U25</f>
        <v>9.07</v>
      </c>
      <c r="AF25" s="56">
        <f>'Blocking Prices'!$J$15+V25</f>
        <v>8.64</v>
      </c>
      <c r="AG25" s="56">
        <f>'Blocking Prices'!$K$15+W25</f>
        <v>8.01</v>
      </c>
      <c r="AH25" s="11"/>
      <c r="AI25" s="11"/>
      <c r="AJ25" s="11"/>
      <c r="AK25" s="11"/>
      <c r="AL25" s="12" t="s">
        <v>782</v>
      </c>
      <c r="AM25" s="12" t="s">
        <v>783</v>
      </c>
      <c r="AN25" s="12" t="str">
        <f>IFERROR(_xlfn.LET(_xlpm.v,INDEX('product-export-27-8-2026'!$A:$AJ,MATCH($A25,'product-export-27-8-2026'!$A:$A,0),MATCH(AN$1,'product-export-27-8-2026'!$1:$1,0)),IF(_xlpm.v="","",_xlpm.v)),"")</f>
        <v/>
      </c>
      <c r="AO25" s="12" t="str">
        <f>IFERROR(_xlfn.LET(_xlpm.v,INDEX('product-export-27-8-2026'!$A:$AJ,MATCH($A25,'product-export-27-8-2026'!$A:$A,0),MATCH(AO$1,'product-export-27-8-2026'!$1:$1,0)),IF(_xlpm.v="","",_xlpm.v)),"")</f>
        <v/>
      </c>
      <c r="AP25" s="12" t="str">
        <f>IFERROR(_xlfn.LET(_xlpm.v,INDEX('product-export-27-8-2026'!$A:$AJ,MATCH($A25,'product-export-27-8-2026'!$A:$A,0),MATCH(AP$1,'product-export-27-8-2026'!$1:$1,0)),IF(_xlpm.v="","",_xlpm.v)),"")</f>
        <v/>
      </c>
      <c r="AQ25" s="12" t="str">
        <f>IFERROR(_xlfn.LET(_xlpm.v,INDEX('product-export-27-8-2026'!$A:$AJ,MATCH($A25,'product-export-27-8-2026'!$A:$A,0),MATCH(AQ$1,'product-export-27-8-2026'!$1:$1,0)),IF(_xlpm.v="","",_xlpm.v)),"")</f>
        <v/>
      </c>
      <c r="AR25" s="12" t="str">
        <f>IFERROR(_xlfn.LET(_xlpm.v,INDEX('product-export-27-8-2026'!$A:$AJ,MATCH($A25,'product-export-27-8-2026'!$A:$A,0),MATCH(AR$1,'product-export-27-8-2026'!$1:$1,0)),IF(_xlpm.v="","",_xlpm.v)),"")</f>
        <v>Diaries &gt; A5 Diary, Diaries, Dorchester Collection, Diaries &gt; A5 Diary &gt; DPP</v>
      </c>
      <c r="AS25" s="12" t="str">
        <f>IFERROR(_xlfn.LET(_xlpm.v,INDEX('product-export-27-8-2026'!$A:$AJ,MATCH($A25,'product-export-27-8-2026'!$A:$A,0),MATCH(AS$1,'product-export-27-8-2026'!$1:$1,0)),IF(_xlpm.v="","",_xlpm.v)),"")</f>
        <v>Dorchester-NewHide-A5-Desk-Diary-Day-Per-Page</v>
      </c>
      <c r="BC25" s="15"/>
    </row>
    <row r="26" spans="1:55" s="14" customFormat="1" ht="27.6" customHeight="1" x14ac:dyDescent="0.3">
      <c r="A26" s="11">
        <v>849</v>
      </c>
      <c r="B26" s="12" t="s">
        <v>359</v>
      </c>
      <c r="C26" s="12" t="s">
        <v>18</v>
      </c>
      <c r="D26" s="12" t="s">
        <v>55</v>
      </c>
      <c r="E26" s="13" t="s">
        <v>55</v>
      </c>
      <c r="F26" s="12" t="s">
        <v>52</v>
      </c>
      <c r="G26" s="12" t="s">
        <v>14</v>
      </c>
      <c r="H26" s="12" t="s">
        <v>696</v>
      </c>
      <c r="I26" s="12" t="s">
        <v>41</v>
      </c>
      <c r="J26" s="12" t="s">
        <v>87</v>
      </c>
      <c r="K26" s="12" t="s">
        <v>1665</v>
      </c>
      <c r="L26" s="60">
        <v>0.48</v>
      </c>
      <c r="M26" s="11">
        <v>17.989999999999998</v>
      </c>
      <c r="N26" s="12" t="s">
        <v>53</v>
      </c>
      <c r="O26" s="56">
        <f t="shared" si="1"/>
        <v>16.98</v>
      </c>
      <c r="P26" s="56">
        <f t="shared" si="1"/>
        <v>16.23</v>
      </c>
      <c r="Q26" s="56">
        <f t="shared" si="1"/>
        <v>12.35</v>
      </c>
      <c r="R26" s="56">
        <f t="shared" si="1"/>
        <v>9.3800000000000008</v>
      </c>
      <c r="S26" s="56">
        <f t="shared" si="1"/>
        <v>8.6199999999999992</v>
      </c>
      <c r="T26" s="56">
        <f t="shared" si="1"/>
        <v>7.78</v>
      </c>
      <c r="U26" s="56">
        <f t="shared" si="1"/>
        <v>6.7</v>
      </c>
      <c r="V26" s="56">
        <f t="shared" si="1"/>
        <v>6.33</v>
      </c>
      <c r="W26" s="56">
        <f t="shared" si="1"/>
        <v>5.76</v>
      </c>
      <c r="X26" s="30" t="str" cm="1">
        <f t="array" ref="X26">IF(Y26="","",_xlfn.TEXTJOIN(";",TRUE,SUBSTITUTE($Y$1:$AG$1,"Qty ","")&amp;":"&amp;TEXT(Y26:AG26,"0.00"))&amp;";")</f>
        <v>1:22.20;10:20.63;25:15.92;50:12.35;100:11.35;250:10.16;500:9.07;750:8.64;1000:8.01;</v>
      </c>
      <c r="Y26" s="56">
        <f>'Blocking Prices'!$C$15+O26</f>
        <v>22.2</v>
      </c>
      <c r="Z26" s="56">
        <f>'Blocking Prices'!$D$15+P26</f>
        <v>20.630000000000003</v>
      </c>
      <c r="AA26" s="56">
        <f>'Blocking Prices'!$E$15+Q26</f>
        <v>15.92</v>
      </c>
      <c r="AB26" s="56">
        <f>'Blocking Prices'!$F$15+R26</f>
        <v>12.350000000000001</v>
      </c>
      <c r="AC26" s="56">
        <f>'Blocking Prices'!$G$15+S26</f>
        <v>11.35</v>
      </c>
      <c r="AD26" s="56">
        <f>'Blocking Prices'!$H$15+T26</f>
        <v>10.16</v>
      </c>
      <c r="AE26" s="56">
        <f>'Blocking Prices'!$I$15+U26</f>
        <v>9.07</v>
      </c>
      <c r="AF26" s="56">
        <f>'Blocking Prices'!$J$15+V26</f>
        <v>8.64</v>
      </c>
      <c r="AG26" s="56">
        <f>'Blocking Prices'!$K$15+W26</f>
        <v>8.01</v>
      </c>
      <c r="AH26" s="11"/>
      <c r="AI26" s="11"/>
      <c r="AJ26" s="11"/>
      <c r="AK26" s="11"/>
      <c r="AL26" s="12" t="s">
        <v>775</v>
      </c>
      <c r="AM26" s="12" t="s">
        <v>783</v>
      </c>
      <c r="AN26" s="12" t="str">
        <f>IFERROR(_xlfn.LET(_xlpm.v,INDEX('product-export-27-8-2026'!$A:$AJ,MATCH($A26,'product-export-27-8-2026'!$A:$A,0),MATCH(AN$1,'product-export-27-8-2026'!$1:$1,0)),IF(_xlpm.v="","",_xlpm.v)),"")</f>
        <v/>
      </c>
      <c r="AO26" s="12" t="str">
        <f>IFERROR(_xlfn.LET(_xlpm.v,INDEX('product-export-27-8-2026'!$A:$AJ,MATCH($A26,'product-export-27-8-2026'!$A:$A,0),MATCH(AO$1,'product-export-27-8-2026'!$1:$1,0)),IF(_xlpm.v="","",_xlpm.v)),"")</f>
        <v/>
      </c>
      <c r="AP26" s="12" t="str">
        <f>IFERROR(_xlfn.LET(_xlpm.v,INDEX('product-export-27-8-2026'!$A:$AJ,MATCH($A26,'product-export-27-8-2026'!$A:$A,0),MATCH(AP$1,'product-export-27-8-2026'!$1:$1,0)),IF(_xlpm.v="","",_xlpm.v)),"")</f>
        <v/>
      </c>
      <c r="AQ26" s="12" t="str">
        <f>IFERROR(_xlfn.LET(_xlpm.v,INDEX('product-export-27-8-2026'!$A:$AJ,MATCH($A26,'product-export-27-8-2026'!$A:$A,0),MATCH(AQ$1,'product-export-27-8-2026'!$1:$1,0)),IF(_xlpm.v="","",_xlpm.v)),"")</f>
        <v/>
      </c>
      <c r="AR26" s="12" t="str">
        <f>IFERROR(_xlfn.LET(_xlpm.v,INDEX('product-export-27-8-2026'!$A:$AJ,MATCH($A26,'product-export-27-8-2026'!$A:$A,0),MATCH(AR$1,'product-export-27-8-2026'!$1:$1,0)),IF(_xlpm.v="","",_xlpm.v)),"")</f>
        <v>Diaries &gt; A5 Diary, Diaries, Dorchester Collection, Diaries &gt; A5 Diary &gt; DPP</v>
      </c>
      <c r="AS26" s="12" t="str">
        <f>IFERROR(_xlfn.LET(_xlpm.v,INDEX('product-export-27-8-2026'!$A:$AJ,MATCH($A26,'product-export-27-8-2026'!$A:$A,0),MATCH(AS$1,'product-export-27-8-2026'!$1:$1,0)),IF(_xlpm.v="","",_xlpm.v)),"")</f>
        <v>Dorchester-NewHide-A5-Desk-Diary-Day-Per-Page</v>
      </c>
      <c r="BC26" s="15"/>
    </row>
    <row r="27" spans="1:55" s="14" customFormat="1" ht="27.6" customHeight="1" x14ac:dyDescent="0.3">
      <c r="A27" s="11">
        <v>851</v>
      </c>
      <c r="B27" s="12" t="s">
        <v>360</v>
      </c>
      <c r="C27" s="12" t="s">
        <v>18</v>
      </c>
      <c r="D27" s="12" t="s">
        <v>56</v>
      </c>
      <c r="E27" s="13" t="s">
        <v>56</v>
      </c>
      <c r="F27" s="12" t="s">
        <v>52</v>
      </c>
      <c r="G27" s="12" t="s">
        <v>14</v>
      </c>
      <c r="H27" s="12" t="s">
        <v>789</v>
      </c>
      <c r="I27" s="12" t="s">
        <v>41</v>
      </c>
      <c r="J27" s="12" t="s">
        <v>87</v>
      </c>
      <c r="K27" s="12" t="s">
        <v>1665</v>
      </c>
      <c r="L27" s="60">
        <v>0.48</v>
      </c>
      <c r="M27" s="11">
        <v>17.989999999999998</v>
      </c>
      <c r="N27" s="12" t="s">
        <v>53</v>
      </c>
      <c r="O27" s="56">
        <f t="shared" si="1"/>
        <v>16.98</v>
      </c>
      <c r="P27" s="56">
        <f t="shared" si="1"/>
        <v>16.23</v>
      </c>
      <c r="Q27" s="56">
        <f t="shared" si="1"/>
        <v>12.35</v>
      </c>
      <c r="R27" s="56">
        <f t="shared" si="1"/>
        <v>9.3800000000000008</v>
      </c>
      <c r="S27" s="56">
        <f t="shared" si="1"/>
        <v>8.6199999999999992</v>
      </c>
      <c r="T27" s="56">
        <f t="shared" si="1"/>
        <v>7.78</v>
      </c>
      <c r="U27" s="56">
        <f t="shared" si="1"/>
        <v>6.7</v>
      </c>
      <c r="V27" s="56">
        <f t="shared" si="1"/>
        <v>6.33</v>
      </c>
      <c r="W27" s="56">
        <f t="shared" si="1"/>
        <v>5.76</v>
      </c>
      <c r="X27" s="30" t="str" cm="1">
        <f t="array" ref="X27">IF(Y27="","",_xlfn.TEXTJOIN(";",TRUE,SUBSTITUTE($Y$1:$AG$1,"Qty ","")&amp;":"&amp;TEXT(Y27:AG27,"0.00"))&amp;";")</f>
        <v>1:22.20;10:20.63;25:15.92;50:12.35;100:11.35;250:10.16;500:9.07;750:8.64;1000:8.01;</v>
      </c>
      <c r="Y27" s="56">
        <f>'Blocking Prices'!$C$15+O27</f>
        <v>22.2</v>
      </c>
      <c r="Z27" s="56">
        <f>'Blocking Prices'!$D$15+P27</f>
        <v>20.630000000000003</v>
      </c>
      <c r="AA27" s="56">
        <f>'Blocking Prices'!$E$15+Q27</f>
        <v>15.92</v>
      </c>
      <c r="AB27" s="56">
        <f>'Blocking Prices'!$F$15+R27</f>
        <v>12.350000000000001</v>
      </c>
      <c r="AC27" s="56">
        <f>'Blocking Prices'!$G$15+S27</f>
        <v>11.35</v>
      </c>
      <c r="AD27" s="56">
        <f>'Blocking Prices'!$H$15+T27</f>
        <v>10.16</v>
      </c>
      <c r="AE27" s="56">
        <f>'Blocking Prices'!$I$15+U27</f>
        <v>9.07</v>
      </c>
      <c r="AF27" s="56">
        <f>'Blocking Prices'!$J$15+V27</f>
        <v>8.64</v>
      </c>
      <c r="AG27" s="56">
        <f>'Blocking Prices'!$K$15+W27</f>
        <v>8.01</v>
      </c>
      <c r="AH27" s="11"/>
      <c r="AI27" s="11"/>
      <c r="AJ27" s="11"/>
      <c r="AK27" s="11"/>
      <c r="AL27" s="12" t="s">
        <v>775</v>
      </c>
      <c r="AM27" s="12" t="s">
        <v>776</v>
      </c>
      <c r="AN27" s="12" t="str">
        <f>IFERROR(_xlfn.LET(_xlpm.v,INDEX('product-export-27-8-2026'!$A:$AJ,MATCH($A27,'product-export-27-8-2026'!$A:$A,0),MATCH(AN$1,'product-export-27-8-2026'!$1:$1,0)),IF(_xlpm.v="","",_xlpm.v)),"")</f>
        <v/>
      </c>
      <c r="AO27" s="12" t="str">
        <f>IFERROR(_xlfn.LET(_xlpm.v,INDEX('product-export-27-8-2026'!$A:$AJ,MATCH($A27,'product-export-27-8-2026'!$A:$A,0),MATCH(AO$1,'product-export-27-8-2026'!$1:$1,0)),IF(_xlpm.v="","",_xlpm.v)),"")</f>
        <v/>
      </c>
      <c r="AP27" s="12" t="str">
        <f>IFERROR(_xlfn.LET(_xlpm.v,INDEX('product-export-27-8-2026'!$A:$AJ,MATCH($A27,'product-export-27-8-2026'!$A:$A,0),MATCH(AP$1,'product-export-27-8-2026'!$1:$1,0)),IF(_xlpm.v="","",_xlpm.v)),"")</f>
        <v/>
      </c>
      <c r="AQ27" s="12" t="str">
        <f>IFERROR(_xlfn.LET(_xlpm.v,INDEX('product-export-27-8-2026'!$A:$AJ,MATCH($A27,'product-export-27-8-2026'!$A:$A,0),MATCH(AQ$1,'product-export-27-8-2026'!$1:$1,0)),IF(_xlpm.v="","",_xlpm.v)),"")</f>
        <v/>
      </c>
      <c r="AR27" s="12" t="str">
        <f>IFERROR(_xlfn.LET(_xlpm.v,INDEX('product-export-27-8-2026'!$A:$AJ,MATCH($A27,'product-export-27-8-2026'!$A:$A,0),MATCH(AR$1,'product-export-27-8-2026'!$1:$1,0)),IF(_xlpm.v="","",_xlpm.v)),"")</f>
        <v>Diaries &gt; A5 Diary, Diaries, Dorchester Collection, Diaries &gt; A5 Diary &gt; DPP</v>
      </c>
      <c r="AS27" s="12" t="str">
        <f>IFERROR(_xlfn.LET(_xlpm.v,INDEX('product-export-27-8-2026'!$A:$AJ,MATCH($A27,'product-export-27-8-2026'!$A:$A,0),MATCH(AS$1,'product-export-27-8-2026'!$1:$1,0)),IF(_xlpm.v="","",_xlpm.v)),"")</f>
        <v>Dorchester-NewHide-A5-Desk-Diary-Day-Per-Page</v>
      </c>
      <c r="BC27" s="15"/>
    </row>
    <row r="28" spans="1:55" s="14" customFormat="1" ht="27.6" customHeight="1" x14ac:dyDescent="0.3">
      <c r="A28" s="11">
        <v>853</v>
      </c>
      <c r="B28" s="12" t="s">
        <v>361</v>
      </c>
      <c r="C28" s="12" t="s">
        <v>18</v>
      </c>
      <c r="D28" s="12" t="s">
        <v>57</v>
      </c>
      <c r="E28" s="13" t="s">
        <v>57</v>
      </c>
      <c r="F28" s="12" t="s">
        <v>52</v>
      </c>
      <c r="G28" s="12" t="s">
        <v>14</v>
      </c>
      <c r="H28" s="12" t="s">
        <v>792</v>
      </c>
      <c r="I28" s="12" t="s">
        <v>41</v>
      </c>
      <c r="J28" s="12" t="s">
        <v>87</v>
      </c>
      <c r="K28" s="12" t="s">
        <v>1665</v>
      </c>
      <c r="L28" s="60">
        <v>0.48</v>
      </c>
      <c r="M28" s="11">
        <v>17.989999999999998</v>
      </c>
      <c r="N28" s="12" t="s">
        <v>53</v>
      </c>
      <c r="O28" s="56">
        <f t="shared" si="1"/>
        <v>16.98</v>
      </c>
      <c r="P28" s="56">
        <f t="shared" si="1"/>
        <v>16.23</v>
      </c>
      <c r="Q28" s="56">
        <f t="shared" si="1"/>
        <v>12.35</v>
      </c>
      <c r="R28" s="56">
        <f t="shared" si="1"/>
        <v>9.3800000000000008</v>
      </c>
      <c r="S28" s="56">
        <f t="shared" si="1"/>
        <v>8.6199999999999992</v>
      </c>
      <c r="T28" s="56">
        <f t="shared" si="1"/>
        <v>7.78</v>
      </c>
      <c r="U28" s="56">
        <f t="shared" si="1"/>
        <v>6.7</v>
      </c>
      <c r="V28" s="56">
        <f t="shared" si="1"/>
        <v>6.33</v>
      </c>
      <c r="W28" s="56">
        <f t="shared" si="1"/>
        <v>5.76</v>
      </c>
      <c r="X28" s="30" t="str" cm="1">
        <f t="array" ref="X28">IF(Y28="","",_xlfn.TEXTJOIN(";",TRUE,SUBSTITUTE($Y$1:$AG$1,"Qty ","")&amp;":"&amp;TEXT(Y28:AG28,"0.00"))&amp;";")</f>
        <v>1:22.20;10:20.63;25:15.92;50:12.35;100:11.35;250:10.16;500:9.07;750:8.64;1000:8.01;</v>
      </c>
      <c r="Y28" s="56">
        <f>'Blocking Prices'!$C$15+O28</f>
        <v>22.2</v>
      </c>
      <c r="Z28" s="56">
        <f>'Blocking Prices'!$D$15+P28</f>
        <v>20.630000000000003</v>
      </c>
      <c r="AA28" s="56">
        <f>'Blocking Prices'!$E$15+Q28</f>
        <v>15.92</v>
      </c>
      <c r="AB28" s="56">
        <f>'Blocking Prices'!$F$15+R28</f>
        <v>12.350000000000001</v>
      </c>
      <c r="AC28" s="56">
        <f>'Blocking Prices'!$G$15+S28</f>
        <v>11.35</v>
      </c>
      <c r="AD28" s="56">
        <f>'Blocking Prices'!$H$15+T28</f>
        <v>10.16</v>
      </c>
      <c r="AE28" s="56">
        <f>'Blocking Prices'!$I$15+U28</f>
        <v>9.07</v>
      </c>
      <c r="AF28" s="56">
        <f>'Blocking Prices'!$J$15+V28</f>
        <v>8.64</v>
      </c>
      <c r="AG28" s="56">
        <f>'Blocking Prices'!$K$15+W28</f>
        <v>8.01</v>
      </c>
      <c r="AH28" s="11"/>
      <c r="AI28" s="11"/>
      <c r="AJ28" s="11"/>
      <c r="AK28" s="11"/>
      <c r="AL28" s="12" t="s">
        <v>775</v>
      </c>
      <c r="AM28" s="12" t="s">
        <v>783</v>
      </c>
      <c r="AN28" s="12" t="str">
        <f>IFERROR(_xlfn.LET(_xlpm.v,INDEX('product-export-27-8-2026'!$A:$AJ,MATCH($A28,'product-export-27-8-2026'!$A:$A,0),MATCH(AN$1,'product-export-27-8-2026'!$1:$1,0)),IF(_xlpm.v="","",_xlpm.v)),"")</f>
        <v/>
      </c>
      <c r="AO28" s="12" t="str">
        <f>IFERROR(_xlfn.LET(_xlpm.v,INDEX('product-export-27-8-2026'!$A:$AJ,MATCH($A28,'product-export-27-8-2026'!$A:$A,0),MATCH(AO$1,'product-export-27-8-2026'!$1:$1,0)),IF(_xlpm.v="","",_xlpm.v)),"")</f>
        <v/>
      </c>
      <c r="AP28" s="12" t="str">
        <f>IFERROR(_xlfn.LET(_xlpm.v,INDEX('product-export-27-8-2026'!$A:$AJ,MATCH($A28,'product-export-27-8-2026'!$A:$A,0),MATCH(AP$1,'product-export-27-8-2026'!$1:$1,0)),IF(_xlpm.v="","",_xlpm.v)),"")</f>
        <v/>
      </c>
      <c r="AQ28" s="12" t="str">
        <f>IFERROR(_xlfn.LET(_xlpm.v,INDEX('product-export-27-8-2026'!$A:$AJ,MATCH($A28,'product-export-27-8-2026'!$A:$A,0),MATCH(AQ$1,'product-export-27-8-2026'!$1:$1,0)),IF(_xlpm.v="","",_xlpm.v)),"")</f>
        <v/>
      </c>
      <c r="AR28" s="12" t="str">
        <f>IFERROR(_xlfn.LET(_xlpm.v,INDEX('product-export-27-8-2026'!$A:$AJ,MATCH($A28,'product-export-27-8-2026'!$A:$A,0),MATCH(AR$1,'product-export-27-8-2026'!$1:$1,0)),IF(_xlpm.v="","",_xlpm.v)),"")</f>
        <v>Diaries &gt; A5 Diary, Diaries, Dorchester Collection, Diaries &gt; A5 Diary &gt; DPP</v>
      </c>
      <c r="AS28" s="12" t="str">
        <f>IFERROR(_xlfn.LET(_xlpm.v,INDEX('product-export-27-8-2026'!$A:$AJ,MATCH($A28,'product-export-27-8-2026'!$A:$A,0),MATCH(AS$1,'product-export-27-8-2026'!$1:$1,0)),IF(_xlpm.v="","",_xlpm.v)),"")</f>
        <v>Dorchester-NewHide-A5-Desk-Diary-Day-Per-Page</v>
      </c>
      <c r="BC28" s="15"/>
    </row>
    <row r="29" spans="1:55" s="14" customFormat="1" ht="27.6" customHeight="1" x14ac:dyDescent="0.3">
      <c r="A29" s="11">
        <v>855</v>
      </c>
      <c r="B29" s="12" t="s">
        <v>362</v>
      </c>
      <c r="C29" s="12" t="s">
        <v>18</v>
      </c>
      <c r="D29" s="12" t="s">
        <v>58</v>
      </c>
      <c r="E29" s="13" t="s">
        <v>58</v>
      </c>
      <c r="F29" s="12" t="s">
        <v>52</v>
      </c>
      <c r="G29" s="12" t="s">
        <v>14</v>
      </c>
      <c r="H29" s="12" t="s">
        <v>796</v>
      </c>
      <c r="I29" s="12" t="s">
        <v>41</v>
      </c>
      <c r="J29" s="12" t="s">
        <v>87</v>
      </c>
      <c r="K29" s="12" t="s">
        <v>1665</v>
      </c>
      <c r="L29" s="60">
        <v>0.48</v>
      </c>
      <c r="M29" s="11">
        <v>17.989999999999998</v>
      </c>
      <c r="N29" s="12" t="s">
        <v>53</v>
      </c>
      <c r="O29" s="56">
        <f t="shared" si="1"/>
        <v>16.98</v>
      </c>
      <c r="P29" s="56">
        <f t="shared" si="1"/>
        <v>16.23</v>
      </c>
      <c r="Q29" s="56">
        <f t="shared" si="1"/>
        <v>12.35</v>
      </c>
      <c r="R29" s="56">
        <f t="shared" si="1"/>
        <v>9.3800000000000008</v>
      </c>
      <c r="S29" s="56">
        <f t="shared" si="1"/>
        <v>8.6199999999999992</v>
      </c>
      <c r="T29" s="56">
        <f t="shared" si="1"/>
        <v>7.78</v>
      </c>
      <c r="U29" s="56">
        <f t="shared" si="1"/>
        <v>6.7</v>
      </c>
      <c r="V29" s="56">
        <f t="shared" si="1"/>
        <v>6.33</v>
      </c>
      <c r="W29" s="56">
        <f t="shared" si="1"/>
        <v>5.76</v>
      </c>
      <c r="X29" s="30" t="str" cm="1">
        <f t="array" ref="X29">IF(Y29="","",_xlfn.TEXTJOIN(";",TRUE,SUBSTITUTE($Y$1:$AG$1,"Qty ","")&amp;":"&amp;TEXT(Y29:AG29,"0.00"))&amp;";")</f>
        <v>1:22.20;10:20.63;25:15.92;50:12.35;100:11.35;250:10.16;500:9.07;750:8.64;1000:8.01;</v>
      </c>
      <c r="Y29" s="56">
        <f>'Blocking Prices'!$C$15+O29</f>
        <v>22.2</v>
      </c>
      <c r="Z29" s="56">
        <f>'Blocking Prices'!$D$15+P29</f>
        <v>20.630000000000003</v>
      </c>
      <c r="AA29" s="56">
        <f>'Blocking Prices'!$E$15+Q29</f>
        <v>15.92</v>
      </c>
      <c r="AB29" s="56">
        <f>'Blocking Prices'!$F$15+R29</f>
        <v>12.350000000000001</v>
      </c>
      <c r="AC29" s="56">
        <f>'Blocking Prices'!$G$15+S29</f>
        <v>11.35</v>
      </c>
      <c r="AD29" s="56">
        <f>'Blocking Prices'!$H$15+T29</f>
        <v>10.16</v>
      </c>
      <c r="AE29" s="56">
        <f>'Blocking Prices'!$I$15+U29</f>
        <v>9.07</v>
      </c>
      <c r="AF29" s="56">
        <f>'Blocking Prices'!$J$15+V29</f>
        <v>8.64</v>
      </c>
      <c r="AG29" s="56">
        <f>'Blocking Prices'!$K$15+W29</f>
        <v>8.01</v>
      </c>
      <c r="AH29" s="11"/>
      <c r="AI29" s="11"/>
      <c r="AJ29" s="11"/>
      <c r="AK29" s="11"/>
      <c r="AL29" s="12" t="s">
        <v>775</v>
      </c>
      <c r="AM29" s="12" t="s">
        <v>794</v>
      </c>
      <c r="AN29" s="12" t="str">
        <f>IFERROR(_xlfn.LET(_xlpm.v,INDEX('product-export-27-8-2026'!$A:$AJ,MATCH($A29,'product-export-27-8-2026'!$A:$A,0),MATCH(AN$1,'product-export-27-8-2026'!$1:$1,0)),IF(_xlpm.v="","",_xlpm.v)),"")</f>
        <v/>
      </c>
      <c r="AO29" s="12" t="str">
        <f>IFERROR(_xlfn.LET(_xlpm.v,INDEX('product-export-27-8-2026'!$A:$AJ,MATCH($A29,'product-export-27-8-2026'!$A:$A,0),MATCH(AO$1,'product-export-27-8-2026'!$1:$1,0)),IF(_xlpm.v="","",_xlpm.v)),"")</f>
        <v/>
      </c>
      <c r="AP29" s="12" t="str">
        <f>IFERROR(_xlfn.LET(_xlpm.v,INDEX('product-export-27-8-2026'!$A:$AJ,MATCH($A29,'product-export-27-8-2026'!$A:$A,0),MATCH(AP$1,'product-export-27-8-2026'!$1:$1,0)),IF(_xlpm.v="","",_xlpm.v)),"")</f>
        <v/>
      </c>
      <c r="AQ29" s="12" t="str">
        <f>IFERROR(_xlfn.LET(_xlpm.v,INDEX('product-export-27-8-2026'!$A:$AJ,MATCH($A29,'product-export-27-8-2026'!$A:$A,0),MATCH(AQ$1,'product-export-27-8-2026'!$1:$1,0)),IF(_xlpm.v="","",_xlpm.v)),"")</f>
        <v/>
      </c>
      <c r="AR29" s="12" t="str">
        <f>IFERROR(_xlfn.LET(_xlpm.v,INDEX('product-export-27-8-2026'!$A:$AJ,MATCH($A29,'product-export-27-8-2026'!$A:$A,0),MATCH(AR$1,'product-export-27-8-2026'!$1:$1,0)),IF(_xlpm.v="","",_xlpm.v)),"")</f>
        <v>Diaries &gt; A5 Diary, Diaries, Dorchester Collection, Diaries &gt; A5 Diary &gt; DPP</v>
      </c>
      <c r="AS29" s="12" t="str">
        <f>IFERROR(_xlfn.LET(_xlpm.v,INDEX('product-export-27-8-2026'!$A:$AJ,MATCH($A29,'product-export-27-8-2026'!$A:$A,0),MATCH(AS$1,'product-export-27-8-2026'!$1:$1,0)),IF(_xlpm.v="","",_xlpm.v)),"")</f>
        <v>Dorchester-NewHide-A5-Desk-Diary-Day-Per-Page</v>
      </c>
      <c r="BC29" s="15"/>
    </row>
    <row r="30" spans="1:55" s="14" customFormat="1" ht="27.6" customHeight="1" x14ac:dyDescent="0.3">
      <c r="A30" s="11">
        <v>857</v>
      </c>
      <c r="B30" s="12" t="s">
        <v>363</v>
      </c>
      <c r="C30" s="12" t="s">
        <v>18</v>
      </c>
      <c r="D30" s="12" t="s">
        <v>59</v>
      </c>
      <c r="E30" s="13" t="s">
        <v>59</v>
      </c>
      <c r="F30" s="12" t="s">
        <v>60</v>
      </c>
      <c r="G30" s="12" t="s">
        <v>14</v>
      </c>
      <c r="H30" s="12" t="s">
        <v>672</v>
      </c>
      <c r="I30" s="12" t="s">
        <v>20</v>
      </c>
      <c r="J30" s="12" t="s">
        <v>87</v>
      </c>
      <c r="K30" s="12" t="s">
        <v>1665</v>
      </c>
      <c r="L30" s="60">
        <v>0.48</v>
      </c>
      <c r="M30" s="11">
        <v>13.5</v>
      </c>
      <c r="N30" s="12" t="s">
        <v>61</v>
      </c>
      <c r="O30" s="56">
        <f t="shared" si="1"/>
        <v>13.61</v>
      </c>
      <c r="P30" s="56">
        <f t="shared" si="1"/>
        <v>13.04</v>
      </c>
      <c r="Q30" s="56">
        <f t="shared" si="1"/>
        <v>7.28</v>
      </c>
      <c r="R30" s="56">
        <f t="shared" si="1"/>
        <v>6.18</v>
      </c>
      <c r="S30" s="56">
        <f t="shared" si="1"/>
        <v>5.74</v>
      </c>
      <c r="T30" s="56">
        <f t="shared" si="1"/>
        <v>5.54</v>
      </c>
      <c r="U30" s="56">
        <f t="shared" si="1"/>
        <v>5.15</v>
      </c>
      <c r="V30" s="56">
        <f t="shared" si="1"/>
        <v>4.96</v>
      </c>
      <c r="W30" s="56">
        <f t="shared" si="1"/>
        <v>4.66</v>
      </c>
      <c r="X30" s="30" t="str" cm="1">
        <f t="array" ref="X30">IF(Y30="","",_xlfn.TEXTJOIN(";",TRUE,SUBSTITUTE($Y$1:$AG$1,"Qty ","")&amp;":"&amp;TEXT(Y30:AG30,"0.00"))&amp;";")</f>
        <v>1:18.83;10:17.44;25:10.85;50:9.15;100:8.47;250:7.92;500:7.52;750:7.27;1000:6.91;</v>
      </c>
      <c r="Y30" s="56">
        <f>'Blocking Prices'!$C$15+O30</f>
        <v>18.829999999999998</v>
      </c>
      <c r="Z30" s="56">
        <f>'Blocking Prices'!$D$15+P30</f>
        <v>17.439999999999998</v>
      </c>
      <c r="AA30" s="56">
        <f>'Blocking Prices'!$E$15+Q30</f>
        <v>10.85</v>
      </c>
      <c r="AB30" s="56">
        <f>'Blocking Prices'!$F$15+R30</f>
        <v>9.15</v>
      </c>
      <c r="AC30" s="56">
        <f>'Blocking Prices'!$G$15+S30</f>
        <v>8.4700000000000006</v>
      </c>
      <c r="AD30" s="56">
        <f>'Blocking Prices'!$H$15+T30</f>
        <v>7.92</v>
      </c>
      <c r="AE30" s="56">
        <f>'Blocking Prices'!$I$15+U30</f>
        <v>7.5200000000000005</v>
      </c>
      <c r="AF30" s="56">
        <f>'Blocking Prices'!$J$15+V30</f>
        <v>7.27</v>
      </c>
      <c r="AG30" s="56">
        <f>'Blocking Prices'!$K$15+W30</f>
        <v>6.91</v>
      </c>
      <c r="AH30" s="11"/>
      <c r="AI30" s="11"/>
      <c r="AJ30" s="11"/>
      <c r="AK30" s="11"/>
      <c r="AL30" s="12" t="s">
        <v>798</v>
      </c>
      <c r="AM30" s="12" t="s">
        <v>799</v>
      </c>
      <c r="AN30" s="12" t="str">
        <f>IFERROR(_xlfn.LET(_xlpm.v,INDEX('product-export-27-8-2026'!$A:$AJ,MATCH($A30,'product-export-27-8-2026'!$A:$A,0),MATCH(AN$1,'product-export-27-8-2026'!$1:$1,0)),IF(_xlpm.v="","",_xlpm.v)),"")</f>
        <v/>
      </c>
      <c r="AO30" s="12" t="str">
        <f>IFERROR(_xlfn.LET(_xlpm.v,INDEX('product-export-27-8-2026'!$A:$AJ,MATCH($A30,'product-export-27-8-2026'!$A:$A,0),MATCH(AO$1,'product-export-27-8-2026'!$1:$1,0)),IF(_xlpm.v="","",_xlpm.v)),"")</f>
        <v/>
      </c>
      <c r="AP30" s="12" t="str">
        <f>IFERROR(_xlfn.LET(_xlpm.v,INDEX('product-export-27-8-2026'!$A:$AJ,MATCH($A30,'product-export-27-8-2026'!$A:$A,0),MATCH(AP$1,'product-export-27-8-2026'!$1:$1,0)),IF(_xlpm.v="","",_xlpm.v)),"")</f>
        <v/>
      </c>
      <c r="AQ30" s="12" t="str">
        <f>IFERROR(_xlfn.LET(_xlpm.v,INDEX('product-export-27-8-2026'!$A:$AJ,MATCH($A30,'product-export-27-8-2026'!$A:$A,0),MATCH(AQ$1,'product-export-27-8-2026'!$1:$1,0)),IF(_xlpm.v="","",_xlpm.v)),"")</f>
        <v/>
      </c>
      <c r="AR30" s="12" t="str">
        <f>IFERROR(_xlfn.LET(_xlpm.v,INDEX('product-export-27-8-2026'!$A:$AJ,MATCH($A30,'product-export-27-8-2026'!$A:$A,0),MATCH(AR$1,'product-export-27-8-2026'!$1:$1,0)),IF(_xlpm.v="","",_xlpm.v)),"")</f>
        <v>Diaries &gt; A5 Diary, Diaries, Dorchester Collection, Diaries &gt; Faux Leather Diaries, Diaries &gt; A5 Diary &gt; WTV</v>
      </c>
      <c r="AS30" s="12" t="str">
        <f>IFERROR(_xlfn.LET(_xlpm.v,INDEX('product-export-27-8-2026'!$A:$AJ,MATCH($A30,'product-export-27-8-2026'!$A:$A,0),MATCH(AS$1,'product-export-27-8-2026'!$1:$1,0)),IF(_xlpm.v="","",_xlpm.v)),"")</f>
        <v>Dorchester-NewHide-A5-Desk-Diary-Week-To-View</v>
      </c>
      <c r="BC30" s="15"/>
    </row>
    <row r="31" spans="1:55" s="14" customFormat="1" ht="27.6" customHeight="1" x14ac:dyDescent="0.3">
      <c r="A31" s="11">
        <v>860</v>
      </c>
      <c r="B31" s="12" t="s">
        <v>364</v>
      </c>
      <c r="C31" s="12" t="s">
        <v>18</v>
      </c>
      <c r="D31" s="12" t="s">
        <v>62</v>
      </c>
      <c r="E31" s="13" t="s">
        <v>62</v>
      </c>
      <c r="F31" s="12" t="s">
        <v>60</v>
      </c>
      <c r="G31" s="12" t="s">
        <v>14</v>
      </c>
      <c r="H31" s="12" t="s">
        <v>728</v>
      </c>
      <c r="I31" s="12" t="s">
        <v>20</v>
      </c>
      <c r="J31" s="12" t="s">
        <v>87</v>
      </c>
      <c r="K31" s="12" t="s">
        <v>1665</v>
      </c>
      <c r="L31" s="60">
        <v>0.48</v>
      </c>
      <c r="M31" s="11">
        <v>13.5</v>
      </c>
      <c r="N31" s="12" t="s">
        <v>61</v>
      </c>
      <c r="O31" s="56">
        <f t="shared" si="1"/>
        <v>13.61</v>
      </c>
      <c r="P31" s="56">
        <f t="shared" si="1"/>
        <v>13.04</v>
      </c>
      <c r="Q31" s="56">
        <f t="shared" si="1"/>
        <v>7.28</v>
      </c>
      <c r="R31" s="56">
        <f t="shared" si="1"/>
        <v>6.18</v>
      </c>
      <c r="S31" s="56">
        <f t="shared" si="1"/>
        <v>5.74</v>
      </c>
      <c r="T31" s="56">
        <f t="shared" si="1"/>
        <v>5.54</v>
      </c>
      <c r="U31" s="56">
        <f t="shared" si="1"/>
        <v>5.15</v>
      </c>
      <c r="V31" s="56">
        <f t="shared" si="1"/>
        <v>4.96</v>
      </c>
      <c r="W31" s="56">
        <f t="shared" si="1"/>
        <v>4.66</v>
      </c>
      <c r="X31" s="30" t="str" cm="1">
        <f t="array" ref="X31">IF(Y31="","",_xlfn.TEXTJOIN(";",TRUE,SUBSTITUTE($Y$1:$AG$1,"Qty ","")&amp;":"&amp;TEXT(Y31:AG31,"0.00"))&amp;";")</f>
        <v>1:18.83;10:17.44;25:10.85;50:9.15;100:8.47;250:7.92;500:7.52;750:7.27;1000:6.91;</v>
      </c>
      <c r="Y31" s="56">
        <f>'Blocking Prices'!$C$15+O31</f>
        <v>18.829999999999998</v>
      </c>
      <c r="Z31" s="56">
        <f>'Blocking Prices'!$D$15+P31</f>
        <v>17.439999999999998</v>
      </c>
      <c r="AA31" s="56">
        <f>'Blocking Prices'!$E$15+Q31</f>
        <v>10.85</v>
      </c>
      <c r="AB31" s="56">
        <f>'Blocking Prices'!$F$15+R31</f>
        <v>9.15</v>
      </c>
      <c r="AC31" s="56">
        <f>'Blocking Prices'!$G$15+S31</f>
        <v>8.4700000000000006</v>
      </c>
      <c r="AD31" s="56">
        <f>'Blocking Prices'!$H$15+T31</f>
        <v>7.92</v>
      </c>
      <c r="AE31" s="56">
        <f>'Blocking Prices'!$I$15+U31</f>
        <v>7.5200000000000005</v>
      </c>
      <c r="AF31" s="56">
        <f>'Blocking Prices'!$J$15+V31</f>
        <v>7.27</v>
      </c>
      <c r="AG31" s="56">
        <f>'Blocking Prices'!$K$15+W31</f>
        <v>6.91</v>
      </c>
      <c r="AH31" s="11"/>
      <c r="AI31" s="11"/>
      <c r="AJ31" s="11"/>
      <c r="AK31" s="11"/>
      <c r="AL31" s="12" t="s">
        <v>798</v>
      </c>
      <c r="AM31" s="12" t="s">
        <v>799</v>
      </c>
      <c r="AN31" s="12" t="str">
        <f>IFERROR(_xlfn.LET(_xlpm.v,INDEX('product-export-27-8-2026'!$A:$AJ,MATCH($A31,'product-export-27-8-2026'!$A:$A,0),MATCH(AN$1,'product-export-27-8-2026'!$1:$1,0)),IF(_xlpm.v="","",_xlpm.v)),"")</f>
        <v/>
      </c>
      <c r="AO31" s="12" t="str">
        <f>IFERROR(_xlfn.LET(_xlpm.v,INDEX('product-export-27-8-2026'!$A:$AJ,MATCH($A31,'product-export-27-8-2026'!$A:$A,0),MATCH(AO$1,'product-export-27-8-2026'!$1:$1,0)),IF(_xlpm.v="","",_xlpm.v)),"")</f>
        <v/>
      </c>
      <c r="AP31" s="12" t="str">
        <f>IFERROR(_xlfn.LET(_xlpm.v,INDEX('product-export-27-8-2026'!$A:$AJ,MATCH($A31,'product-export-27-8-2026'!$A:$A,0),MATCH(AP$1,'product-export-27-8-2026'!$1:$1,0)),IF(_xlpm.v="","",_xlpm.v)),"")</f>
        <v/>
      </c>
      <c r="AQ31" s="12" t="str">
        <f>IFERROR(_xlfn.LET(_xlpm.v,INDEX('product-export-27-8-2026'!$A:$AJ,MATCH($A31,'product-export-27-8-2026'!$A:$A,0),MATCH(AQ$1,'product-export-27-8-2026'!$1:$1,0)),IF(_xlpm.v="","",_xlpm.v)),"")</f>
        <v/>
      </c>
      <c r="AR31" s="12" t="str">
        <f>IFERROR(_xlfn.LET(_xlpm.v,INDEX('product-export-27-8-2026'!$A:$AJ,MATCH($A31,'product-export-27-8-2026'!$A:$A,0),MATCH(AR$1,'product-export-27-8-2026'!$1:$1,0)),IF(_xlpm.v="","",_xlpm.v)),"")</f>
        <v>Diaries &gt; A5 Diary, Diaries, Dorchester Collection, Diaries &gt; Faux Leather Diaries, Diaries &gt; A5 Diary &gt; WTV</v>
      </c>
      <c r="AS31" s="12" t="str">
        <f>IFERROR(_xlfn.LET(_xlpm.v,INDEX('product-export-27-8-2026'!$A:$AJ,MATCH($A31,'product-export-27-8-2026'!$A:$A,0),MATCH(AS$1,'product-export-27-8-2026'!$1:$1,0)),IF(_xlpm.v="","",_xlpm.v)),"")</f>
        <v>Dorchester-NewHide-A5-Desk-Diary-Week-To-View</v>
      </c>
      <c r="BC31" s="15"/>
    </row>
    <row r="32" spans="1:55" s="14" customFormat="1" ht="27.6" customHeight="1" x14ac:dyDescent="0.3">
      <c r="A32" s="11">
        <v>861</v>
      </c>
      <c r="B32" s="12" t="s">
        <v>365</v>
      </c>
      <c r="C32" s="12" t="s">
        <v>18</v>
      </c>
      <c r="D32" s="12" t="s">
        <v>63</v>
      </c>
      <c r="E32" s="13" t="s">
        <v>63</v>
      </c>
      <c r="F32" s="12" t="s">
        <v>60</v>
      </c>
      <c r="G32" s="12" t="s">
        <v>14</v>
      </c>
      <c r="H32" s="12" t="s">
        <v>696</v>
      </c>
      <c r="I32" s="12" t="s">
        <v>20</v>
      </c>
      <c r="J32" s="12" t="s">
        <v>87</v>
      </c>
      <c r="K32" s="12" t="s">
        <v>1665</v>
      </c>
      <c r="L32" s="60">
        <v>0.48</v>
      </c>
      <c r="M32" s="11">
        <v>13.5</v>
      </c>
      <c r="N32" s="12" t="s">
        <v>61</v>
      </c>
      <c r="O32" s="56">
        <f t="shared" ref="O32:W41" si="2">IFERROR(VALUE(_xlfn.TEXTBEFORE(_xlfn.TEXTAFTER(";"&amp;$N32,";"&amp;SUBSTITUTE(O$1,"Qty ","")&amp;":"),";")),"")</f>
        <v>13.61</v>
      </c>
      <c r="P32" s="56">
        <f t="shared" si="2"/>
        <v>13.04</v>
      </c>
      <c r="Q32" s="56">
        <f t="shared" si="2"/>
        <v>7.28</v>
      </c>
      <c r="R32" s="56">
        <f t="shared" si="2"/>
        <v>6.18</v>
      </c>
      <c r="S32" s="56">
        <f t="shared" si="2"/>
        <v>5.74</v>
      </c>
      <c r="T32" s="56">
        <f t="shared" si="2"/>
        <v>5.54</v>
      </c>
      <c r="U32" s="56">
        <f t="shared" si="2"/>
        <v>5.15</v>
      </c>
      <c r="V32" s="56">
        <f t="shared" si="2"/>
        <v>4.96</v>
      </c>
      <c r="W32" s="56">
        <f t="shared" si="2"/>
        <v>4.66</v>
      </c>
      <c r="X32" s="30" t="str" cm="1">
        <f t="array" ref="X32">IF(Y32="","",_xlfn.TEXTJOIN(";",TRUE,SUBSTITUTE($Y$1:$AG$1,"Qty ","")&amp;":"&amp;TEXT(Y32:AG32,"0.00"))&amp;";")</f>
        <v>1:18.83;10:17.44;25:10.85;50:9.15;100:8.47;250:7.92;500:7.52;750:7.27;1000:6.91;</v>
      </c>
      <c r="Y32" s="56">
        <f>'Blocking Prices'!$C$15+O32</f>
        <v>18.829999999999998</v>
      </c>
      <c r="Z32" s="56">
        <f>'Blocking Prices'!$D$15+P32</f>
        <v>17.439999999999998</v>
      </c>
      <c r="AA32" s="56">
        <f>'Blocking Prices'!$E$15+Q32</f>
        <v>10.85</v>
      </c>
      <c r="AB32" s="56">
        <f>'Blocking Prices'!$F$15+R32</f>
        <v>9.15</v>
      </c>
      <c r="AC32" s="56">
        <f>'Blocking Prices'!$G$15+S32</f>
        <v>8.4700000000000006</v>
      </c>
      <c r="AD32" s="56">
        <f>'Blocking Prices'!$H$15+T32</f>
        <v>7.92</v>
      </c>
      <c r="AE32" s="56">
        <f>'Blocking Prices'!$I$15+U32</f>
        <v>7.5200000000000005</v>
      </c>
      <c r="AF32" s="56">
        <f>'Blocking Prices'!$J$15+V32</f>
        <v>7.27</v>
      </c>
      <c r="AG32" s="56">
        <f>'Blocking Prices'!$K$15+W32</f>
        <v>6.91</v>
      </c>
      <c r="AH32" s="11"/>
      <c r="AI32" s="11"/>
      <c r="AJ32" s="11"/>
      <c r="AK32" s="11"/>
      <c r="AL32" s="12" t="s">
        <v>798</v>
      </c>
      <c r="AM32" s="12" t="s">
        <v>799</v>
      </c>
      <c r="AN32" s="12" t="str">
        <f>IFERROR(_xlfn.LET(_xlpm.v,INDEX('product-export-27-8-2026'!$A:$AJ,MATCH($A32,'product-export-27-8-2026'!$A:$A,0),MATCH(AN$1,'product-export-27-8-2026'!$1:$1,0)),IF(_xlpm.v="","",_xlpm.v)),"")</f>
        <v/>
      </c>
      <c r="AO32" s="12" t="str">
        <f>IFERROR(_xlfn.LET(_xlpm.v,INDEX('product-export-27-8-2026'!$A:$AJ,MATCH($A32,'product-export-27-8-2026'!$A:$A,0),MATCH(AO$1,'product-export-27-8-2026'!$1:$1,0)),IF(_xlpm.v="","",_xlpm.v)),"")</f>
        <v/>
      </c>
      <c r="AP32" s="12" t="str">
        <f>IFERROR(_xlfn.LET(_xlpm.v,INDEX('product-export-27-8-2026'!$A:$AJ,MATCH($A32,'product-export-27-8-2026'!$A:$A,0),MATCH(AP$1,'product-export-27-8-2026'!$1:$1,0)),IF(_xlpm.v="","",_xlpm.v)),"")</f>
        <v/>
      </c>
      <c r="AQ32" s="12" t="str">
        <f>IFERROR(_xlfn.LET(_xlpm.v,INDEX('product-export-27-8-2026'!$A:$AJ,MATCH($A32,'product-export-27-8-2026'!$A:$A,0),MATCH(AQ$1,'product-export-27-8-2026'!$1:$1,0)),IF(_xlpm.v="","",_xlpm.v)),"")</f>
        <v/>
      </c>
      <c r="AR32" s="12" t="str">
        <f>IFERROR(_xlfn.LET(_xlpm.v,INDEX('product-export-27-8-2026'!$A:$AJ,MATCH($A32,'product-export-27-8-2026'!$A:$A,0),MATCH(AR$1,'product-export-27-8-2026'!$1:$1,0)),IF(_xlpm.v="","",_xlpm.v)),"")</f>
        <v>Diaries &gt; A5 Diary, Diaries, Dorchester Collection, Diaries &gt; Faux Leather Diaries, Diaries &gt; A5 Diary &gt; WTV</v>
      </c>
      <c r="AS32" s="12" t="str">
        <f>IFERROR(_xlfn.LET(_xlpm.v,INDEX('product-export-27-8-2026'!$A:$AJ,MATCH($A32,'product-export-27-8-2026'!$A:$A,0),MATCH(AS$1,'product-export-27-8-2026'!$1:$1,0)),IF(_xlpm.v="","",_xlpm.v)),"")</f>
        <v>Dorchester-NewHide-A5-Desk-Diary-Week-To-View</v>
      </c>
      <c r="BC32" s="15"/>
    </row>
    <row r="33" spans="1:55" s="14" customFormat="1" ht="27.6" customHeight="1" x14ac:dyDescent="0.3">
      <c r="A33" s="11">
        <v>868</v>
      </c>
      <c r="B33" s="12" t="s">
        <v>366</v>
      </c>
      <c r="C33" s="12" t="s">
        <v>18</v>
      </c>
      <c r="D33" s="12" t="s">
        <v>64</v>
      </c>
      <c r="E33" s="13" t="s">
        <v>64</v>
      </c>
      <c r="F33" s="12" t="s">
        <v>60</v>
      </c>
      <c r="G33" s="12" t="s">
        <v>14</v>
      </c>
      <c r="H33" s="12" t="s">
        <v>789</v>
      </c>
      <c r="I33" s="12" t="s">
        <v>20</v>
      </c>
      <c r="J33" s="12" t="s">
        <v>87</v>
      </c>
      <c r="K33" s="12" t="s">
        <v>1665</v>
      </c>
      <c r="L33" s="60">
        <v>0.48</v>
      </c>
      <c r="M33" s="11">
        <v>13.5</v>
      </c>
      <c r="N33" s="12" t="s">
        <v>61</v>
      </c>
      <c r="O33" s="56">
        <f t="shared" si="2"/>
        <v>13.61</v>
      </c>
      <c r="P33" s="56">
        <f t="shared" si="2"/>
        <v>13.04</v>
      </c>
      <c r="Q33" s="56">
        <f t="shared" si="2"/>
        <v>7.28</v>
      </c>
      <c r="R33" s="56">
        <f t="shared" si="2"/>
        <v>6.18</v>
      </c>
      <c r="S33" s="56">
        <f t="shared" si="2"/>
        <v>5.74</v>
      </c>
      <c r="T33" s="56">
        <f t="shared" si="2"/>
        <v>5.54</v>
      </c>
      <c r="U33" s="56">
        <f t="shared" si="2"/>
        <v>5.15</v>
      </c>
      <c r="V33" s="56">
        <f t="shared" si="2"/>
        <v>4.96</v>
      </c>
      <c r="W33" s="56">
        <f t="shared" si="2"/>
        <v>4.66</v>
      </c>
      <c r="X33" s="30" t="str" cm="1">
        <f t="array" ref="X33">IF(Y33="","",_xlfn.TEXTJOIN(";",TRUE,SUBSTITUTE($Y$1:$AG$1,"Qty ","")&amp;":"&amp;TEXT(Y33:AG33,"0.00"))&amp;";")</f>
        <v>1:18.83;10:17.44;25:10.85;50:9.15;100:8.47;250:7.92;500:7.52;750:7.27;1000:6.91;</v>
      </c>
      <c r="Y33" s="56">
        <f>'Blocking Prices'!$C$15+O33</f>
        <v>18.829999999999998</v>
      </c>
      <c r="Z33" s="56">
        <f>'Blocking Prices'!$D$15+P33</f>
        <v>17.439999999999998</v>
      </c>
      <c r="AA33" s="56">
        <f>'Blocking Prices'!$E$15+Q33</f>
        <v>10.85</v>
      </c>
      <c r="AB33" s="56">
        <f>'Blocking Prices'!$F$15+R33</f>
        <v>9.15</v>
      </c>
      <c r="AC33" s="56">
        <f>'Blocking Prices'!$G$15+S33</f>
        <v>8.4700000000000006</v>
      </c>
      <c r="AD33" s="56">
        <f>'Blocking Prices'!$H$15+T33</f>
        <v>7.92</v>
      </c>
      <c r="AE33" s="56">
        <f>'Blocking Prices'!$I$15+U33</f>
        <v>7.5200000000000005</v>
      </c>
      <c r="AF33" s="56">
        <f>'Blocking Prices'!$J$15+V33</f>
        <v>7.27</v>
      </c>
      <c r="AG33" s="56">
        <f>'Blocking Prices'!$K$15+W33</f>
        <v>6.91</v>
      </c>
      <c r="AH33" s="11"/>
      <c r="AI33" s="11"/>
      <c r="AJ33" s="11"/>
      <c r="AK33" s="11"/>
      <c r="AL33" s="12" t="s">
        <v>798</v>
      </c>
      <c r="AM33" s="12" t="s">
        <v>799</v>
      </c>
      <c r="AN33" s="12" t="str">
        <f>IFERROR(_xlfn.LET(_xlpm.v,INDEX('product-export-27-8-2026'!$A:$AJ,MATCH($A33,'product-export-27-8-2026'!$A:$A,0),MATCH(AN$1,'product-export-27-8-2026'!$1:$1,0)),IF(_xlpm.v="","",_xlpm.v)),"")</f>
        <v/>
      </c>
      <c r="AO33" s="12" t="str">
        <f>IFERROR(_xlfn.LET(_xlpm.v,INDEX('product-export-27-8-2026'!$A:$AJ,MATCH($A33,'product-export-27-8-2026'!$A:$A,0),MATCH(AO$1,'product-export-27-8-2026'!$1:$1,0)),IF(_xlpm.v="","",_xlpm.v)),"")</f>
        <v/>
      </c>
      <c r="AP33" s="12" t="str">
        <f>IFERROR(_xlfn.LET(_xlpm.v,INDEX('product-export-27-8-2026'!$A:$AJ,MATCH($A33,'product-export-27-8-2026'!$A:$A,0),MATCH(AP$1,'product-export-27-8-2026'!$1:$1,0)),IF(_xlpm.v="","",_xlpm.v)),"")</f>
        <v/>
      </c>
      <c r="AQ33" s="12" t="str">
        <f>IFERROR(_xlfn.LET(_xlpm.v,INDEX('product-export-27-8-2026'!$A:$AJ,MATCH($A33,'product-export-27-8-2026'!$A:$A,0),MATCH(AQ$1,'product-export-27-8-2026'!$1:$1,0)),IF(_xlpm.v="","",_xlpm.v)),"")</f>
        <v/>
      </c>
      <c r="AR33" s="12" t="str">
        <f>IFERROR(_xlfn.LET(_xlpm.v,INDEX('product-export-27-8-2026'!$A:$AJ,MATCH($A33,'product-export-27-8-2026'!$A:$A,0),MATCH(AR$1,'product-export-27-8-2026'!$1:$1,0)),IF(_xlpm.v="","",_xlpm.v)),"")</f>
        <v>Diaries &gt; A5 Diary, Diaries, Dorchester Collection, Diaries &gt; Faux Leather Diaries, Diaries &gt; A5 Diary &gt; WTV</v>
      </c>
      <c r="AS33" s="12" t="str">
        <f>IFERROR(_xlfn.LET(_xlpm.v,INDEX('product-export-27-8-2026'!$A:$AJ,MATCH($A33,'product-export-27-8-2026'!$A:$A,0),MATCH(AS$1,'product-export-27-8-2026'!$1:$1,0)),IF(_xlpm.v="","",_xlpm.v)),"")</f>
        <v>Dorchester-NewHide-A5-Desk-Diary-Week-To-View</v>
      </c>
      <c r="BC33" s="15"/>
    </row>
    <row r="34" spans="1:55" s="14" customFormat="1" ht="27.6" customHeight="1" x14ac:dyDescent="0.3">
      <c r="A34" s="11">
        <v>869</v>
      </c>
      <c r="B34" s="12" t="s">
        <v>367</v>
      </c>
      <c r="C34" s="12" t="s">
        <v>18</v>
      </c>
      <c r="D34" s="12" t="s">
        <v>65</v>
      </c>
      <c r="E34" s="13" t="s">
        <v>65</v>
      </c>
      <c r="F34" s="12" t="s">
        <v>60</v>
      </c>
      <c r="G34" s="12" t="s">
        <v>14</v>
      </c>
      <c r="H34" s="12" t="s">
        <v>792</v>
      </c>
      <c r="I34" s="12" t="s">
        <v>20</v>
      </c>
      <c r="J34" s="12" t="s">
        <v>87</v>
      </c>
      <c r="K34" s="12" t="s">
        <v>1665</v>
      </c>
      <c r="L34" s="60">
        <v>0.48</v>
      </c>
      <c r="M34" s="11">
        <v>13.5</v>
      </c>
      <c r="N34" s="12" t="s">
        <v>61</v>
      </c>
      <c r="O34" s="56">
        <f t="shared" si="2"/>
        <v>13.61</v>
      </c>
      <c r="P34" s="56">
        <f t="shared" si="2"/>
        <v>13.04</v>
      </c>
      <c r="Q34" s="56">
        <f t="shared" si="2"/>
        <v>7.28</v>
      </c>
      <c r="R34" s="56">
        <f t="shared" si="2"/>
        <v>6.18</v>
      </c>
      <c r="S34" s="56">
        <f t="shared" si="2"/>
        <v>5.74</v>
      </c>
      <c r="T34" s="56">
        <f t="shared" si="2"/>
        <v>5.54</v>
      </c>
      <c r="U34" s="56">
        <f t="shared" si="2"/>
        <v>5.15</v>
      </c>
      <c r="V34" s="56">
        <f t="shared" si="2"/>
        <v>4.96</v>
      </c>
      <c r="W34" s="56">
        <f t="shared" si="2"/>
        <v>4.66</v>
      </c>
      <c r="X34" s="30" t="str" cm="1">
        <f t="array" ref="X34">IF(Y34="","",_xlfn.TEXTJOIN(";",TRUE,SUBSTITUTE($Y$1:$AG$1,"Qty ","")&amp;":"&amp;TEXT(Y34:AG34,"0.00"))&amp;";")</f>
        <v>1:18.83;10:17.44;25:10.85;50:9.15;100:8.47;250:7.92;500:7.52;750:7.27;1000:6.91;</v>
      </c>
      <c r="Y34" s="56">
        <f>'Blocking Prices'!$C$15+O34</f>
        <v>18.829999999999998</v>
      </c>
      <c r="Z34" s="56">
        <f>'Blocking Prices'!$D$15+P34</f>
        <v>17.439999999999998</v>
      </c>
      <c r="AA34" s="56">
        <f>'Blocking Prices'!$E$15+Q34</f>
        <v>10.85</v>
      </c>
      <c r="AB34" s="56">
        <f>'Blocking Prices'!$F$15+R34</f>
        <v>9.15</v>
      </c>
      <c r="AC34" s="56">
        <f>'Blocking Prices'!$G$15+S34</f>
        <v>8.4700000000000006</v>
      </c>
      <c r="AD34" s="56">
        <f>'Blocking Prices'!$H$15+T34</f>
        <v>7.92</v>
      </c>
      <c r="AE34" s="56">
        <f>'Blocking Prices'!$I$15+U34</f>
        <v>7.5200000000000005</v>
      </c>
      <c r="AF34" s="56">
        <f>'Blocking Prices'!$J$15+V34</f>
        <v>7.27</v>
      </c>
      <c r="AG34" s="56">
        <f>'Blocking Prices'!$K$15+W34</f>
        <v>6.91</v>
      </c>
      <c r="AH34" s="11"/>
      <c r="AI34" s="11"/>
      <c r="AJ34" s="11"/>
      <c r="AK34" s="11"/>
      <c r="AL34" s="12" t="s">
        <v>798</v>
      </c>
      <c r="AM34" s="12" t="s">
        <v>799</v>
      </c>
      <c r="AN34" s="12" t="str">
        <f>IFERROR(_xlfn.LET(_xlpm.v,INDEX('product-export-27-8-2026'!$A:$AJ,MATCH($A34,'product-export-27-8-2026'!$A:$A,0),MATCH(AN$1,'product-export-27-8-2026'!$1:$1,0)),IF(_xlpm.v="","",_xlpm.v)),"")</f>
        <v/>
      </c>
      <c r="AO34" s="12" t="str">
        <f>IFERROR(_xlfn.LET(_xlpm.v,INDEX('product-export-27-8-2026'!$A:$AJ,MATCH($A34,'product-export-27-8-2026'!$A:$A,0),MATCH(AO$1,'product-export-27-8-2026'!$1:$1,0)),IF(_xlpm.v="","",_xlpm.v)),"")</f>
        <v/>
      </c>
      <c r="AP34" s="12" t="str">
        <f>IFERROR(_xlfn.LET(_xlpm.v,INDEX('product-export-27-8-2026'!$A:$AJ,MATCH($A34,'product-export-27-8-2026'!$A:$A,0),MATCH(AP$1,'product-export-27-8-2026'!$1:$1,0)),IF(_xlpm.v="","",_xlpm.v)),"")</f>
        <v/>
      </c>
      <c r="AQ34" s="12" t="str">
        <f>IFERROR(_xlfn.LET(_xlpm.v,INDEX('product-export-27-8-2026'!$A:$AJ,MATCH($A34,'product-export-27-8-2026'!$A:$A,0),MATCH(AQ$1,'product-export-27-8-2026'!$1:$1,0)),IF(_xlpm.v="","",_xlpm.v)),"")</f>
        <v/>
      </c>
      <c r="AR34" s="12" t="str">
        <f>IFERROR(_xlfn.LET(_xlpm.v,INDEX('product-export-27-8-2026'!$A:$AJ,MATCH($A34,'product-export-27-8-2026'!$A:$A,0),MATCH(AR$1,'product-export-27-8-2026'!$1:$1,0)),IF(_xlpm.v="","",_xlpm.v)),"")</f>
        <v>Diaries &gt; A5 Diary, Diaries, Dorchester Collection, Diaries &gt; Faux Leather Diaries, Diaries &gt; A5 Diary &gt; WTV</v>
      </c>
      <c r="AS34" s="12" t="str">
        <f>IFERROR(_xlfn.LET(_xlpm.v,INDEX('product-export-27-8-2026'!$A:$AJ,MATCH($A34,'product-export-27-8-2026'!$A:$A,0),MATCH(AS$1,'product-export-27-8-2026'!$1:$1,0)),IF(_xlpm.v="","",_xlpm.v)),"")</f>
        <v>Dorchester-NewHide-A5-Desk-Diary-Week-To-View</v>
      </c>
      <c r="BC34" s="15"/>
    </row>
    <row r="35" spans="1:55" s="14" customFormat="1" ht="27.6" customHeight="1" x14ac:dyDescent="0.3">
      <c r="A35" s="11">
        <v>870</v>
      </c>
      <c r="B35" s="12" t="s">
        <v>368</v>
      </c>
      <c r="C35" s="12" t="s">
        <v>18</v>
      </c>
      <c r="D35" s="12" t="s">
        <v>66</v>
      </c>
      <c r="E35" s="13" t="s">
        <v>66</v>
      </c>
      <c r="F35" s="12" t="s">
        <v>67</v>
      </c>
      <c r="G35" s="12" t="s">
        <v>14</v>
      </c>
      <c r="H35" s="12" t="s">
        <v>672</v>
      </c>
      <c r="I35" s="12" t="s">
        <v>41</v>
      </c>
      <c r="J35" s="12" t="s">
        <v>91</v>
      </c>
      <c r="K35" s="12" t="s">
        <v>1665</v>
      </c>
      <c r="L35" s="60">
        <v>0.48</v>
      </c>
      <c r="M35" s="11">
        <v>14.99</v>
      </c>
      <c r="N35" s="12" t="s">
        <v>68</v>
      </c>
      <c r="O35" s="56">
        <f t="shared" si="2"/>
        <v>14.69</v>
      </c>
      <c r="P35" s="56">
        <f t="shared" si="2"/>
        <v>13.74</v>
      </c>
      <c r="Q35" s="56">
        <f t="shared" si="2"/>
        <v>9.5399999999999991</v>
      </c>
      <c r="R35" s="56">
        <f t="shared" si="2"/>
        <v>8.4700000000000006</v>
      </c>
      <c r="S35" s="56">
        <f t="shared" si="2"/>
        <v>8.26</v>
      </c>
      <c r="T35" s="56">
        <f t="shared" si="2"/>
        <v>7.54</v>
      </c>
      <c r="U35" s="56">
        <f t="shared" si="2"/>
        <v>7</v>
      </c>
      <c r="V35" s="56">
        <f t="shared" si="2"/>
        <v>6.74</v>
      </c>
      <c r="W35" s="56">
        <f t="shared" si="2"/>
        <v>6.31</v>
      </c>
      <c r="X35" s="30" t="str" cm="1">
        <f t="array" ref="X35">IF(Y35="","",_xlfn.TEXTJOIN(";",TRUE,SUBSTITUTE($Y$1:$AG$1,"Qty ","")&amp;":"&amp;TEXT(Y35:AG35,"0.00"))&amp;";")</f>
        <v>1:19.91;10:18.14;25:13.11;50:11.44;100:10.99;250:9.92;500:9.37;750:9.05;1000:8.56;</v>
      </c>
      <c r="Y35" s="56">
        <f>'Blocking Prices'!$C$15+O35</f>
        <v>19.91</v>
      </c>
      <c r="Z35" s="56">
        <f>'Blocking Prices'!$D$15+P35</f>
        <v>18.14</v>
      </c>
      <c r="AA35" s="56">
        <f>'Blocking Prices'!$E$15+Q35</f>
        <v>13.11</v>
      </c>
      <c r="AB35" s="56">
        <f>'Blocking Prices'!$F$15+R35</f>
        <v>11.440000000000001</v>
      </c>
      <c r="AC35" s="56">
        <f>'Blocking Prices'!$G$15+S35</f>
        <v>10.99</v>
      </c>
      <c r="AD35" s="56">
        <f>'Blocking Prices'!$H$15+T35</f>
        <v>9.92</v>
      </c>
      <c r="AE35" s="56">
        <f>'Blocking Prices'!$I$15+U35</f>
        <v>9.370000000000001</v>
      </c>
      <c r="AF35" s="56">
        <f>'Blocking Prices'!$J$15+V35</f>
        <v>9.0500000000000007</v>
      </c>
      <c r="AG35" s="56">
        <f>'Blocking Prices'!$K$15+W35</f>
        <v>8.5599999999999987</v>
      </c>
      <c r="AH35" s="11"/>
      <c r="AI35" s="11"/>
      <c r="AJ35" s="11"/>
      <c r="AK35" s="11"/>
      <c r="AL35" s="12" t="s">
        <v>814</v>
      </c>
      <c r="AM35" s="12" t="s">
        <v>815</v>
      </c>
      <c r="AN35" s="12" t="str">
        <f>IFERROR(_xlfn.LET(_xlpm.v,INDEX('product-export-27-8-2026'!$A:$AJ,MATCH($A35,'product-export-27-8-2026'!$A:$A,0),MATCH(AN$1,'product-export-27-8-2026'!$1:$1,0)),IF(_xlpm.v="","",_xlpm.v)),"")</f>
        <v/>
      </c>
      <c r="AO35" s="12" t="str">
        <f>IFERROR(_xlfn.LET(_xlpm.v,INDEX('product-export-27-8-2026'!$A:$AJ,MATCH($A35,'product-export-27-8-2026'!$A:$A,0),MATCH(AO$1,'product-export-27-8-2026'!$1:$1,0)),IF(_xlpm.v="","",_xlpm.v)),"")</f>
        <v/>
      </c>
      <c r="AP35" s="12" t="str">
        <f>IFERROR(_xlfn.LET(_xlpm.v,INDEX('product-export-27-8-2026'!$A:$AJ,MATCH($A35,'product-export-27-8-2026'!$A:$A,0),MATCH(AP$1,'product-export-27-8-2026'!$1:$1,0)),IF(_xlpm.v="","",_xlpm.v)),"")</f>
        <v/>
      </c>
      <c r="AQ35" s="12" t="str">
        <f>IFERROR(_xlfn.LET(_xlpm.v,INDEX('product-export-27-8-2026'!$A:$AJ,MATCH($A35,'product-export-27-8-2026'!$A:$A,0),MATCH(AQ$1,'product-export-27-8-2026'!$1:$1,0)),IF(_xlpm.v="","",_xlpm.v)),"")</f>
        <v/>
      </c>
      <c r="AR35" s="12" t="str">
        <f>IFERROR(_xlfn.LET(_xlpm.v,INDEX('product-export-27-8-2026'!$A:$AJ,MATCH($A35,'product-export-27-8-2026'!$A:$A,0),MATCH(AR$1,'product-export-27-8-2026'!$1:$1,0)),IF(_xlpm.v="","",_xlpm.v)),"")</f>
        <v>Diaries &gt; A5 Diary, Diaries, Diaries &gt; A5 Diary &gt; DPP, Diaries &gt; Faux Leather Diaries, Harrogate Collection</v>
      </c>
      <c r="AS35" s="12" t="str">
        <f>IFERROR(_xlfn.LET(_xlpm.v,INDEX('product-export-27-8-2026'!$A:$AJ,MATCH($A35,'product-export-27-8-2026'!$A:$A,0),MATCH(AS$1,'product-export-27-8-2026'!$1:$1,0)),IF(_xlpm.v="","",_xlpm.v)),"")</f>
        <v>Harrogate-SaharaHide-Faux-Leather-A5-Diary-Day-Per-Page</v>
      </c>
      <c r="BC35" s="15"/>
    </row>
    <row r="36" spans="1:55" s="14" customFormat="1" ht="27.6" customHeight="1" x14ac:dyDescent="0.3">
      <c r="A36" s="11">
        <v>872</v>
      </c>
      <c r="B36" s="12" t="s">
        <v>369</v>
      </c>
      <c r="C36" s="12" t="s">
        <v>18</v>
      </c>
      <c r="D36" s="12" t="s">
        <v>69</v>
      </c>
      <c r="E36" s="13" t="s">
        <v>69</v>
      </c>
      <c r="F36" s="12" t="s">
        <v>67</v>
      </c>
      <c r="G36" s="12" t="s">
        <v>14</v>
      </c>
      <c r="H36" s="12" t="s">
        <v>731</v>
      </c>
      <c r="I36" s="12" t="s">
        <v>41</v>
      </c>
      <c r="J36" s="12" t="s">
        <v>91</v>
      </c>
      <c r="K36" s="12" t="s">
        <v>1665</v>
      </c>
      <c r="L36" s="60">
        <v>0.48</v>
      </c>
      <c r="M36" s="11">
        <v>14.99</v>
      </c>
      <c r="N36" s="12" t="s">
        <v>68</v>
      </c>
      <c r="O36" s="56">
        <f t="shared" si="2"/>
        <v>14.69</v>
      </c>
      <c r="P36" s="56">
        <f t="shared" si="2"/>
        <v>13.74</v>
      </c>
      <c r="Q36" s="56">
        <f t="shared" si="2"/>
        <v>9.5399999999999991</v>
      </c>
      <c r="R36" s="56">
        <f t="shared" si="2"/>
        <v>8.4700000000000006</v>
      </c>
      <c r="S36" s="56">
        <f t="shared" si="2"/>
        <v>8.26</v>
      </c>
      <c r="T36" s="56">
        <f t="shared" si="2"/>
        <v>7.54</v>
      </c>
      <c r="U36" s="56">
        <f t="shared" si="2"/>
        <v>7</v>
      </c>
      <c r="V36" s="56">
        <f t="shared" si="2"/>
        <v>6.74</v>
      </c>
      <c r="W36" s="56">
        <f t="shared" si="2"/>
        <v>6.31</v>
      </c>
      <c r="X36" s="30" t="str" cm="1">
        <f t="array" ref="X36">IF(Y36="","",_xlfn.TEXTJOIN(";",TRUE,SUBSTITUTE($Y$1:$AG$1,"Qty ","")&amp;":"&amp;TEXT(Y36:AG36,"0.00"))&amp;";")</f>
        <v>1:19.91;10:18.14;25:13.11;50:11.44;100:10.99;250:9.92;500:9.37;750:9.05;1000:8.56;</v>
      </c>
      <c r="Y36" s="56">
        <f>'Blocking Prices'!$C$15+O36</f>
        <v>19.91</v>
      </c>
      <c r="Z36" s="56">
        <f>'Blocking Prices'!$D$15+P36</f>
        <v>18.14</v>
      </c>
      <c r="AA36" s="56">
        <f>'Blocking Prices'!$E$15+Q36</f>
        <v>13.11</v>
      </c>
      <c r="AB36" s="56">
        <f>'Blocking Prices'!$F$15+R36</f>
        <v>11.440000000000001</v>
      </c>
      <c r="AC36" s="56">
        <f>'Blocking Prices'!$G$15+S36</f>
        <v>10.99</v>
      </c>
      <c r="AD36" s="56">
        <f>'Blocking Prices'!$H$15+T36</f>
        <v>9.92</v>
      </c>
      <c r="AE36" s="56">
        <f>'Blocking Prices'!$I$15+U36</f>
        <v>9.370000000000001</v>
      </c>
      <c r="AF36" s="56">
        <f>'Blocking Prices'!$J$15+V36</f>
        <v>9.0500000000000007</v>
      </c>
      <c r="AG36" s="56">
        <f>'Blocking Prices'!$K$15+W36</f>
        <v>8.5599999999999987</v>
      </c>
      <c r="AH36" s="11"/>
      <c r="AI36" s="11"/>
      <c r="AJ36" s="11"/>
      <c r="AK36" s="11"/>
      <c r="AL36" s="12" t="s">
        <v>814</v>
      </c>
      <c r="AM36" s="12" t="s">
        <v>815</v>
      </c>
      <c r="AN36" s="12" t="str">
        <f>IFERROR(_xlfn.LET(_xlpm.v,INDEX('product-export-27-8-2026'!$A:$AJ,MATCH($A36,'product-export-27-8-2026'!$A:$A,0),MATCH(AN$1,'product-export-27-8-2026'!$1:$1,0)),IF(_xlpm.v="","",_xlpm.v)),"")</f>
        <v/>
      </c>
      <c r="AO36" s="12" t="str">
        <f>IFERROR(_xlfn.LET(_xlpm.v,INDEX('product-export-27-8-2026'!$A:$AJ,MATCH($A36,'product-export-27-8-2026'!$A:$A,0),MATCH(AO$1,'product-export-27-8-2026'!$1:$1,0)),IF(_xlpm.v="","",_xlpm.v)),"")</f>
        <v/>
      </c>
      <c r="AP36" s="12" t="str">
        <f>IFERROR(_xlfn.LET(_xlpm.v,INDEX('product-export-27-8-2026'!$A:$AJ,MATCH($A36,'product-export-27-8-2026'!$A:$A,0),MATCH(AP$1,'product-export-27-8-2026'!$1:$1,0)),IF(_xlpm.v="","",_xlpm.v)),"")</f>
        <v/>
      </c>
      <c r="AQ36" s="12" t="str">
        <f>IFERROR(_xlfn.LET(_xlpm.v,INDEX('product-export-27-8-2026'!$A:$AJ,MATCH($A36,'product-export-27-8-2026'!$A:$A,0),MATCH(AQ$1,'product-export-27-8-2026'!$1:$1,0)),IF(_xlpm.v="","",_xlpm.v)),"")</f>
        <v/>
      </c>
      <c r="AR36" s="12" t="str">
        <f>IFERROR(_xlfn.LET(_xlpm.v,INDEX('product-export-27-8-2026'!$A:$AJ,MATCH($A36,'product-export-27-8-2026'!$A:$A,0),MATCH(AR$1,'product-export-27-8-2026'!$1:$1,0)),IF(_xlpm.v="","",_xlpm.v)),"")</f>
        <v>Diaries &gt; A5 Diary, Diaries, Diaries &gt; A5 Diary &gt; DPP, Diaries &gt; Faux Leather Diaries, Harrogate Collection</v>
      </c>
      <c r="AS36" s="12" t="str">
        <f>IFERROR(_xlfn.LET(_xlpm.v,INDEX('product-export-27-8-2026'!$A:$AJ,MATCH($A36,'product-export-27-8-2026'!$A:$A,0),MATCH(AS$1,'product-export-27-8-2026'!$1:$1,0)),IF(_xlpm.v="","",_xlpm.v)),"")</f>
        <v>Harrogate-SaharaHide-Faux-Leather-A5-Diary-Day-Per-Page</v>
      </c>
      <c r="BC36" s="15"/>
    </row>
    <row r="37" spans="1:55" s="14" customFormat="1" ht="27.6" customHeight="1" x14ac:dyDescent="0.3">
      <c r="A37" s="11">
        <v>874</v>
      </c>
      <c r="B37" s="12" t="s">
        <v>370</v>
      </c>
      <c r="C37" s="12" t="s">
        <v>18</v>
      </c>
      <c r="D37" s="12" t="s">
        <v>70</v>
      </c>
      <c r="E37" s="13" t="s">
        <v>70</v>
      </c>
      <c r="F37" s="12" t="s">
        <v>67</v>
      </c>
      <c r="G37" s="12" t="s">
        <v>14</v>
      </c>
      <c r="H37" s="12" t="s">
        <v>1585</v>
      </c>
      <c r="I37" s="12" t="s">
        <v>41</v>
      </c>
      <c r="J37" s="12" t="s">
        <v>91</v>
      </c>
      <c r="K37" s="12" t="s">
        <v>1665</v>
      </c>
      <c r="L37" s="60">
        <v>0.48</v>
      </c>
      <c r="M37" s="11">
        <v>14.99</v>
      </c>
      <c r="N37" s="12" t="s">
        <v>68</v>
      </c>
      <c r="O37" s="56">
        <f t="shared" si="2"/>
        <v>14.69</v>
      </c>
      <c r="P37" s="56">
        <f t="shared" si="2"/>
        <v>13.74</v>
      </c>
      <c r="Q37" s="56">
        <f t="shared" si="2"/>
        <v>9.5399999999999991</v>
      </c>
      <c r="R37" s="56">
        <f t="shared" si="2"/>
        <v>8.4700000000000006</v>
      </c>
      <c r="S37" s="56">
        <f t="shared" si="2"/>
        <v>8.26</v>
      </c>
      <c r="T37" s="56">
        <f t="shared" si="2"/>
        <v>7.54</v>
      </c>
      <c r="U37" s="56">
        <f t="shared" si="2"/>
        <v>7</v>
      </c>
      <c r="V37" s="56">
        <f t="shared" si="2"/>
        <v>6.74</v>
      </c>
      <c r="W37" s="56">
        <f t="shared" si="2"/>
        <v>6.31</v>
      </c>
      <c r="X37" s="30" t="str" cm="1">
        <f t="array" ref="X37">IF(Y37="","",_xlfn.TEXTJOIN(";",TRUE,SUBSTITUTE($Y$1:$AG$1,"Qty ","")&amp;":"&amp;TEXT(Y37:AG37,"0.00"))&amp;";")</f>
        <v>1:19.91;10:18.14;25:13.11;50:11.44;100:10.99;250:9.92;500:9.37;750:9.05;1000:8.56;</v>
      </c>
      <c r="Y37" s="56">
        <f>'Blocking Prices'!$C$15+O37</f>
        <v>19.91</v>
      </c>
      <c r="Z37" s="56">
        <f>'Blocking Prices'!$D$15+P37</f>
        <v>18.14</v>
      </c>
      <c r="AA37" s="56">
        <f>'Blocking Prices'!$E$15+Q37</f>
        <v>13.11</v>
      </c>
      <c r="AB37" s="56">
        <f>'Blocking Prices'!$F$15+R37</f>
        <v>11.440000000000001</v>
      </c>
      <c r="AC37" s="56">
        <f>'Blocking Prices'!$G$15+S37</f>
        <v>10.99</v>
      </c>
      <c r="AD37" s="56">
        <f>'Blocking Prices'!$H$15+T37</f>
        <v>9.92</v>
      </c>
      <c r="AE37" s="56">
        <f>'Blocking Prices'!$I$15+U37</f>
        <v>9.370000000000001</v>
      </c>
      <c r="AF37" s="56">
        <f>'Blocking Prices'!$J$15+V37</f>
        <v>9.0500000000000007</v>
      </c>
      <c r="AG37" s="56">
        <f>'Blocking Prices'!$K$15+W37</f>
        <v>8.5599999999999987</v>
      </c>
      <c r="AH37" s="11"/>
      <c r="AI37" s="11"/>
      <c r="AJ37" s="11"/>
      <c r="AK37" s="11"/>
      <c r="AL37" s="12" t="s">
        <v>814</v>
      </c>
      <c r="AM37" s="12" t="s">
        <v>825</v>
      </c>
      <c r="AN37" s="12" t="str">
        <f>IFERROR(_xlfn.LET(_xlpm.v,INDEX('product-export-27-8-2026'!$A:$AJ,MATCH($A37,'product-export-27-8-2026'!$A:$A,0),MATCH(AN$1,'product-export-27-8-2026'!$1:$1,0)),IF(_xlpm.v="","",_xlpm.v)),"")</f>
        <v/>
      </c>
      <c r="AO37" s="12" t="str">
        <f>IFERROR(_xlfn.LET(_xlpm.v,INDEX('product-export-27-8-2026'!$A:$AJ,MATCH($A37,'product-export-27-8-2026'!$A:$A,0),MATCH(AO$1,'product-export-27-8-2026'!$1:$1,0)),IF(_xlpm.v="","",_xlpm.v)),"")</f>
        <v/>
      </c>
      <c r="AP37" s="12" t="str">
        <f>IFERROR(_xlfn.LET(_xlpm.v,INDEX('product-export-27-8-2026'!$A:$AJ,MATCH($A37,'product-export-27-8-2026'!$A:$A,0),MATCH(AP$1,'product-export-27-8-2026'!$1:$1,0)),IF(_xlpm.v="","",_xlpm.v)),"")</f>
        <v/>
      </c>
      <c r="AQ37" s="12" t="str">
        <f>IFERROR(_xlfn.LET(_xlpm.v,INDEX('product-export-27-8-2026'!$A:$AJ,MATCH($A37,'product-export-27-8-2026'!$A:$A,0),MATCH(AQ$1,'product-export-27-8-2026'!$1:$1,0)),IF(_xlpm.v="","",_xlpm.v)),"")</f>
        <v/>
      </c>
      <c r="AR37" s="12" t="str">
        <f>IFERROR(_xlfn.LET(_xlpm.v,INDEX('product-export-27-8-2026'!$A:$AJ,MATCH($A37,'product-export-27-8-2026'!$A:$A,0),MATCH(AR$1,'product-export-27-8-2026'!$1:$1,0)),IF(_xlpm.v="","",_xlpm.v)),"")</f>
        <v>Diaries &gt; A5 Diary, Diaries, Diaries &gt; A5 Diary &gt; DPP, Diaries &gt; Faux Leather Diaries, Harrogate Collection</v>
      </c>
      <c r="AS37" s="12" t="str">
        <f>IFERROR(_xlfn.LET(_xlpm.v,INDEX('product-export-27-8-2026'!$A:$AJ,MATCH($A37,'product-export-27-8-2026'!$A:$A,0),MATCH(AS$1,'product-export-27-8-2026'!$1:$1,0)),IF(_xlpm.v="","",_xlpm.v)),"")</f>
        <v>Harrogate-SaharaHide-Faux-Leather-A5-Diary-Day-Per-Page</v>
      </c>
      <c r="BC37" s="15"/>
    </row>
    <row r="38" spans="1:55" s="14" customFormat="1" ht="27.6" customHeight="1" x14ac:dyDescent="0.3">
      <c r="A38" s="11">
        <v>876</v>
      </c>
      <c r="B38" s="12" t="s">
        <v>371</v>
      </c>
      <c r="C38" s="12" t="s">
        <v>18</v>
      </c>
      <c r="D38" s="12" t="s">
        <v>71</v>
      </c>
      <c r="E38" s="13" t="s">
        <v>71</v>
      </c>
      <c r="F38" s="12" t="s">
        <v>67</v>
      </c>
      <c r="G38" s="12" t="s">
        <v>14</v>
      </c>
      <c r="H38" s="12" t="s">
        <v>696</v>
      </c>
      <c r="I38" s="12" t="s">
        <v>41</v>
      </c>
      <c r="J38" s="12" t="s">
        <v>91</v>
      </c>
      <c r="K38" s="12" t="s">
        <v>1665</v>
      </c>
      <c r="L38" s="60">
        <v>0.48</v>
      </c>
      <c r="M38" s="11">
        <v>14.99</v>
      </c>
      <c r="N38" s="12" t="s">
        <v>68</v>
      </c>
      <c r="O38" s="56">
        <f t="shared" si="2"/>
        <v>14.69</v>
      </c>
      <c r="P38" s="56">
        <f t="shared" si="2"/>
        <v>13.74</v>
      </c>
      <c r="Q38" s="56">
        <f t="shared" si="2"/>
        <v>9.5399999999999991</v>
      </c>
      <c r="R38" s="56">
        <f t="shared" si="2"/>
        <v>8.4700000000000006</v>
      </c>
      <c r="S38" s="56">
        <f t="shared" si="2"/>
        <v>8.26</v>
      </c>
      <c r="T38" s="56">
        <f t="shared" si="2"/>
        <v>7.54</v>
      </c>
      <c r="U38" s="56">
        <f t="shared" si="2"/>
        <v>7</v>
      </c>
      <c r="V38" s="56">
        <f t="shared" si="2"/>
        <v>6.74</v>
      </c>
      <c r="W38" s="56">
        <f t="shared" si="2"/>
        <v>6.31</v>
      </c>
      <c r="X38" s="30" t="str" cm="1">
        <f t="array" ref="X38">IF(Y38="","",_xlfn.TEXTJOIN(";",TRUE,SUBSTITUTE($Y$1:$AG$1,"Qty ","")&amp;":"&amp;TEXT(Y38:AG38,"0.00"))&amp;";")</f>
        <v>1:19.91;10:18.14;25:13.11;50:11.44;100:10.99;250:9.92;500:9.37;750:9.05;1000:8.56;</v>
      </c>
      <c r="Y38" s="56">
        <f>'Blocking Prices'!$C$15+O38</f>
        <v>19.91</v>
      </c>
      <c r="Z38" s="56">
        <f>'Blocking Prices'!$D$15+P38</f>
        <v>18.14</v>
      </c>
      <c r="AA38" s="56">
        <f>'Blocking Prices'!$E$15+Q38</f>
        <v>13.11</v>
      </c>
      <c r="AB38" s="56">
        <f>'Blocking Prices'!$F$15+R38</f>
        <v>11.440000000000001</v>
      </c>
      <c r="AC38" s="56">
        <f>'Blocking Prices'!$G$15+S38</f>
        <v>10.99</v>
      </c>
      <c r="AD38" s="56">
        <f>'Blocking Prices'!$H$15+T38</f>
        <v>9.92</v>
      </c>
      <c r="AE38" s="56">
        <f>'Blocking Prices'!$I$15+U38</f>
        <v>9.370000000000001</v>
      </c>
      <c r="AF38" s="56">
        <f>'Blocking Prices'!$J$15+V38</f>
        <v>9.0500000000000007</v>
      </c>
      <c r="AG38" s="56">
        <f>'Blocking Prices'!$K$15+W38</f>
        <v>8.5599999999999987</v>
      </c>
      <c r="AH38" s="11"/>
      <c r="AI38" s="11"/>
      <c r="AJ38" s="11"/>
      <c r="AK38" s="11"/>
      <c r="AL38" s="12" t="s">
        <v>814</v>
      </c>
      <c r="AM38" s="12" t="s">
        <v>815</v>
      </c>
      <c r="AN38" s="12" t="str">
        <f>IFERROR(_xlfn.LET(_xlpm.v,INDEX('product-export-27-8-2026'!$A:$AJ,MATCH($A38,'product-export-27-8-2026'!$A:$A,0),MATCH(AN$1,'product-export-27-8-2026'!$1:$1,0)),IF(_xlpm.v="","",_xlpm.v)),"")</f>
        <v/>
      </c>
      <c r="AO38" s="12" t="str">
        <f>IFERROR(_xlfn.LET(_xlpm.v,INDEX('product-export-27-8-2026'!$A:$AJ,MATCH($A38,'product-export-27-8-2026'!$A:$A,0),MATCH(AO$1,'product-export-27-8-2026'!$1:$1,0)),IF(_xlpm.v="","",_xlpm.v)),"")</f>
        <v/>
      </c>
      <c r="AP38" s="12" t="str">
        <f>IFERROR(_xlfn.LET(_xlpm.v,INDEX('product-export-27-8-2026'!$A:$AJ,MATCH($A38,'product-export-27-8-2026'!$A:$A,0),MATCH(AP$1,'product-export-27-8-2026'!$1:$1,0)),IF(_xlpm.v="","",_xlpm.v)),"")</f>
        <v/>
      </c>
      <c r="AQ38" s="12" t="str">
        <f>IFERROR(_xlfn.LET(_xlpm.v,INDEX('product-export-27-8-2026'!$A:$AJ,MATCH($A38,'product-export-27-8-2026'!$A:$A,0),MATCH(AQ$1,'product-export-27-8-2026'!$1:$1,0)),IF(_xlpm.v="","",_xlpm.v)),"")</f>
        <v/>
      </c>
      <c r="AR38" s="12" t="str">
        <f>IFERROR(_xlfn.LET(_xlpm.v,INDEX('product-export-27-8-2026'!$A:$AJ,MATCH($A38,'product-export-27-8-2026'!$A:$A,0),MATCH(AR$1,'product-export-27-8-2026'!$1:$1,0)),IF(_xlpm.v="","",_xlpm.v)),"")</f>
        <v>Diaries &gt; A5 Diary, Diaries, Diaries &gt; A5 Diary &gt; DPP, Diaries &gt; Faux Leather Diaries, Harrogate Collection</v>
      </c>
      <c r="AS38" s="12" t="str">
        <f>IFERROR(_xlfn.LET(_xlpm.v,INDEX('product-export-27-8-2026'!$A:$AJ,MATCH($A38,'product-export-27-8-2026'!$A:$A,0),MATCH(AS$1,'product-export-27-8-2026'!$1:$1,0)),IF(_xlpm.v="","",_xlpm.v)),"")</f>
        <v>Harrogate-SaharaHide-Faux-Leather-A5-Diary-Day-Per-Page</v>
      </c>
      <c r="BC38" s="15"/>
    </row>
    <row r="39" spans="1:55" s="14" customFormat="1" ht="27.6" customHeight="1" x14ac:dyDescent="0.3">
      <c r="A39" s="11">
        <v>882</v>
      </c>
      <c r="B39" s="12" t="s">
        <v>372</v>
      </c>
      <c r="C39" s="12" t="s">
        <v>18</v>
      </c>
      <c r="D39" s="12" t="s">
        <v>72</v>
      </c>
      <c r="E39" s="13" t="s">
        <v>72</v>
      </c>
      <c r="F39" s="12" t="s">
        <v>73</v>
      </c>
      <c r="G39" s="12" t="s">
        <v>14</v>
      </c>
      <c r="H39" s="12" t="s">
        <v>672</v>
      </c>
      <c r="I39" s="12" t="s">
        <v>41</v>
      </c>
      <c r="J39" s="12" t="s">
        <v>87</v>
      </c>
      <c r="K39" s="12" t="s">
        <v>1665</v>
      </c>
      <c r="L39" s="60">
        <v>0.48</v>
      </c>
      <c r="M39" s="11">
        <v>12.5</v>
      </c>
      <c r="N39" s="12" t="s">
        <v>74</v>
      </c>
      <c r="O39" s="56">
        <f t="shared" si="2"/>
        <v>12.67</v>
      </c>
      <c r="P39" s="56">
        <f t="shared" si="2"/>
        <v>12.16</v>
      </c>
      <c r="Q39" s="56">
        <f t="shared" si="2"/>
        <v>6.9</v>
      </c>
      <c r="R39" s="56">
        <f t="shared" si="2"/>
        <v>5.98</v>
      </c>
      <c r="S39" s="56">
        <f t="shared" si="2"/>
        <v>5.35</v>
      </c>
      <c r="T39" s="56">
        <f t="shared" si="2"/>
        <v>4.83</v>
      </c>
      <c r="U39" s="56">
        <f t="shared" si="2"/>
        <v>4.4800000000000004</v>
      </c>
      <c r="V39" s="56">
        <f t="shared" si="2"/>
        <v>4.24</v>
      </c>
      <c r="W39" s="56">
        <f t="shared" si="2"/>
        <v>3.91</v>
      </c>
      <c r="X39" s="30" t="str" cm="1">
        <f t="array" ref="X39">IF(Y39="","",_xlfn.TEXTJOIN(";",TRUE,SUBSTITUTE($Y$1:$AG$1,"Qty ","")&amp;":"&amp;TEXT(Y39:AG39,"0.00"))&amp;";")</f>
        <v>1:17.89;10:16.56;25:10.47;50:8.95;100:8.08;250:7.21;500:6.85;750:6.55;1000:6.16;</v>
      </c>
      <c r="Y39" s="56">
        <f>'Blocking Prices'!$C$15+O39</f>
        <v>17.89</v>
      </c>
      <c r="Z39" s="56">
        <f>'Blocking Prices'!$D$15+P39</f>
        <v>16.560000000000002</v>
      </c>
      <c r="AA39" s="56">
        <f>'Blocking Prices'!$E$15+Q39</f>
        <v>10.47</v>
      </c>
      <c r="AB39" s="56">
        <f>'Blocking Prices'!$F$15+R39</f>
        <v>8.9500000000000011</v>
      </c>
      <c r="AC39" s="56">
        <f>'Blocking Prices'!$G$15+S39</f>
        <v>8.08</v>
      </c>
      <c r="AD39" s="56">
        <f>'Blocking Prices'!$H$15+T39</f>
        <v>7.21</v>
      </c>
      <c r="AE39" s="56">
        <f>'Blocking Prices'!$I$15+U39</f>
        <v>6.8500000000000005</v>
      </c>
      <c r="AF39" s="56">
        <f>'Blocking Prices'!$J$15+V39</f>
        <v>6.5500000000000007</v>
      </c>
      <c r="AG39" s="56">
        <f>'Blocking Prices'!$K$15+W39</f>
        <v>6.16</v>
      </c>
      <c r="AH39" s="11"/>
      <c r="AI39" s="11"/>
      <c r="AJ39" s="11"/>
      <c r="AK39" s="11"/>
      <c r="AL39" s="12" t="s">
        <v>830</v>
      </c>
      <c r="AM39" s="12" t="s">
        <v>831</v>
      </c>
      <c r="AN39" s="12" t="str">
        <f>IFERROR(_xlfn.LET(_xlpm.v,INDEX('product-export-27-8-2026'!$A:$AJ,MATCH($A39,'product-export-27-8-2026'!$A:$A,0),MATCH(AN$1,'product-export-27-8-2026'!$1:$1,0)),IF(_xlpm.v="","",_xlpm.v)),"")</f>
        <v/>
      </c>
      <c r="AO39" s="12" t="str">
        <f>IFERROR(_xlfn.LET(_xlpm.v,INDEX('product-export-27-8-2026'!$A:$AJ,MATCH($A39,'product-export-27-8-2026'!$A:$A,0),MATCH(AO$1,'product-export-27-8-2026'!$1:$1,0)),IF(_xlpm.v="","",_xlpm.v)),"")</f>
        <v/>
      </c>
      <c r="AP39" s="12" t="str">
        <f>IFERROR(_xlfn.LET(_xlpm.v,INDEX('product-export-27-8-2026'!$A:$AJ,MATCH($A39,'product-export-27-8-2026'!$A:$A,0),MATCH(AP$1,'product-export-27-8-2026'!$1:$1,0)),IF(_xlpm.v="","",_xlpm.v)),"")</f>
        <v/>
      </c>
      <c r="AQ39" s="12" t="str">
        <f>IFERROR(_xlfn.LET(_xlpm.v,INDEX('product-export-27-8-2026'!$A:$AJ,MATCH($A39,'product-export-27-8-2026'!$A:$A,0),MATCH(AQ$1,'product-export-27-8-2026'!$1:$1,0)),IF(_xlpm.v="","",_xlpm.v)),"")</f>
        <v/>
      </c>
      <c r="AR39" s="12" t="str">
        <f>IFERROR(_xlfn.LET(_xlpm.v,INDEX('product-export-27-8-2026'!$A:$AJ,MATCH($A39,'product-export-27-8-2026'!$A:$A,0),MATCH(AR$1,'product-export-27-8-2026'!$1:$1,0)),IF(_xlpm.v="","",_xlpm.v)),"")</f>
        <v>Diaries &gt; A5 Diary, Diaries, Diaries &gt; A5 Diary &gt; DPP, Foil blocked, Lewes Collection</v>
      </c>
      <c r="AS39" s="12" t="str">
        <f>IFERROR(_xlfn.LET(_xlpm.v,INDEX('product-export-27-8-2026'!$A:$AJ,MATCH($A39,'product-export-27-8-2026'!$A:$A,0),MATCH(AS$1,'product-export-27-8-2026'!$1:$1,0)),IF(_xlpm.v="","",_xlpm.v)),"")</f>
        <v>Lewes-SmoothGrain-A5-Desk-Diary-Day-Per-Page</v>
      </c>
      <c r="BC39" s="15"/>
    </row>
    <row r="40" spans="1:55" s="14" customFormat="1" ht="27.6" customHeight="1" x14ac:dyDescent="0.3">
      <c r="A40" s="11">
        <v>886</v>
      </c>
      <c r="B40" s="12" t="s">
        <v>373</v>
      </c>
      <c r="C40" s="12" t="s">
        <v>18</v>
      </c>
      <c r="D40" s="12" t="s">
        <v>75</v>
      </c>
      <c r="E40" s="13" t="s">
        <v>75</v>
      </c>
      <c r="F40" s="12" t="s">
        <v>73</v>
      </c>
      <c r="G40" s="12" t="s">
        <v>14</v>
      </c>
      <c r="H40" s="12" t="s">
        <v>728</v>
      </c>
      <c r="I40" s="12" t="s">
        <v>41</v>
      </c>
      <c r="J40" s="12" t="s">
        <v>87</v>
      </c>
      <c r="K40" s="12" t="s">
        <v>1665</v>
      </c>
      <c r="L40" s="60">
        <v>0.48</v>
      </c>
      <c r="M40" s="11">
        <v>12.5</v>
      </c>
      <c r="N40" s="12" t="s">
        <v>74</v>
      </c>
      <c r="O40" s="56">
        <f t="shared" si="2"/>
        <v>12.67</v>
      </c>
      <c r="P40" s="56">
        <f t="shared" si="2"/>
        <v>12.16</v>
      </c>
      <c r="Q40" s="56">
        <f t="shared" si="2"/>
        <v>6.9</v>
      </c>
      <c r="R40" s="56">
        <f t="shared" si="2"/>
        <v>5.98</v>
      </c>
      <c r="S40" s="56">
        <f t="shared" si="2"/>
        <v>5.35</v>
      </c>
      <c r="T40" s="56">
        <f t="shared" si="2"/>
        <v>4.83</v>
      </c>
      <c r="U40" s="56">
        <f t="shared" si="2"/>
        <v>4.4800000000000004</v>
      </c>
      <c r="V40" s="56">
        <f t="shared" si="2"/>
        <v>4.24</v>
      </c>
      <c r="W40" s="56">
        <f t="shared" si="2"/>
        <v>3.91</v>
      </c>
      <c r="X40" s="30" t="str" cm="1">
        <f t="array" ref="X40">IF(Y40="","",_xlfn.TEXTJOIN(";",TRUE,SUBSTITUTE($Y$1:$AG$1,"Qty ","")&amp;":"&amp;TEXT(Y40:AG40,"0.00"))&amp;";")</f>
        <v>1:17.89;10:16.56;25:10.47;50:8.95;100:8.08;250:7.21;500:6.85;750:6.55;1000:6.16;</v>
      </c>
      <c r="Y40" s="56">
        <f>'Blocking Prices'!$C$15+O40</f>
        <v>17.89</v>
      </c>
      <c r="Z40" s="56">
        <f>'Blocking Prices'!$D$15+P40</f>
        <v>16.560000000000002</v>
      </c>
      <c r="AA40" s="56">
        <f>'Blocking Prices'!$E$15+Q40</f>
        <v>10.47</v>
      </c>
      <c r="AB40" s="56">
        <f>'Blocking Prices'!$F$15+R40</f>
        <v>8.9500000000000011</v>
      </c>
      <c r="AC40" s="56">
        <f>'Blocking Prices'!$G$15+S40</f>
        <v>8.08</v>
      </c>
      <c r="AD40" s="56">
        <f>'Blocking Prices'!$H$15+T40</f>
        <v>7.21</v>
      </c>
      <c r="AE40" s="56">
        <f>'Blocking Prices'!$I$15+U40</f>
        <v>6.8500000000000005</v>
      </c>
      <c r="AF40" s="56">
        <f>'Blocking Prices'!$J$15+V40</f>
        <v>6.5500000000000007</v>
      </c>
      <c r="AG40" s="56">
        <f>'Blocking Prices'!$K$15+W40</f>
        <v>6.16</v>
      </c>
      <c r="AH40" s="11"/>
      <c r="AI40" s="11"/>
      <c r="AJ40" s="11"/>
      <c r="AK40" s="11"/>
      <c r="AL40" s="12" t="s">
        <v>830</v>
      </c>
      <c r="AM40" s="12" t="s">
        <v>831</v>
      </c>
      <c r="AN40" s="12" t="str">
        <f>IFERROR(_xlfn.LET(_xlpm.v,INDEX('product-export-27-8-2026'!$A:$AJ,MATCH($A40,'product-export-27-8-2026'!$A:$A,0),MATCH(AN$1,'product-export-27-8-2026'!$1:$1,0)),IF(_xlpm.v="","",_xlpm.v)),"")</f>
        <v/>
      </c>
      <c r="AO40" s="12" t="str">
        <f>IFERROR(_xlfn.LET(_xlpm.v,INDEX('product-export-27-8-2026'!$A:$AJ,MATCH($A40,'product-export-27-8-2026'!$A:$A,0),MATCH(AO$1,'product-export-27-8-2026'!$1:$1,0)),IF(_xlpm.v="","",_xlpm.v)),"")</f>
        <v/>
      </c>
      <c r="AP40" s="12" t="str">
        <f>IFERROR(_xlfn.LET(_xlpm.v,INDEX('product-export-27-8-2026'!$A:$AJ,MATCH($A40,'product-export-27-8-2026'!$A:$A,0),MATCH(AP$1,'product-export-27-8-2026'!$1:$1,0)),IF(_xlpm.v="","",_xlpm.v)),"")</f>
        <v/>
      </c>
      <c r="AQ40" s="12" t="str">
        <f>IFERROR(_xlfn.LET(_xlpm.v,INDEX('product-export-27-8-2026'!$A:$AJ,MATCH($A40,'product-export-27-8-2026'!$A:$A,0),MATCH(AQ$1,'product-export-27-8-2026'!$1:$1,0)),IF(_xlpm.v="","",_xlpm.v)),"")</f>
        <v/>
      </c>
      <c r="AR40" s="12" t="str">
        <f>IFERROR(_xlfn.LET(_xlpm.v,INDEX('product-export-27-8-2026'!$A:$AJ,MATCH($A40,'product-export-27-8-2026'!$A:$A,0),MATCH(AR$1,'product-export-27-8-2026'!$1:$1,0)),IF(_xlpm.v="","",_xlpm.v)),"")</f>
        <v>Diaries &gt; A5 Diary, Diaries, Diaries &gt; A5 Diary &gt; DPP, Foil blocked, Lewes Collection</v>
      </c>
      <c r="AS40" s="12" t="str">
        <f>IFERROR(_xlfn.LET(_xlpm.v,INDEX('product-export-27-8-2026'!$A:$AJ,MATCH($A40,'product-export-27-8-2026'!$A:$A,0),MATCH(AS$1,'product-export-27-8-2026'!$1:$1,0)),IF(_xlpm.v="","",_xlpm.v)),"")</f>
        <v>Lewes-SmoothGrain-A5-Desk-Diary-Day-Per-Page</v>
      </c>
      <c r="BC40" s="15"/>
    </row>
    <row r="41" spans="1:55" s="14" customFormat="1" ht="27.6" customHeight="1" x14ac:dyDescent="0.3">
      <c r="A41" s="11">
        <v>890</v>
      </c>
      <c r="B41" s="12" t="s">
        <v>374</v>
      </c>
      <c r="C41" s="12" t="s">
        <v>18</v>
      </c>
      <c r="D41" s="12" t="s">
        <v>76</v>
      </c>
      <c r="E41" s="13" t="s">
        <v>76</v>
      </c>
      <c r="F41" s="12" t="s">
        <v>73</v>
      </c>
      <c r="G41" s="12" t="s">
        <v>14</v>
      </c>
      <c r="H41" s="12" t="s">
        <v>789</v>
      </c>
      <c r="I41" s="12" t="s">
        <v>41</v>
      </c>
      <c r="J41" s="12" t="s">
        <v>87</v>
      </c>
      <c r="K41" s="12" t="s">
        <v>1665</v>
      </c>
      <c r="L41" s="60">
        <v>0.48</v>
      </c>
      <c r="M41" s="11">
        <v>12.5</v>
      </c>
      <c r="N41" s="12" t="s">
        <v>74</v>
      </c>
      <c r="O41" s="56">
        <f t="shared" si="2"/>
        <v>12.67</v>
      </c>
      <c r="P41" s="56">
        <f t="shared" si="2"/>
        <v>12.16</v>
      </c>
      <c r="Q41" s="56">
        <f t="shared" si="2"/>
        <v>6.9</v>
      </c>
      <c r="R41" s="56">
        <f t="shared" si="2"/>
        <v>5.98</v>
      </c>
      <c r="S41" s="56">
        <f t="shared" si="2"/>
        <v>5.35</v>
      </c>
      <c r="T41" s="56">
        <f t="shared" si="2"/>
        <v>4.83</v>
      </c>
      <c r="U41" s="56">
        <f t="shared" si="2"/>
        <v>4.4800000000000004</v>
      </c>
      <c r="V41" s="56">
        <f t="shared" si="2"/>
        <v>4.24</v>
      </c>
      <c r="W41" s="56">
        <f t="shared" si="2"/>
        <v>3.91</v>
      </c>
      <c r="X41" s="30" t="str" cm="1">
        <f t="array" ref="X41">IF(Y41="","",_xlfn.TEXTJOIN(";",TRUE,SUBSTITUTE($Y$1:$AG$1,"Qty ","")&amp;":"&amp;TEXT(Y41:AG41,"0.00"))&amp;";")</f>
        <v>1:17.89;10:16.56;25:10.47;50:8.95;100:8.08;250:7.21;500:6.85;750:6.55;1000:6.16;</v>
      </c>
      <c r="Y41" s="56">
        <f>'Blocking Prices'!$C$15+O41</f>
        <v>17.89</v>
      </c>
      <c r="Z41" s="56">
        <f>'Blocking Prices'!$D$15+P41</f>
        <v>16.560000000000002</v>
      </c>
      <c r="AA41" s="56">
        <f>'Blocking Prices'!$E$15+Q41</f>
        <v>10.47</v>
      </c>
      <c r="AB41" s="56">
        <f>'Blocking Prices'!$F$15+R41</f>
        <v>8.9500000000000011</v>
      </c>
      <c r="AC41" s="56">
        <f>'Blocking Prices'!$G$15+S41</f>
        <v>8.08</v>
      </c>
      <c r="AD41" s="56">
        <f>'Blocking Prices'!$H$15+T41</f>
        <v>7.21</v>
      </c>
      <c r="AE41" s="56">
        <f>'Blocking Prices'!$I$15+U41</f>
        <v>6.8500000000000005</v>
      </c>
      <c r="AF41" s="56">
        <f>'Blocking Prices'!$J$15+V41</f>
        <v>6.5500000000000007</v>
      </c>
      <c r="AG41" s="56">
        <f>'Blocking Prices'!$K$15+W41</f>
        <v>6.16</v>
      </c>
      <c r="AH41" s="11"/>
      <c r="AI41" s="11"/>
      <c r="AJ41" s="11"/>
      <c r="AK41" s="11"/>
      <c r="AL41" s="12" t="s">
        <v>830</v>
      </c>
      <c r="AM41" s="12" t="s">
        <v>831</v>
      </c>
      <c r="AN41" s="12" t="str">
        <f>IFERROR(_xlfn.LET(_xlpm.v,INDEX('product-export-27-8-2026'!$A:$AJ,MATCH($A41,'product-export-27-8-2026'!$A:$A,0),MATCH(AN$1,'product-export-27-8-2026'!$1:$1,0)),IF(_xlpm.v="","",_xlpm.v)),"")</f>
        <v/>
      </c>
      <c r="AO41" s="12" t="str">
        <f>IFERROR(_xlfn.LET(_xlpm.v,INDEX('product-export-27-8-2026'!$A:$AJ,MATCH($A41,'product-export-27-8-2026'!$A:$A,0),MATCH(AO$1,'product-export-27-8-2026'!$1:$1,0)),IF(_xlpm.v="","",_xlpm.v)),"")</f>
        <v/>
      </c>
      <c r="AP41" s="12" t="str">
        <f>IFERROR(_xlfn.LET(_xlpm.v,INDEX('product-export-27-8-2026'!$A:$AJ,MATCH($A41,'product-export-27-8-2026'!$A:$A,0),MATCH(AP$1,'product-export-27-8-2026'!$1:$1,0)),IF(_xlpm.v="","",_xlpm.v)),"")</f>
        <v/>
      </c>
      <c r="AQ41" s="12" t="str">
        <f>IFERROR(_xlfn.LET(_xlpm.v,INDEX('product-export-27-8-2026'!$A:$AJ,MATCH($A41,'product-export-27-8-2026'!$A:$A,0),MATCH(AQ$1,'product-export-27-8-2026'!$1:$1,0)),IF(_xlpm.v="","",_xlpm.v)),"")</f>
        <v/>
      </c>
      <c r="AR41" s="12" t="str">
        <f>IFERROR(_xlfn.LET(_xlpm.v,INDEX('product-export-27-8-2026'!$A:$AJ,MATCH($A41,'product-export-27-8-2026'!$A:$A,0),MATCH(AR$1,'product-export-27-8-2026'!$1:$1,0)),IF(_xlpm.v="","",_xlpm.v)),"")</f>
        <v>Diaries &gt; A5 Diary, Diaries, Diaries &gt; A5 Diary &gt; DPP, Foil blocked, Lewes Collection</v>
      </c>
      <c r="AS41" s="12" t="str">
        <f>IFERROR(_xlfn.LET(_xlpm.v,INDEX('product-export-27-8-2026'!$A:$AJ,MATCH($A41,'product-export-27-8-2026'!$A:$A,0),MATCH(AS$1,'product-export-27-8-2026'!$1:$1,0)),IF(_xlpm.v="","",_xlpm.v)),"")</f>
        <v>Lewes-SmoothGrain-A5-Desk-Diary-Day-Per-Page</v>
      </c>
      <c r="BC41" s="15"/>
    </row>
    <row r="42" spans="1:55" s="14" customFormat="1" ht="27.6" customHeight="1" x14ac:dyDescent="0.3">
      <c r="A42" s="11">
        <v>894</v>
      </c>
      <c r="B42" s="12" t="s">
        <v>375</v>
      </c>
      <c r="C42" s="12" t="s">
        <v>18</v>
      </c>
      <c r="D42" s="12" t="s">
        <v>77</v>
      </c>
      <c r="E42" s="13" t="s">
        <v>77</v>
      </c>
      <c r="F42" s="12" t="s">
        <v>73</v>
      </c>
      <c r="G42" s="12" t="s">
        <v>14</v>
      </c>
      <c r="H42" s="12" t="s">
        <v>792</v>
      </c>
      <c r="I42" s="12" t="s">
        <v>41</v>
      </c>
      <c r="J42" s="12" t="s">
        <v>87</v>
      </c>
      <c r="K42" s="12" t="s">
        <v>1665</v>
      </c>
      <c r="L42" s="60">
        <v>0.48</v>
      </c>
      <c r="M42" s="11">
        <v>12.5</v>
      </c>
      <c r="N42" s="12" t="s">
        <v>74</v>
      </c>
      <c r="O42" s="56">
        <f t="shared" ref="O42:W51" si="3">IFERROR(VALUE(_xlfn.TEXTBEFORE(_xlfn.TEXTAFTER(";"&amp;$N42,";"&amp;SUBSTITUTE(O$1,"Qty ","")&amp;":"),";")),"")</f>
        <v>12.67</v>
      </c>
      <c r="P42" s="56">
        <f t="shared" si="3"/>
        <v>12.16</v>
      </c>
      <c r="Q42" s="56">
        <f t="shared" si="3"/>
        <v>6.9</v>
      </c>
      <c r="R42" s="56">
        <f t="shared" si="3"/>
        <v>5.98</v>
      </c>
      <c r="S42" s="56">
        <f t="shared" si="3"/>
        <v>5.35</v>
      </c>
      <c r="T42" s="56">
        <f t="shared" si="3"/>
        <v>4.83</v>
      </c>
      <c r="U42" s="56">
        <f t="shared" si="3"/>
        <v>4.4800000000000004</v>
      </c>
      <c r="V42" s="56">
        <f t="shared" si="3"/>
        <v>4.24</v>
      </c>
      <c r="W42" s="56">
        <f t="shared" si="3"/>
        <v>3.91</v>
      </c>
      <c r="X42" s="30" t="str" cm="1">
        <f t="array" ref="X42">IF(Y42="","",_xlfn.TEXTJOIN(";",TRUE,SUBSTITUTE($Y$1:$AG$1,"Qty ","")&amp;":"&amp;TEXT(Y42:AG42,"0.00"))&amp;";")</f>
        <v>1:17.89;10:16.56;25:10.47;50:8.95;100:8.08;250:7.21;500:6.85;750:6.55;1000:6.16;</v>
      </c>
      <c r="Y42" s="56">
        <f>'Blocking Prices'!$C$15+O42</f>
        <v>17.89</v>
      </c>
      <c r="Z42" s="56">
        <f>'Blocking Prices'!$D$15+P42</f>
        <v>16.560000000000002</v>
      </c>
      <c r="AA42" s="56">
        <f>'Blocking Prices'!$E$15+Q42</f>
        <v>10.47</v>
      </c>
      <c r="AB42" s="56">
        <f>'Blocking Prices'!$F$15+R42</f>
        <v>8.9500000000000011</v>
      </c>
      <c r="AC42" s="56">
        <f>'Blocking Prices'!$G$15+S42</f>
        <v>8.08</v>
      </c>
      <c r="AD42" s="56">
        <f>'Blocking Prices'!$H$15+T42</f>
        <v>7.21</v>
      </c>
      <c r="AE42" s="56">
        <f>'Blocking Prices'!$I$15+U42</f>
        <v>6.8500000000000005</v>
      </c>
      <c r="AF42" s="56">
        <f>'Blocking Prices'!$J$15+V42</f>
        <v>6.5500000000000007</v>
      </c>
      <c r="AG42" s="56">
        <f>'Blocking Prices'!$K$15+W42</f>
        <v>6.16</v>
      </c>
      <c r="AH42" s="11"/>
      <c r="AI42" s="11"/>
      <c r="AJ42" s="11"/>
      <c r="AK42" s="11"/>
      <c r="AL42" s="12" t="s">
        <v>830</v>
      </c>
      <c r="AM42" s="12" t="s">
        <v>831</v>
      </c>
      <c r="AN42" s="12" t="str">
        <f>IFERROR(_xlfn.LET(_xlpm.v,INDEX('product-export-27-8-2026'!$A:$AJ,MATCH($A42,'product-export-27-8-2026'!$A:$A,0),MATCH(AN$1,'product-export-27-8-2026'!$1:$1,0)),IF(_xlpm.v="","",_xlpm.v)),"")</f>
        <v/>
      </c>
      <c r="AO42" s="12" t="str">
        <f>IFERROR(_xlfn.LET(_xlpm.v,INDEX('product-export-27-8-2026'!$A:$AJ,MATCH($A42,'product-export-27-8-2026'!$A:$A,0),MATCH(AO$1,'product-export-27-8-2026'!$1:$1,0)),IF(_xlpm.v="","",_xlpm.v)),"")</f>
        <v/>
      </c>
      <c r="AP42" s="12" t="str">
        <f>IFERROR(_xlfn.LET(_xlpm.v,INDEX('product-export-27-8-2026'!$A:$AJ,MATCH($A42,'product-export-27-8-2026'!$A:$A,0),MATCH(AP$1,'product-export-27-8-2026'!$1:$1,0)),IF(_xlpm.v="","",_xlpm.v)),"")</f>
        <v/>
      </c>
      <c r="AQ42" s="12" t="str">
        <f>IFERROR(_xlfn.LET(_xlpm.v,INDEX('product-export-27-8-2026'!$A:$AJ,MATCH($A42,'product-export-27-8-2026'!$A:$A,0),MATCH(AQ$1,'product-export-27-8-2026'!$1:$1,0)),IF(_xlpm.v="","",_xlpm.v)),"")</f>
        <v/>
      </c>
      <c r="AR42" s="12" t="str">
        <f>IFERROR(_xlfn.LET(_xlpm.v,INDEX('product-export-27-8-2026'!$A:$AJ,MATCH($A42,'product-export-27-8-2026'!$A:$A,0),MATCH(AR$1,'product-export-27-8-2026'!$1:$1,0)),IF(_xlpm.v="","",_xlpm.v)),"")</f>
        <v>Diaries &gt; A5 Diary, Diaries, Diaries &gt; A5 Diary &gt; DPP, Foil blocked, Lewes Collection</v>
      </c>
      <c r="AS42" s="12" t="str">
        <f>IFERROR(_xlfn.LET(_xlpm.v,INDEX('product-export-27-8-2026'!$A:$AJ,MATCH($A42,'product-export-27-8-2026'!$A:$A,0),MATCH(AS$1,'product-export-27-8-2026'!$1:$1,0)),IF(_xlpm.v="","",_xlpm.v)),"")</f>
        <v>Lewes-SmoothGrain-A5-Desk-Diary-Day-Per-Page</v>
      </c>
      <c r="BC42" s="15"/>
    </row>
    <row r="43" spans="1:55" s="14" customFormat="1" ht="27.6" customHeight="1" x14ac:dyDescent="0.3">
      <c r="A43" s="11">
        <v>898</v>
      </c>
      <c r="B43" s="12" t="s">
        <v>376</v>
      </c>
      <c r="C43" s="12" t="s">
        <v>18</v>
      </c>
      <c r="D43" s="12" t="s">
        <v>78</v>
      </c>
      <c r="E43" s="13" t="s">
        <v>78</v>
      </c>
      <c r="F43" s="12" t="s">
        <v>73</v>
      </c>
      <c r="G43" s="12" t="s">
        <v>14</v>
      </c>
      <c r="H43" s="12" t="s">
        <v>1580</v>
      </c>
      <c r="I43" s="12" t="s">
        <v>41</v>
      </c>
      <c r="J43" s="12" t="s">
        <v>87</v>
      </c>
      <c r="K43" s="12" t="s">
        <v>1665</v>
      </c>
      <c r="L43" s="60">
        <v>0.48</v>
      </c>
      <c r="M43" s="11">
        <v>12.5</v>
      </c>
      <c r="N43" s="12" t="s">
        <v>74</v>
      </c>
      <c r="O43" s="56">
        <f t="shared" si="3"/>
        <v>12.67</v>
      </c>
      <c r="P43" s="56">
        <f t="shared" si="3"/>
        <v>12.16</v>
      </c>
      <c r="Q43" s="56">
        <f t="shared" si="3"/>
        <v>6.9</v>
      </c>
      <c r="R43" s="56">
        <f t="shared" si="3"/>
        <v>5.98</v>
      </c>
      <c r="S43" s="56">
        <f t="shared" si="3"/>
        <v>5.35</v>
      </c>
      <c r="T43" s="56">
        <f t="shared" si="3"/>
        <v>4.83</v>
      </c>
      <c r="U43" s="56">
        <f t="shared" si="3"/>
        <v>4.4800000000000004</v>
      </c>
      <c r="V43" s="56">
        <f t="shared" si="3"/>
        <v>4.24</v>
      </c>
      <c r="W43" s="56">
        <f t="shared" si="3"/>
        <v>3.91</v>
      </c>
      <c r="X43" s="30" t="str" cm="1">
        <f t="array" ref="X43">IF(Y43="","",_xlfn.TEXTJOIN(";",TRUE,SUBSTITUTE($Y$1:$AG$1,"Qty ","")&amp;":"&amp;TEXT(Y43:AG43,"0.00"))&amp;";")</f>
        <v>1:17.89;10:16.56;25:10.47;50:8.95;100:8.08;250:7.21;500:6.85;750:6.55;1000:6.16;</v>
      </c>
      <c r="Y43" s="56">
        <f>'Blocking Prices'!$C$15+O43</f>
        <v>17.89</v>
      </c>
      <c r="Z43" s="56">
        <f>'Blocking Prices'!$D$15+P43</f>
        <v>16.560000000000002</v>
      </c>
      <c r="AA43" s="56">
        <f>'Blocking Prices'!$E$15+Q43</f>
        <v>10.47</v>
      </c>
      <c r="AB43" s="56">
        <f>'Blocking Prices'!$F$15+R43</f>
        <v>8.9500000000000011</v>
      </c>
      <c r="AC43" s="56">
        <f>'Blocking Prices'!$G$15+S43</f>
        <v>8.08</v>
      </c>
      <c r="AD43" s="56">
        <f>'Blocking Prices'!$H$15+T43</f>
        <v>7.21</v>
      </c>
      <c r="AE43" s="56">
        <f>'Blocking Prices'!$I$15+U43</f>
        <v>6.8500000000000005</v>
      </c>
      <c r="AF43" s="56">
        <f>'Blocking Prices'!$J$15+V43</f>
        <v>6.5500000000000007</v>
      </c>
      <c r="AG43" s="56">
        <f>'Blocking Prices'!$K$15+W43</f>
        <v>6.16</v>
      </c>
      <c r="AH43" s="11"/>
      <c r="AI43" s="11"/>
      <c r="AJ43" s="11"/>
      <c r="AK43" s="11"/>
      <c r="AL43" s="12" t="s">
        <v>830</v>
      </c>
      <c r="AM43" s="12" t="s">
        <v>831</v>
      </c>
      <c r="AN43" s="12" t="str">
        <f>IFERROR(_xlfn.LET(_xlpm.v,INDEX('product-export-27-8-2026'!$A:$AJ,MATCH($A43,'product-export-27-8-2026'!$A:$A,0),MATCH(AN$1,'product-export-27-8-2026'!$1:$1,0)),IF(_xlpm.v="","",_xlpm.v)),"")</f>
        <v/>
      </c>
      <c r="AO43" s="12" t="str">
        <f>IFERROR(_xlfn.LET(_xlpm.v,INDEX('product-export-27-8-2026'!$A:$AJ,MATCH($A43,'product-export-27-8-2026'!$A:$A,0),MATCH(AO$1,'product-export-27-8-2026'!$1:$1,0)),IF(_xlpm.v="","",_xlpm.v)),"")</f>
        <v/>
      </c>
      <c r="AP43" s="12" t="str">
        <f>IFERROR(_xlfn.LET(_xlpm.v,INDEX('product-export-27-8-2026'!$A:$AJ,MATCH($A43,'product-export-27-8-2026'!$A:$A,0),MATCH(AP$1,'product-export-27-8-2026'!$1:$1,0)),IF(_xlpm.v="","",_xlpm.v)),"")</f>
        <v/>
      </c>
      <c r="AQ43" s="12" t="str">
        <f>IFERROR(_xlfn.LET(_xlpm.v,INDEX('product-export-27-8-2026'!$A:$AJ,MATCH($A43,'product-export-27-8-2026'!$A:$A,0),MATCH(AQ$1,'product-export-27-8-2026'!$1:$1,0)),IF(_xlpm.v="","",_xlpm.v)),"")</f>
        <v/>
      </c>
      <c r="AR43" s="12" t="str">
        <f>IFERROR(_xlfn.LET(_xlpm.v,INDEX('product-export-27-8-2026'!$A:$AJ,MATCH($A43,'product-export-27-8-2026'!$A:$A,0),MATCH(AR$1,'product-export-27-8-2026'!$1:$1,0)),IF(_xlpm.v="","",_xlpm.v)),"")</f>
        <v>Diaries &gt; A5 Diary, Diaries, Diaries &gt; A5 Diary &gt; DPP, Foil blocked, Lewes Collection</v>
      </c>
      <c r="AS43" s="12" t="str">
        <f>IFERROR(_xlfn.LET(_xlpm.v,INDEX('product-export-27-8-2026'!$A:$AJ,MATCH($A43,'product-export-27-8-2026'!$A:$A,0),MATCH(AS$1,'product-export-27-8-2026'!$1:$1,0)),IF(_xlpm.v="","",_xlpm.v)),"")</f>
        <v>Lewes-SmoothGrain-A5-Desk-Diary-Day-Per-Page</v>
      </c>
      <c r="BC43" s="15"/>
    </row>
    <row r="44" spans="1:55" s="14" customFormat="1" ht="27.6" customHeight="1" x14ac:dyDescent="0.3">
      <c r="A44" s="11">
        <v>902</v>
      </c>
      <c r="B44" s="12" t="s">
        <v>377</v>
      </c>
      <c r="C44" s="12" t="s">
        <v>18</v>
      </c>
      <c r="D44" s="12" t="s">
        <v>79</v>
      </c>
      <c r="E44" s="13" t="s">
        <v>79</v>
      </c>
      <c r="F44" s="12" t="s">
        <v>80</v>
      </c>
      <c r="G44" s="12" t="s">
        <v>14</v>
      </c>
      <c r="H44" s="12" t="s">
        <v>672</v>
      </c>
      <c r="I44" s="12" t="s">
        <v>20</v>
      </c>
      <c r="J44" s="12" t="s">
        <v>87</v>
      </c>
      <c r="K44" s="12" t="s">
        <v>1665</v>
      </c>
      <c r="L44" s="60">
        <v>0.48</v>
      </c>
      <c r="M44" s="11">
        <v>11.5</v>
      </c>
      <c r="N44" s="12" t="s">
        <v>81</v>
      </c>
      <c r="O44" s="56">
        <f t="shared" si="3"/>
        <v>12.11</v>
      </c>
      <c r="P44" s="56">
        <f t="shared" si="3"/>
        <v>11.63</v>
      </c>
      <c r="Q44" s="56">
        <f t="shared" si="3"/>
        <v>5.36</v>
      </c>
      <c r="R44" s="56">
        <f t="shared" si="3"/>
        <v>4.25</v>
      </c>
      <c r="S44" s="56">
        <f t="shared" si="3"/>
        <v>3.74</v>
      </c>
      <c r="T44" s="56">
        <f t="shared" si="3"/>
        <v>3.47</v>
      </c>
      <c r="U44" s="56">
        <f t="shared" si="3"/>
        <v>3.3</v>
      </c>
      <c r="V44" s="56">
        <f t="shared" si="3"/>
        <v>3.27</v>
      </c>
      <c r="W44" s="56">
        <f t="shared" si="3"/>
        <v>3.07</v>
      </c>
      <c r="X44" s="30" t="str" cm="1">
        <f t="array" ref="X44">IF(Y44="","",_xlfn.TEXTJOIN(";",TRUE,SUBSTITUTE($Y$1:$AG$1,"Qty ","")&amp;":"&amp;TEXT(Y44:AG44,"0.00"))&amp;";")</f>
        <v>1:17.33;10:16.03;25:8.93;50:7.22;100:6.47;250:5.85;500:5.67;750:5.58;1000:5.32;</v>
      </c>
      <c r="Y44" s="56">
        <f>'Blocking Prices'!$C$15+O44</f>
        <v>17.329999999999998</v>
      </c>
      <c r="Z44" s="56">
        <f>'Blocking Prices'!$D$15+P44</f>
        <v>16.03</v>
      </c>
      <c r="AA44" s="56">
        <f>'Blocking Prices'!$E$15+Q44</f>
        <v>8.93</v>
      </c>
      <c r="AB44" s="56">
        <f>'Blocking Prices'!$F$15+R44</f>
        <v>7.2200000000000006</v>
      </c>
      <c r="AC44" s="56">
        <f>'Blocking Prices'!$G$15+S44</f>
        <v>6.4700000000000006</v>
      </c>
      <c r="AD44" s="56">
        <f>'Blocking Prices'!$H$15+T44</f>
        <v>5.85</v>
      </c>
      <c r="AE44" s="56">
        <f>'Blocking Prices'!$I$15+U44</f>
        <v>5.67</v>
      </c>
      <c r="AF44" s="56">
        <f>'Blocking Prices'!$J$15+V44</f>
        <v>5.58</v>
      </c>
      <c r="AG44" s="56">
        <f>'Blocking Prices'!$K$15+W44</f>
        <v>5.32</v>
      </c>
      <c r="AH44" s="11"/>
      <c r="AI44" s="11"/>
      <c r="AJ44" s="11"/>
      <c r="AK44" s="11"/>
      <c r="AL44" s="12" t="s">
        <v>847</v>
      </c>
      <c r="AM44" s="12" t="s">
        <v>848</v>
      </c>
      <c r="AN44" s="12" t="str">
        <f>IFERROR(_xlfn.LET(_xlpm.v,INDEX('product-export-27-8-2026'!$A:$AJ,MATCH($A44,'product-export-27-8-2026'!$A:$A,0),MATCH(AN$1,'product-export-27-8-2026'!$1:$1,0)),IF(_xlpm.v="","",_xlpm.v)),"")</f>
        <v/>
      </c>
      <c r="AO44" s="12" t="str">
        <f>IFERROR(_xlfn.LET(_xlpm.v,INDEX('product-export-27-8-2026'!$A:$AJ,MATCH($A44,'product-export-27-8-2026'!$A:$A,0),MATCH(AO$1,'product-export-27-8-2026'!$1:$1,0)),IF(_xlpm.v="","",_xlpm.v)),"")</f>
        <v/>
      </c>
      <c r="AP44" s="12" t="str">
        <f>IFERROR(_xlfn.LET(_xlpm.v,INDEX('product-export-27-8-2026'!$A:$AJ,MATCH($A44,'product-export-27-8-2026'!$A:$A,0),MATCH(AP$1,'product-export-27-8-2026'!$1:$1,0)),IF(_xlpm.v="","",_xlpm.v)),"")</f>
        <v/>
      </c>
      <c r="AQ44" s="12" t="str">
        <f>IFERROR(_xlfn.LET(_xlpm.v,INDEX('product-export-27-8-2026'!$A:$AJ,MATCH($A44,'product-export-27-8-2026'!$A:$A,0),MATCH(AQ$1,'product-export-27-8-2026'!$1:$1,0)),IF(_xlpm.v="","",_xlpm.v)),"")</f>
        <v/>
      </c>
      <c r="AR44" s="12" t="str">
        <f>IFERROR(_xlfn.LET(_xlpm.v,INDEX('product-export-27-8-2026'!$A:$AJ,MATCH($A44,'product-export-27-8-2026'!$A:$A,0),MATCH(AR$1,'product-export-27-8-2026'!$1:$1,0)),IF(_xlpm.v="","",_xlpm.v)),"")</f>
        <v>Diaries &gt; A5 Diary, Diaries, Lewes Collection, Diaries &gt; A5 Diary &gt; WTV</v>
      </c>
      <c r="AS44" s="12" t="str">
        <f>IFERROR(_xlfn.LET(_xlpm.v,INDEX('product-export-27-8-2026'!$A:$AJ,MATCH($A44,'product-export-27-8-2026'!$A:$A,0),MATCH(AS$1,'product-export-27-8-2026'!$1:$1,0)),IF(_xlpm.v="","",_xlpm.v)),"")</f>
        <v>Lewes-SmoothGrain-A5-Desk-Diary-Week-To-View</v>
      </c>
      <c r="BC44" s="15"/>
    </row>
    <row r="45" spans="1:55" s="14" customFormat="1" ht="27.6" customHeight="1" x14ac:dyDescent="0.3">
      <c r="A45" s="11">
        <v>907</v>
      </c>
      <c r="B45" s="12" t="s">
        <v>378</v>
      </c>
      <c r="C45" s="12" t="s">
        <v>18</v>
      </c>
      <c r="D45" s="12" t="s">
        <v>82</v>
      </c>
      <c r="E45" s="13" t="s">
        <v>82</v>
      </c>
      <c r="F45" s="12" t="s">
        <v>80</v>
      </c>
      <c r="G45" s="12" t="s">
        <v>14</v>
      </c>
      <c r="H45" s="12" t="s">
        <v>728</v>
      </c>
      <c r="I45" s="12" t="s">
        <v>20</v>
      </c>
      <c r="J45" s="12" t="s">
        <v>87</v>
      </c>
      <c r="K45" s="12" t="s">
        <v>1665</v>
      </c>
      <c r="L45" s="60">
        <v>0.48</v>
      </c>
      <c r="M45" s="11">
        <v>11.5</v>
      </c>
      <c r="N45" s="12" t="s">
        <v>81</v>
      </c>
      <c r="O45" s="56">
        <f t="shared" si="3"/>
        <v>12.11</v>
      </c>
      <c r="P45" s="56">
        <f t="shared" si="3"/>
        <v>11.63</v>
      </c>
      <c r="Q45" s="56">
        <f t="shared" si="3"/>
        <v>5.36</v>
      </c>
      <c r="R45" s="56">
        <f t="shared" si="3"/>
        <v>4.25</v>
      </c>
      <c r="S45" s="56">
        <f t="shared" si="3"/>
        <v>3.74</v>
      </c>
      <c r="T45" s="56">
        <f t="shared" si="3"/>
        <v>3.47</v>
      </c>
      <c r="U45" s="56">
        <f t="shared" si="3"/>
        <v>3.3</v>
      </c>
      <c r="V45" s="56">
        <f t="shared" si="3"/>
        <v>3.27</v>
      </c>
      <c r="W45" s="56">
        <f t="shared" si="3"/>
        <v>3.07</v>
      </c>
      <c r="X45" s="30" t="str" cm="1">
        <f t="array" ref="X45">IF(Y45="","",_xlfn.TEXTJOIN(";",TRUE,SUBSTITUTE($Y$1:$AG$1,"Qty ","")&amp;":"&amp;TEXT(Y45:AG45,"0.00"))&amp;";")</f>
        <v>1:17.33;10:16.03;25:8.93;50:7.22;100:6.47;250:5.85;500:5.67;750:5.58;1000:5.32;</v>
      </c>
      <c r="Y45" s="56">
        <f>'Blocking Prices'!$C$15+O45</f>
        <v>17.329999999999998</v>
      </c>
      <c r="Z45" s="56">
        <f>'Blocking Prices'!$D$15+P45</f>
        <v>16.03</v>
      </c>
      <c r="AA45" s="56">
        <f>'Blocking Prices'!$E$15+Q45</f>
        <v>8.93</v>
      </c>
      <c r="AB45" s="56">
        <f>'Blocking Prices'!$F$15+R45</f>
        <v>7.2200000000000006</v>
      </c>
      <c r="AC45" s="56">
        <f>'Blocking Prices'!$G$15+S45</f>
        <v>6.4700000000000006</v>
      </c>
      <c r="AD45" s="56">
        <f>'Blocking Prices'!$H$15+T45</f>
        <v>5.85</v>
      </c>
      <c r="AE45" s="56">
        <f>'Blocking Prices'!$I$15+U45</f>
        <v>5.67</v>
      </c>
      <c r="AF45" s="56">
        <f>'Blocking Prices'!$J$15+V45</f>
        <v>5.58</v>
      </c>
      <c r="AG45" s="56">
        <f>'Blocking Prices'!$K$15+W45</f>
        <v>5.32</v>
      </c>
      <c r="AH45" s="11"/>
      <c r="AI45" s="11"/>
      <c r="AJ45" s="11"/>
      <c r="AK45" s="11"/>
      <c r="AL45" s="12" t="s">
        <v>855</v>
      </c>
      <c r="AM45" s="12" t="s">
        <v>848</v>
      </c>
      <c r="AN45" s="12" t="str">
        <f>IFERROR(_xlfn.LET(_xlpm.v,INDEX('product-export-27-8-2026'!$A:$AJ,MATCH($A45,'product-export-27-8-2026'!$A:$A,0),MATCH(AN$1,'product-export-27-8-2026'!$1:$1,0)),IF(_xlpm.v="","",_xlpm.v)),"")</f>
        <v/>
      </c>
      <c r="AO45" s="12" t="str">
        <f>IFERROR(_xlfn.LET(_xlpm.v,INDEX('product-export-27-8-2026'!$A:$AJ,MATCH($A45,'product-export-27-8-2026'!$A:$A,0),MATCH(AO$1,'product-export-27-8-2026'!$1:$1,0)),IF(_xlpm.v="","",_xlpm.v)),"")</f>
        <v/>
      </c>
      <c r="AP45" s="12" t="str">
        <f>IFERROR(_xlfn.LET(_xlpm.v,INDEX('product-export-27-8-2026'!$A:$AJ,MATCH($A45,'product-export-27-8-2026'!$A:$A,0),MATCH(AP$1,'product-export-27-8-2026'!$1:$1,0)),IF(_xlpm.v="","",_xlpm.v)),"")</f>
        <v/>
      </c>
      <c r="AQ45" s="12" t="str">
        <f>IFERROR(_xlfn.LET(_xlpm.v,INDEX('product-export-27-8-2026'!$A:$AJ,MATCH($A45,'product-export-27-8-2026'!$A:$A,0),MATCH(AQ$1,'product-export-27-8-2026'!$1:$1,0)),IF(_xlpm.v="","",_xlpm.v)),"")</f>
        <v/>
      </c>
      <c r="AR45" s="12" t="str">
        <f>IFERROR(_xlfn.LET(_xlpm.v,INDEX('product-export-27-8-2026'!$A:$AJ,MATCH($A45,'product-export-27-8-2026'!$A:$A,0),MATCH(AR$1,'product-export-27-8-2026'!$1:$1,0)),IF(_xlpm.v="","",_xlpm.v)),"")</f>
        <v>Diaries &gt; A5 Diary, Diaries, Lewes Collection, Diaries &gt; A5 Diary &gt; WTV</v>
      </c>
      <c r="AS45" s="12" t="str">
        <f>IFERROR(_xlfn.LET(_xlpm.v,INDEX('product-export-27-8-2026'!$A:$AJ,MATCH($A45,'product-export-27-8-2026'!$A:$A,0),MATCH(AS$1,'product-export-27-8-2026'!$1:$1,0)),IF(_xlpm.v="","",_xlpm.v)),"")</f>
        <v>Lewes-SmoothGrain-A5-Desk-Diary-Week-To-View</v>
      </c>
      <c r="BC45" s="15"/>
    </row>
    <row r="46" spans="1:55" s="14" customFormat="1" ht="27.6" customHeight="1" x14ac:dyDescent="0.3">
      <c r="A46" s="11">
        <v>911</v>
      </c>
      <c r="B46" s="12" t="s">
        <v>379</v>
      </c>
      <c r="C46" s="12" t="s">
        <v>18</v>
      </c>
      <c r="D46" s="12" t="s">
        <v>83</v>
      </c>
      <c r="E46" s="13" t="s">
        <v>83</v>
      </c>
      <c r="F46" s="12" t="s">
        <v>80</v>
      </c>
      <c r="G46" s="12" t="s">
        <v>14</v>
      </c>
      <c r="H46" s="12" t="s">
        <v>789</v>
      </c>
      <c r="I46" s="12" t="s">
        <v>20</v>
      </c>
      <c r="J46" s="12" t="s">
        <v>87</v>
      </c>
      <c r="K46" s="12" t="s">
        <v>1665</v>
      </c>
      <c r="L46" s="60">
        <v>0.48</v>
      </c>
      <c r="M46" s="11">
        <v>11.5</v>
      </c>
      <c r="N46" s="12" t="s">
        <v>81</v>
      </c>
      <c r="O46" s="56">
        <f t="shared" si="3"/>
        <v>12.11</v>
      </c>
      <c r="P46" s="56">
        <f t="shared" si="3"/>
        <v>11.63</v>
      </c>
      <c r="Q46" s="56">
        <f t="shared" si="3"/>
        <v>5.36</v>
      </c>
      <c r="R46" s="56">
        <f t="shared" si="3"/>
        <v>4.25</v>
      </c>
      <c r="S46" s="56">
        <f t="shared" si="3"/>
        <v>3.74</v>
      </c>
      <c r="T46" s="56">
        <f t="shared" si="3"/>
        <v>3.47</v>
      </c>
      <c r="U46" s="56">
        <f t="shared" si="3"/>
        <v>3.3</v>
      </c>
      <c r="V46" s="56">
        <f t="shared" si="3"/>
        <v>3.27</v>
      </c>
      <c r="W46" s="56">
        <f t="shared" si="3"/>
        <v>3.07</v>
      </c>
      <c r="X46" s="30" t="str" cm="1">
        <f t="array" ref="X46">IF(Y46="","",_xlfn.TEXTJOIN(";",TRUE,SUBSTITUTE($Y$1:$AG$1,"Qty ","")&amp;":"&amp;TEXT(Y46:AG46,"0.00"))&amp;";")</f>
        <v>1:17.33;10:16.03;25:8.93;50:7.22;100:6.47;250:5.85;500:5.67;750:5.58;1000:5.32;</v>
      </c>
      <c r="Y46" s="56">
        <f>'Blocking Prices'!$C$15+O46</f>
        <v>17.329999999999998</v>
      </c>
      <c r="Z46" s="56">
        <f>'Blocking Prices'!$D$15+P46</f>
        <v>16.03</v>
      </c>
      <c r="AA46" s="56">
        <f>'Blocking Prices'!$E$15+Q46</f>
        <v>8.93</v>
      </c>
      <c r="AB46" s="56">
        <f>'Blocking Prices'!$F$15+R46</f>
        <v>7.2200000000000006</v>
      </c>
      <c r="AC46" s="56">
        <f>'Blocking Prices'!$G$15+S46</f>
        <v>6.4700000000000006</v>
      </c>
      <c r="AD46" s="56">
        <f>'Blocking Prices'!$H$15+T46</f>
        <v>5.85</v>
      </c>
      <c r="AE46" s="56">
        <f>'Blocking Prices'!$I$15+U46</f>
        <v>5.67</v>
      </c>
      <c r="AF46" s="56">
        <f>'Blocking Prices'!$J$15+V46</f>
        <v>5.58</v>
      </c>
      <c r="AG46" s="56">
        <f>'Blocking Prices'!$K$15+W46</f>
        <v>5.32</v>
      </c>
      <c r="AH46" s="11"/>
      <c r="AI46" s="11"/>
      <c r="AJ46" s="11"/>
      <c r="AK46" s="11"/>
      <c r="AL46" s="12" t="s">
        <v>847</v>
      </c>
      <c r="AM46" s="12" t="s">
        <v>848</v>
      </c>
      <c r="AN46" s="12" t="str">
        <f>IFERROR(_xlfn.LET(_xlpm.v,INDEX('product-export-27-8-2026'!$A:$AJ,MATCH($A46,'product-export-27-8-2026'!$A:$A,0),MATCH(AN$1,'product-export-27-8-2026'!$1:$1,0)),IF(_xlpm.v="","",_xlpm.v)),"")</f>
        <v/>
      </c>
      <c r="AO46" s="12" t="str">
        <f>IFERROR(_xlfn.LET(_xlpm.v,INDEX('product-export-27-8-2026'!$A:$AJ,MATCH($A46,'product-export-27-8-2026'!$A:$A,0),MATCH(AO$1,'product-export-27-8-2026'!$1:$1,0)),IF(_xlpm.v="","",_xlpm.v)),"")</f>
        <v/>
      </c>
      <c r="AP46" s="12" t="str">
        <f>IFERROR(_xlfn.LET(_xlpm.v,INDEX('product-export-27-8-2026'!$A:$AJ,MATCH($A46,'product-export-27-8-2026'!$A:$A,0),MATCH(AP$1,'product-export-27-8-2026'!$1:$1,0)),IF(_xlpm.v="","",_xlpm.v)),"")</f>
        <v/>
      </c>
      <c r="AQ46" s="12" t="str">
        <f>IFERROR(_xlfn.LET(_xlpm.v,INDEX('product-export-27-8-2026'!$A:$AJ,MATCH($A46,'product-export-27-8-2026'!$A:$A,0),MATCH(AQ$1,'product-export-27-8-2026'!$1:$1,0)),IF(_xlpm.v="","",_xlpm.v)),"")</f>
        <v/>
      </c>
      <c r="AR46" s="12" t="str">
        <f>IFERROR(_xlfn.LET(_xlpm.v,INDEX('product-export-27-8-2026'!$A:$AJ,MATCH($A46,'product-export-27-8-2026'!$A:$A,0),MATCH(AR$1,'product-export-27-8-2026'!$1:$1,0)),IF(_xlpm.v="","",_xlpm.v)),"")</f>
        <v>Diaries &gt; A5 Diary, Diaries, Lewes Collection, Diaries &gt; A5 Diary &gt; WTV</v>
      </c>
      <c r="AS46" s="12" t="str">
        <f>IFERROR(_xlfn.LET(_xlpm.v,INDEX('product-export-27-8-2026'!$A:$AJ,MATCH($A46,'product-export-27-8-2026'!$A:$A,0),MATCH(AS$1,'product-export-27-8-2026'!$1:$1,0)),IF(_xlpm.v="","",_xlpm.v)),"")</f>
        <v>Lewes-SmoothGrain-A5-Desk-Diary-Week-To-View</v>
      </c>
      <c r="BC46" s="15"/>
    </row>
    <row r="47" spans="1:55" s="14" customFormat="1" ht="27.6" customHeight="1" x14ac:dyDescent="0.3">
      <c r="A47" s="11">
        <v>915</v>
      </c>
      <c r="B47" s="12" t="s">
        <v>380</v>
      </c>
      <c r="C47" s="12" t="s">
        <v>18</v>
      </c>
      <c r="D47" s="12" t="s">
        <v>84</v>
      </c>
      <c r="E47" s="13" t="s">
        <v>84</v>
      </c>
      <c r="F47" s="12" t="s">
        <v>80</v>
      </c>
      <c r="G47" s="12" t="s">
        <v>14</v>
      </c>
      <c r="H47" s="12" t="s">
        <v>792</v>
      </c>
      <c r="I47" s="12" t="s">
        <v>20</v>
      </c>
      <c r="J47" s="12" t="s">
        <v>87</v>
      </c>
      <c r="K47" s="12" t="s">
        <v>1665</v>
      </c>
      <c r="L47" s="60">
        <v>0.48</v>
      </c>
      <c r="M47" s="11">
        <v>11.5</v>
      </c>
      <c r="N47" s="12" t="s">
        <v>81</v>
      </c>
      <c r="O47" s="56">
        <f t="shared" si="3"/>
        <v>12.11</v>
      </c>
      <c r="P47" s="56">
        <f t="shared" si="3"/>
        <v>11.63</v>
      </c>
      <c r="Q47" s="56">
        <f t="shared" si="3"/>
        <v>5.36</v>
      </c>
      <c r="R47" s="56">
        <f t="shared" si="3"/>
        <v>4.25</v>
      </c>
      <c r="S47" s="56">
        <f t="shared" si="3"/>
        <v>3.74</v>
      </c>
      <c r="T47" s="56">
        <f t="shared" si="3"/>
        <v>3.47</v>
      </c>
      <c r="U47" s="56">
        <f t="shared" si="3"/>
        <v>3.3</v>
      </c>
      <c r="V47" s="56">
        <f t="shared" si="3"/>
        <v>3.27</v>
      </c>
      <c r="W47" s="56">
        <f t="shared" si="3"/>
        <v>3.07</v>
      </c>
      <c r="X47" s="30" t="str" cm="1">
        <f t="array" ref="X47">IF(Y47="","",_xlfn.TEXTJOIN(";",TRUE,SUBSTITUTE($Y$1:$AG$1,"Qty ","")&amp;":"&amp;TEXT(Y47:AG47,"0.00"))&amp;";")</f>
        <v>1:17.33;10:16.03;25:8.93;50:7.22;100:6.47;250:5.85;500:5.67;750:5.58;1000:5.32;</v>
      </c>
      <c r="Y47" s="56">
        <f>'Blocking Prices'!$C$15+O47</f>
        <v>17.329999999999998</v>
      </c>
      <c r="Z47" s="56">
        <f>'Blocking Prices'!$D$15+P47</f>
        <v>16.03</v>
      </c>
      <c r="AA47" s="56">
        <f>'Blocking Prices'!$E$15+Q47</f>
        <v>8.93</v>
      </c>
      <c r="AB47" s="56">
        <f>'Blocking Prices'!$F$15+R47</f>
        <v>7.2200000000000006</v>
      </c>
      <c r="AC47" s="56">
        <f>'Blocking Prices'!$G$15+S47</f>
        <v>6.4700000000000006</v>
      </c>
      <c r="AD47" s="56">
        <f>'Blocking Prices'!$H$15+T47</f>
        <v>5.85</v>
      </c>
      <c r="AE47" s="56">
        <f>'Blocking Prices'!$I$15+U47</f>
        <v>5.67</v>
      </c>
      <c r="AF47" s="56">
        <f>'Blocking Prices'!$J$15+V47</f>
        <v>5.58</v>
      </c>
      <c r="AG47" s="56">
        <f>'Blocking Prices'!$K$15+W47</f>
        <v>5.32</v>
      </c>
      <c r="AH47" s="11"/>
      <c r="AI47" s="11"/>
      <c r="AJ47" s="11"/>
      <c r="AK47" s="11"/>
      <c r="AL47" s="12" t="s">
        <v>855</v>
      </c>
      <c r="AM47" s="12" t="s">
        <v>848</v>
      </c>
      <c r="AN47" s="12" t="str">
        <f>IFERROR(_xlfn.LET(_xlpm.v,INDEX('product-export-27-8-2026'!$A:$AJ,MATCH($A47,'product-export-27-8-2026'!$A:$A,0),MATCH(AN$1,'product-export-27-8-2026'!$1:$1,0)),IF(_xlpm.v="","",_xlpm.v)),"")</f>
        <v/>
      </c>
      <c r="AO47" s="12" t="str">
        <f>IFERROR(_xlfn.LET(_xlpm.v,INDEX('product-export-27-8-2026'!$A:$AJ,MATCH($A47,'product-export-27-8-2026'!$A:$A,0),MATCH(AO$1,'product-export-27-8-2026'!$1:$1,0)),IF(_xlpm.v="","",_xlpm.v)),"")</f>
        <v/>
      </c>
      <c r="AP47" s="12" t="str">
        <f>IFERROR(_xlfn.LET(_xlpm.v,INDEX('product-export-27-8-2026'!$A:$AJ,MATCH($A47,'product-export-27-8-2026'!$A:$A,0),MATCH(AP$1,'product-export-27-8-2026'!$1:$1,0)),IF(_xlpm.v="","",_xlpm.v)),"")</f>
        <v/>
      </c>
      <c r="AQ47" s="12" t="str">
        <f>IFERROR(_xlfn.LET(_xlpm.v,INDEX('product-export-27-8-2026'!$A:$AJ,MATCH($A47,'product-export-27-8-2026'!$A:$A,0),MATCH(AQ$1,'product-export-27-8-2026'!$1:$1,0)),IF(_xlpm.v="","",_xlpm.v)),"")</f>
        <v/>
      </c>
      <c r="AR47" s="12" t="str">
        <f>IFERROR(_xlfn.LET(_xlpm.v,INDEX('product-export-27-8-2026'!$A:$AJ,MATCH($A47,'product-export-27-8-2026'!$A:$A,0),MATCH(AR$1,'product-export-27-8-2026'!$1:$1,0)),IF(_xlpm.v="","",_xlpm.v)),"")</f>
        <v>Diaries &gt; A5 Diary, Diaries, Lewes Collection, Diaries &gt; A5 Diary &gt; WTV</v>
      </c>
      <c r="AS47" s="12" t="str">
        <f>IFERROR(_xlfn.LET(_xlpm.v,INDEX('product-export-27-8-2026'!$A:$AJ,MATCH($A47,'product-export-27-8-2026'!$A:$A,0),MATCH(AS$1,'product-export-27-8-2026'!$1:$1,0)),IF(_xlpm.v="","",_xlpm.v)),"")</f>
        <v>Lewes-SmoothGrain-A5-Desk-Diary-Week-To-View</v>
      </c>
      <c r="BC47" s="15"/>
    </row>
    <row r="48" spans="1:55" s="14" customFormat="1" ht="27.6" customHeight="1" x14ac:dyDescent="0.3">
      <c r="A48" s="11">
        <v>919</v>
      </c>
      <c r="B48" s="12" t="s">
        <v>381</v>
      </c>
      <c r="C48" s="12" t="s">
        <v>18</v>
      </c>
      <c r="D48" s="12" t="s">
        <v>85</v>
      </c>
      <c r="E48" s="13" t="s">
        <v>85</v>
      </c>
      <c r="F48" s="18" t="s">
        <v>80</v>
      </c>
      <c r="G48" s="12" t="s">
        <v>14</v>
      </c>
      <c r="H48" s="12" t="s">
        <v>1580</v>
      </c>
      <c r="I48" s="18" t="s">
        <v>20</v>
      </c>
      <c r="J48" s="18" t="s">
        <v>87</v>
      </c>
      <c r="K48" s="12" t="s">
        <v>1665</v>
      </c>
      <c r="L48" s="60">
        <v>0.48</v>
      </c>
      <c r="M48" s="17">
        <v>11.5</v>
      </c>
      <c r="N48" s="10" t="s">
        <v>81</v>
      </c>
      <c r="O48" s="56">
        <f t="shared" si="3"/>
        <v>12.11</v>
      </c>
      <c r="P48" s="56">
        <f t="shared" si="3"/>
        <v>11.63</v>
      </c>
      <c r="Q48" s="56">
        <f t="shared" si="3"/>
        <v>5.36</v>
      </c>
      <c r="R48" s="56">
        <f t="shared" si="3"/>
        <v>4.25</v>
      </c>
      <c r="S48" s="56">
        <f t="shared" si="3"/>
        <v>3.74</v>
      </c>
      <c r="T48" s="56">
        <f t="shared" si="3"/>
        <v>3.47</v>
      </c>
      <c r="U48" s="56">
        <f t="shared" si="3"/>
        <v>3.3</v>
      </c>
      <c r="V48" s="56">
        <f t="shared" si="3"/>
        <v>3.27</v>
      </c>
      <c r="W48" s="56">
        <f t="shared" si="3"/>
        <v>3.07</v>
      </c>
      <c r="X48" s="30" t="str" cm="1">
        <f t="array" ref="X48">IF(Y48="","",_xlfn.TEXTJOIN(";",TRUE,SUBSTITUTE($Y$1:$AG$1,"Qty ","")&amp;":"&amp;TEXT(Y48:AG48,"0.00"))&amp;";")</f>
        <v>1:17.33;10:16.03;25:8.93;50:7.22;100:6.47;250:5.85;500:5.67;750:5.58;1000:5.32;</v>
      </c>
      <c r="Y48" s="56">
        <f>'Blocking Prices'!$C$15+O48</f>
        <v>17.329999999999998</v>
      </c>
      <c r="Z48" s="56">
        <f>'Blocking Prices'!$D$15+P48</f>
        <v>16.03</v>
      </c>
      <c r="AA48" s="56">
        <f>'Blocking Prices'!$E$15+Q48</f>
        <v>8.93</v>
      </c>
      <c r="AB48" s="56">
        <f>'Blocking Prices'!$F$15+R48</f>
        <v>7.2200000000000006</v>
      </c>
      <c r="AC48" s="56">
        <f>'Blocking Prices'!$G$15+S48</f>
        <v>6.4700000000000006</v>
      </c>
      <c r="AD48" s="56">
        <f>'Blocking Prices'!$H$15+T48</f>
        <v>5.85</v>
      </c>
      <c r="AE48" s="56">
        <f>'Blocking Prices'!$I$15+U48</f>
        <v>5.67</v>
      </c>
      <c r="AF48" s="56">
        <f>'Blocking Prices'!$J$15+V48</f>
        <v>5.58</v>
      </c>
      <c r="AG48" s="56">
        <f>'Blocking Prices'!$K$15+W48</f>
        <v>5.32</v>
      </c>
      <c r="AH48" s="11"/>
      <c r="AI48" s="11"/>
      <c r="AJ48" s="11"/>
      <c r="AK48" s="11"/>
      <c r="AL48" s="12" t="s">
        <v>855</v>
      </c>
      <c r="AM48" s="12" t="s">
        <v>848</v>
      </c>
      <c r="AN48" s="12" t="str">
        <f>IFERROR(_xlfn.LET(_xlpm.v,INDEX('product-export-27-8-2026'!$A:$AJ,MATCH($A48,'product-export-27-8-2026'!$A:$A,0),MATCH(AN$1,'product-export-27-8-2026'!$1:$1,0)),IF(_xlpm.v="","",_xlpm.v)),"")</f>
        <v/>
      </c>
      <c r="AO48" s="12" t="str">
        <f>IFERROR(_xlfn.LET(_xlpm.v,INDEX('product-export-27-8-2026'!$A:$AJ,MATCH($A48,'product-export-27-8-2026'!$A:$A,0),MATCH(AO$1,'product-export-27-8-2026'!$1:$1,0)),IF(_xlpm.v="","",_xlpm.v)),"")</f>
        <v/>
      </c>
      <c r="AP48" s="12" t="str">
        <f>IFERROR(_xlfn.LET(_xlpm.v,INDEX('product-export-27-8-2026'!$A:$AJ,MATCH($A48,'product-export-27-8-2026'!$A:$A,0),MATCH(AP$1,'product-export-27-8-2026'!$1:$1,0)),IF(_xlpm.v="","",_xlpm.v)),"")</f>
        <v/>
      </c>
      <c r="AQ48" s="12" t="str">
        <f>IFERROR(_xlfn.LET(_xlpm.v,INDEX('product-export-27-8-2026'!$A:$AJ,MATCH($A48,'product-export-27-8-2026'!$A:$A,0),MATCH(AQ$1,'product-export-27-8-2026'!$1:$1,0)),IF(_xlpm.v="","",_xlpm.v)),"")</f>
        <v/>
      </c>
      <c r="AR48" s="12" t="str">
        <f>IFERROR(_xlfn.LET(_xlpm.v,INDEX('product-export-27-8-2026'!$A:$AJ,MATCH($A48,'product-export-27-8-2026'!$A:$A,0),MATCH(AR$1,'product-export-27-8-2026'!$1:$1,0)),IF(_xlpm.v="","",_xlpm.v)),"")</f>
        <v>Diaries &gt; A5 Diary, Diaries, Lewes Collection, Diaries &gt; A5 Diary &gt; WTV</v>
      </c>
      <c r="AS48" s="12" t="str">
        <f>IFERROR(_xlfn.LET(_xlpm.v,INDEX('product-export-27-8-2026'!$A:$AJ,MATCH($A48,'product-export-27-8-2026'!$A:$A,0),MATCH(AS$1,'product-export-27-8-2026'!$1:$1,0)),IF(_xlpm.v="","",_xlpm.v)),"")</f>
        <v>Lewes-SmoothGrain-A5-Desk-Diary-Week-To-View</v>
      </c>
      <c r="BC48" s="15"/>
    </row>
    <row r="49" spans="1:55" s="14" customFormat="1" ht="27.6" customHeight="1" x14ac:dyDescent="0.3">
      <c r="A49" s="11">
        <v>923</v>
      </c>
      <c r="B49" s="12" t="s">
        <v>382</v>
      </c>
      <c r="C49" s="12" t="s">
        <v>18</v>
      </c>
      <c r="D49" s="12" t="s">
        <v>86</v>
      </c>
      <c r="E49" s="13" t="s">
        <v>86</v>
      </c>
      <c r="F49" s="18" t="s">
        <v>1542</v>
      </c>
      <c r="G49" s="12" t="s">
        <v>14</v>
      </c>
      <c r="H49" s="12" t="s">
        <v>672</v>
      </c>
      <c r="I49" s="18" t="s">
        <v>41</v>
      </c>
      <c r="J49" s="18" t="s">
        <v>87</v>
      </c>
      <c r="K49" s="12" t="s">
        <v>1665</v>
      </c>
      <c r="L49" s="60">
        <v>0.48</v>
      </c>
      <c r="M49" s="17">
        <v>12.5</v>
      </c>
      <c r="N49" s="10" t="s">
        <v>74</v>
      </c>
      <c r="O49" s="56">
        <f t="shared" si="3"/>
        <v>12.67</v>
      </c>
      <c r="P49" s="56">
        <f t="shared" si="3"/>
        <v>12.16</v>
      </c>
      <c r="Q49" s="56">
        <f t="shared" si="3"/>
        <v>6.9</v>
      </c>
      <c r="R49" s="56">
        <f t="shared" si="3"/>
        <v>5.98</v>
      </c>
      <c r="S49" s="56">
        <f t="shared" si="3"/>
        <v>5.35</v>
      </c>
      <c r="T49" s="56">
        <f t="shared" si="3"/>
        <v>4.83</v>
      </c>
      <c r="U49" s="56">
        <f t="shared" si="3"/>
        <v>4.4800000000000004</v>
      </c>
      <c r="V49" s="56">
        <f t="shared" si="3"/>
        <v>4.24</v>
      </c>
      <c r="W49" s="56">
        <f t="shared" si="3"/>
        <v>3.91</v>
      </c>
      <c r="X49" s="30" t="str" cm="1">
        <f t="array" ref="X49">IF(Y49="","",_xlfn.TEXTJOIN(";",TRUE,SUBSTITUTE($Y$1:$AG$1,"Qty ","")&amp;":"&amp;TEXT(Y49:AG49,"0.00"))&amp;";")</f>
        <v>1:17.89;10:16.56;25:10.47;50:8.95;100:8.08;250:7.21;500:6.85;750:6.55;1000:6.16;</v>
      </c>
      <c r="Y49" s="56">
        <f>'Blocking Prices'!$C$15+O49</f>
        <v>17.89</v>
      </c>
      <c r="Z49" s="56">
        <f>'Blocking Prices'!$D$15+P49</f>
        <v>16.560000000000002</v>
      </c>
      <c r="AA49" s="56">
        <f>'Blocking Prices'!$E$15+Q49</f>
        <v>10.47</v>
      </c>
      <c r="AB49" s="56">
        <f>'Blocking Prices'!$F$15+R49</f>
        <v>8.9500000000000011</v>
      </c>
      <c r="AC49" s="56">
        <f>'Blocking Prices'!$G$15+S49</f>
        <v>8.08</v>
      </c>
      <c r="AD49" s="56">
        <f>'Blocking Prices'!$H$15+T49</f>
        <v>7.21</v>
      </c>
      <c r="AE49" s="56">
        <f>'Blocking Prices'!$I$15+U49</f>
        <v>6.8500000000000005</v>
      </c>
      <c r="AF49" s="56">
        <f>'Blocking Prices'!$J$15+V49</f>
        <v>6.5500000000000007</v>
      </c>
      <c r="AG49" s="56">
        <f>'Blocking Prices'!$K$15+W49</f>
        <v>6.16</v>
      </c>
      <c r="AH49" s="11"/>
      <c r="AI49" s="11"/>
      <c r="AJ49" s="11"/>
      <c r="AK49" s="11"/>
      <c r="AL49" s="12" t="s">
        <v>864</v>
      </c>
      <c r="AM49" s="12" t="s">
        <v>865</v>
      </c>
      <c r="AN49" s="12" t="str">
        <f>IFERROR(_xlfn.LET(_xlpm.v,INDEX('product-export-27-8-2026'!$A:$AJ,MATCH($A49,'product-export-27-8-2026'!$A:$A,0),MATCH(AN$1,'product-export-27-8-2026'!$1:$1,0)),IF(_xlpm.v="","",_xlpm.v)),"")</f>
        <v/>
      </c>
      <c r="AO49" s="12" t="str">
        <f>IFERROR(_xlfn.LET(_xlpm.v,INDEX('product-export-27-8-2026'!$A:$AJ,MATCH($A49,'product-export-27-8-2026'!$A:$A,0),MATCH(AO$1,'product-export-27-8-2026'!$1:$1,0)),IF(_xlpm.v="","",_xlpm.v)),"")</f>
        <v/>
      </c>
      <c r="AP49" s="12" t="str">
        <f>IFERROR(_xlfn.LET(_xlpm.v,INDEX('product-export-27-8-2026'!$A:$AJ,MATCH($A49,'product-export-27-8-2026'!$A:$A,0),MATCH(AP$1,'product-export-27-8-2026'!$1:$1,0)),IF(_xlpm.v="","",_xlpm.v)),"")</f>
        <v/>
      </c>
      <c r="AQ49" s="12" t="str">
        <f>IFERROR(_xlfn.LET(_xlpm.v,INDEX('product-export-27-8-2026'!$A:$AJ,MATCH($A49,'product-export-27-8-2026'!$A:$A,0),MATCH(AQ$1,'product-export-27-8-2026'!$1:$1,0)),IF(_xlpm.v="","",_xlpm.v)),"")</f>
        <v/>
      </c>
      <c r="AR49" s="12" t="str">
        <f>IFERROR(_xlfn.LET(_xlpm.v,INDEX('product-export-27-8-2026'!$A:$AJ,MATCH($A49,'product-export-27-8-2026'!$A:$A,0),MATCH(AR$1,'product-export-27-8-2026'!$1:$1,0)),IF(_xlpm.v="","",_xlpm.v)),"")</f>
        <v>Diaries &gt; A5 Diary, Diaries, Diaries &gt; A5 Diary &gt; DPP, Foil blocked, Richmond Collection</v>
      </c>
      <c r="AS49" s="12" t="str">
        <f>IFERROR(_xlfn.LET(_xlpm.v,INDEX('product-export-27-8-2026'!$A:$AJ,MATCH($A49,'product-export-27-8-2026'!$A:$A,0),MATCH(AS$1,'product-export-27-8-2026'!$1:$1,0)),IF(_xlpm.v="","",_xlpm.v)),"")</f>
        <v>Richmond-FineGrain-A5-Desk-Diary-Day-per-Page</v>
      </c>
      <c r="BC49" s="15"/>
    </row>
    <row r="50" spans="1:55" s="14" customFormat="1" ht="27.6" customHeight="1" x14ac:dyDescent="0.3">
      <c r="A50" s="11">
        <v>927</v>
      </c>
      <c r="B50" s="12" t="s">
        <v>382</v>
      </c>
      <c r="C50" s="12" t="s">
        <v>18</v>
      </c>
      <c r="D50" s="12" t="s">
        <v>1547</v>
      </c>
      <c r="E50" s="13" t="s">
        <v>90</v>
      </c>
      <c r="F50" s="18" t="s">
        <v>88</v>
      </c>
      <c r="G50" s="12" t="s">
        <v>14</v>
      </c>
      <c r="H50" s="12" t="s">
        <v>672</v>
      </c>
      <c r="I50" s="18" t="s">
        <v>41</v>
      </c>
      <c r="J50" s="18" t="s">
        <v>91</v>
      </c>
      <c r="K50" s="12" t="s">
        <v>1665</v>
      </c>
      <c r="L50" s="60">
        <v>0.48</v>
      </c>
      <c r="M50" s="17">
        <v>14.99</v>
      </c>
      <c r="N50" s="10" t="s">
        <v>89</v>
      </c>
      <c r="O50" s="56">
        <f t="shared" si="3"/>
        <v>14.47</v>
      </c>
      <c r="P50" s="56">
        <f t="shared" si="3"/>
        <v>13.86</v>
      </c>
      <c r="Q50" s="56">
        <f t="shared" si="3"/>
        <v>8.6999999999999993</v>
      </c>
      <c r="R50" s="56">
        <f t="shared" si="3"/>
        <v>6.74</v>
      </c>
      <c r="S50" s="56">
        <f t="shared" si="3"/>
        <v>5.99</v>
      </c>
      <c r="T50" s="56">
        <f t="shared" si="3"/>
        <v>5.68</v>
      </c>
      <c r="U50" s="56">
        <f t="shared" si="3"/>
        <v>4.7300000000000004</v>
      </c>
      <c r="V50" s="56">
        <f t="shared" si="3"/>
        <v>4.5199999999999996</v>
      </c>
      <c r="W50" s="56">
        <f t="shared" si="3"/>
        <v>4.26</v>
      </c>
      <c r="X50" s="30" t="str" cm="1">
        <f t="array" ref="X50">IF(Y50="","",_xlfn.TEXTJOIN(";",TRUE,SUBSTITUTE($Y$1:$AG$1,"Qty ","")&amp;":"&amp;TEXT(Y50:AG50,"0.00"))&amp;";")</f>
        <v>1:19.69;10:18.26;25:12.27;50:9.71;100:8.72;250:8.06;500:7.10;750:6.83;1000:6.51;</v>
      </c>
      <c r="Y50" s="56">
        <f>'Blocking Prices'!$C$15+O50</f>
        <v>19.690000000000001</v>
      </c>
      <c r="Z50" s="56">
        <f>'Blocking Prices'!$D$15+P50</f>
        <v>18.259999999999998</v>
      </c>
      <c r="AA50" s="56">
        <f>'Blocking Prices'!$E$15+Q50</f>
        <v>12.27</v>
      </c>
      <c r="AB50" s="56">
        <f>'Blocking Prices'!$F$15+R50</f>
        <v>9.7100000000000009</v>
      </c>
      <c r="AC50" s="56">
        <f>'Blocking Prices'!$G$15+S50</f>
        <v>8.7200000000000006</v>
      </c>
      <c r="AD50" s="56">
        <f>'Blocking Prices'!$H$15+T50</f>
        <v>8.0599999999999987</v>
      </c>
      <c r="AE50" s="56">
        <f>'Blocking Prices'!$I$15+U50</f>
        <v>7.1000000000000005</v>
      </c>
      <c r="AF50" s="56">
        <f>'Blocking Prices'!$J$15+V50</f>
        <v>6.83</v>
      </c>
      <c r="AG50" s="56">
        <f>'Blocking Prices'!$K$15+W50</f>
        <v>6.51</v>
      </c>
      <c r="AH50" s="11"/>
      <c r="AI50" s="11"/>
      <c r="AJ50" s="11"/>
      <c r="AK50" s="11"/>
      <c r="AL50" s="12" t="s">
        <v>872</v>
      </c>
      <c r="AM50" s="12" t="s">
        <v>873</v>
      </c>
      <c r="AN50" s="12" t="str">
        <f>IFERROR(_xlfn.LET(_xlpm.v,INDEX('product-export-27-8-2026'!$A:$AJ,MATCH($A50,'product-export-27-8-2026'!$A:$A,0),MATCH(AN$1,'product-export-27-8-2026'!$1:$1,0)),IF(_xlpm.v="","",_xlpm.v)),"")</f>
        <v/>
      </c>
      <c r="AO50" s="12" t="str">
        <f>IFERROR(_xlfn.LET(_xlpm.v,INDEX('product-export-27-8-2026'!$A:$AJ,MATCH($A50,'product-export-27-8-2026'!$A:$A,0),MATCH(AO$1,'product-export-27-8-2026'!$1:$1,0)),IF(_xlpm.v="","",_xlpm.v)),"")</f>
        <v/>
      </c>
      <c r="AP50" s="12" t="str">
        <f>IFERROR(_xlfn.LET(_xlpm.v,INDEX('product-export-27-8-2026'!$A:$AJ,MATCH($A50,'product-export-27-8-2026'!$A:$A,0),MATCH(AP$1,'product-export-27-8-2026'!$1:$1,0)),IF(_xlpm.v="","",_xlpm.v)),"")</f>
        <v/>
      </c>
      <c r="AQ50" s="12" t="str">
        <f>IFERROR(_xlfn.LET(_xlpm.v,INDEX('product-export-27-8-2026'!$A:$AJ,MATCH($A50,'product-export-27-8-2026'!$A:$A,0),MATCH(AQ$1,'product-export-27-8-2026'!$1:$1,0)),IF(_xlpm.v="","",_xlpm.v)),"")</f>
        <v/>
      </c>
      <c r="AR50" s="12" t="str">
        <f>IFERROR(_xlfn.LET(_xlpm.v,INDEX('product-export-27-8-2026'!$A:$AJ,MATCH($A50,'product-export-27-8-2026'!$A:$A,0),MATCH(AR$1,'product-export-27-8-2026'!$1:$1,0)),IF(_xlpm.v="","",_xlpm.v)),"")</f>
        <v>Diaries &gt; A5 Diary, Diaries, Diaries &gt; A5 Diary &gt; DPP, Foil blocked, Richmond Collection</v>
      </c>
      <c r="AS50" s="12" t="str">
        <f>IFERROR(_xlfn.LET(_xlpm.v,INDEX('product-export-27-8-2026'!$A:$AJ,MATCH($A50,'product-export-27-8-2026'!$A:$A,0),MATCH(AS$1,'product-export-27-8-2026'!$1:$1,0)),IF(_xlpm.v="","",_xlpm.v)),"")</f>
        <v>Richmond-FineGrain-A5-Desk-Diary-Day-per-Page-1</v>
      </c>
      <c r="BC50" s="15"/>
    </row>
    <row r="51" spans="1:55" s="14" customFormat="1" ht="27.6" customHeight="1" x14ac:dyDescent="0.3">
      <c r="A51" s="11">
        <v>930</v>
      </c>
      <c r="B51" s="12" t="s">
        <v>383</v>
      </c>
      <c r="C51" s="12" t="s">
        <v>18</v>
      </c>
      <c r="D51" s="12" t="s">
        <v>92</v>
      </c>
      <c r="E51" s="13" t="s">
        <v>92</v>
      </c>
      <c r="F51" s="18" t="s">
        <v>1542</v>
      </c>
      <c r="G51" s="12" t="s">
        <v>14</v>
      </c>
      <c r="H51" s="12" t="s">
        <v>728</v>
      </c>
      <c r="I51" s="18" t="s">
        <v>41</v>
      </c>
      <c r="J51" s="18" t="s">
        <v>87</v>
      </c>
      <c r="K51" s="12" t="s">
        <v>1665</v>
      </c>
      <c r="L51" s="60">
        <v>0.48</v>
      </c>
      <c r="M51" s="17">
        <v>12.5</v>
      </c>
      <c r="N51" s="10" t="s">
        <v>74</v>
      </c>
      <c r="O51" s="56">
        <f t="shared" si="3"/>
        <v>12.67</v>
      </c>
      <c r="P51" s="56">
        <f t="shared" si="3"/>
        <v>12.16</v>
      </c>
      <c r="Q51" s="56">
        <f t="shared" si="3"/>
        <v>6.9</v>
      </c>
      <c r="R51" s="56">
        <f t="shared" si="3"/>
        <v>5.98</v>
      </c>
      <c r="S51" s="56">
        <f t="shared" si="3"/>
        <v>5.35</v>
      </c>
      <c r="T51" s="56">
        <f t="shared" si="3"/>
        <v>4.83</v>
      </c>
      <c r="U51" s="56">
        <f t="shared" si="3"/>
        <v>4.4800000000000004</v>
      </c>
      <c r="V51" s="56">
        <f t="shared" si="3"/>
        <v>4.24</v>
      </c>
      <c r="W51" s="56">
        <f t="shared" si="3"/>
        <v>3.91</v>
      </c>
      <c r="X51" s="30" t="str" cm="1">
        <f t="array" ref="X51">IF(Y51="","",_xlfn.TEXTJOIN(";",TRUE,SUBSTITUTE($Y$1:$AG$1,"Qty ","")&amp;":"&amp;TEXT(Y51:AG51,"0.00"))&amp;";")</f>
        <v>1:17.89;10:16.56;25:10.47;50:8.95;100:8.08;250:7.21;500:6.85;750:6.55;1000:6.16;</v>
      </c>
      <c r="Y51" s="56">
        <f>'Blocking Prices'!$C$15+O51</f>
        <v>17.89</v>
      </c>
      <c r="Z51" s="56">
        <f>'Blocking Prices'!$D$15+P51</f>
        <v>16.560000000000002</v>
      </c>
      <c r="AA51" s="56">
        <f>'Blocking Prices'!$E$15+Q51</f>
        <v>10.47</v>
      </c>
      <c r="AB51" s="56">
        <f>'Blocking Prices'!$F$15+R51</f>
        <v>8.9500000000000011</v>
      </c>
      <c r="AC51" s="56">
        <f>'Blocking Prices'!$G$15+S51</f>
        <v>8.08</v>
      </c>
      <c r="AD51" s="56">
        <f>'Blocking Prices'!$H$15+T51</f>
        <v>7.21</v>
      </c>
      <c r="AE51" s="56">
        <f>'Blocking Prices'!$I$15+U51</f>
        <v>6.8500000000000005</v>
      </c>
      <c r="AF51" s="56">
        <f>'Blocking Prices'!$J$15+V51</f>
        <v>6.5500000000000007</v>
      </c>
      <c r="AG51" s="56">
        <f>'Blocking Prices'!$K$15+W51</f>
        <v>6.16</v>
      </c>
      <c r="AH51" s="11"/>
      <c r="AI51" s="11"/>
      <c r="AJ51" s="11"/>
      <c r="AK51" s="11"/>
      <c r="AL51" s="12" t="s">
        <v>864</v>
      </c>
      <c r="AM51" s="12" t="s">
        <v>865</v>
      </c>
      <c r="AN51" s="12" t="str">
        <f>IFERROR(_xlfn.LET(_xlpm.v,INDEX('product-export-27-8-2026'!$A:$AJ,MATCH($A51,'product-export-27-8-2026'!$A:$A,0),MATCH(AN$1,'product-export-27-8-2026'!$1:$1,0)),IF(_xlpm.v="","",_xlpm.v)),"")</f>
        <v/>
      </c>
      <c r="AO51" s="12" t="str">
        <f>IFERROR(_xlfn.LET(_xlpm.v,INDEX('product-export-27-8-2026'!$A:$AJ,MATCH($A51,'product-export-27-8-2026'!$A:$A,0),MATCH(AO$1,'product-export-27-8-2026'!$1:$1,0)),IF(_xlpm.v="","",_xlpm.v)),"")</f>
        <v/>
      </c>
      <c r="AP51" s="12" t="str">
        <f>IFERROR(_xlfn.LET(_xlpm.v,INDEX('product-export-27-8-2026'!$A:$AJ,MATCH($A51,'product-export-27-8-2026'!$A:$A,0),MATCH(AP$1,'product-export-27-8-2026'!$1:$1,0)),IF(_xlpm.v="","",_xlpm.v)),"")</f>
        <v/>
      </c>
      <c r="AQ51" s="12" t="str">
        <f>IFERROR(_xlfn.LET(_xlpm.v,INDEX('product-export-27-8-2026'!$A:$AJ,MATCH($A51,'product-export-27-8-2026'!$A:$A,0),MATCH(AQ$1,'product-export-27-8-2026'!$1:$1,0)),IF(_xlpm.v="","",_xlpm.v)),"")</f>
        <v/>
      </c>
      <c r="AR51" s="12" t="str">
        <f>IFERROR(_xlfn.LET(_xlpm.v,INDEX('product-export-27-8-2026'!$A:$AJ,MATCH($A51,'product-export-27-8-2026'!$A:$A,0),MATCH(AR$1,'product-export-27-8-2026'!$1:$1,0)),IF(_xlpm.v="","",_xlpm.v)),"")</f>
        <v>Diaries &gt; A5 Diary, Diaries, Diaries &gt; A5 Diary &gt; DPP, Foil blocked, Richmond Collection</v>
      </c>
      <c r="AS51" s="12" t="str">
        <f>IFERROR(_xlfn.LET(_xlpm.v,INDEX('product-export-27-8-2026'!$A:$AJ,MATCH($A51,'product-export-27-8-2026'!$A:$A,0),MATCH(AS$1,'product-export-27-8-2026'!$1:$1,0)),IF(_xlpm.v="","",_xlpm.v)),"")</f>
        <v>Richmond-FineGrain-A5-Desk-Diary-Day-per-Page</v>
      </c>
      <c r="BC51" s="15"/>
    </row>
    <row r="52" spans="1:55" s="14" customFormat="1" ht="27.6" customHeight="1" x14ac:dyDescent="0.3">
      <c r="A52" s="11">
        <v>934</v>
      </c>
      <c r="B52" s="12" t="s">
        <v>383</v>
      </c>
      <c r="C52" s="12" t="s">
        <v>18</v>
      </c>
      <c r="D52" s="12" t="s">
        <v>1548</v>
      </c>
      <c r="E52" s="13" t="s">
        <v>93</v>
      </c>
      <c r="F52" s="18" t="s">
        <v>88</v>
      </c>
      <c r="G52" s="12" t="s">
        <v>14</v>
      </c>
      <c r="H52" s="12" t="s">
        <v>728</v>
      </c>
      <c r="I52" s="18" t="s">
        <v>41</v>
      </c>
      <c r="J52" s="18" t="s">
        <v>91</v>
      </c>
      <c r="K52" s="12" t="s">
        <v>1665</v>
      </c>
      <c r="L52" s="60">
        <v>0.48</v>
      </c>
      <c r="M52" s="17">
        <v>14.99</v>
      </c>
      <c r="N52" s="10" t="s">
        <v>89</v>
      </c>
      <c r="O52" s="56">
        <f t="shared" ref="O52:W61" si="4">IFERROR(VALUE(_xlfn.TEXTBEFORE(_xlfn.TEXTAFTER(";"&amp;$N52,";"&amp;SUBSTITUTE(O$1,"Qty ","")&amp;":"),";")),"")</f>
        <v>14.47</v>
      </c>
      <c r="P52" s="56">
        <f t="shared" si="4"/>
        <v>13.86</v>
      </c>
      <c r="Q52" s="56">
        <f t="shared" si="4"/>
        <v>8.6999999999999993</v>
      </c>
      <c r="R52" s="56">
        <f t="shared" si="4"/>
        <v>6.74</v>
      </c>
      <c r="S52" s="56">
        <f t="shared" si="4"/>
        <v>5.99</v>
      </c>
      <c r="T52" s="56">
        <f t="shared" si="4"/>
        <v>5.68</v>
      </c>
      <c r="U52" s="56">
        <f t="shared" si="4"/>
        <v>4.7300000000000004</v>
      </c>
      <c r="V52" s="56">
        <f t="shared" si="4"/>
        <v>4.5199999999999996</v>
      </c>
      <c r="W52" s="56">
        <f t="shared" si="4"/>
        <v>4.26</v>
      </c>
      <c r="X52" s="30" t="str" cm="1">
        <f t="array" ref="X52">IF(Y52="","",_xlfn.TEXTJOIN(";",TRUE,SUBSTITUTE($Y$1:$AG$1,"Qty ","")&amp;":"&amp;TEXT(Y52:AG52,"0.00"))&amp;";")</f>
        <v>1:19.69;10:18.26;25:12.27;50:9.71;100:8.72;250:8.06;500:7.10;750:6.83;1000:6.51;</v>
      </c>
      <c r="Y52" s="56">
        <f>'Blocking Prices'!$C$15+O52</f>
        <v>19.690000000000001</v>
      </c>
      <c r="Z52" s="56">
        <f>'Blocking Prices'!$D$15+P52</f>
        <v>18.259999999999998</v>
      </c>
      <c r="AA52" s="56">
        <f>'Blocking Prices'!$E$15+Q52</f>
        <v>12.27</v>
      </c>
      <c r="AB52" s="56">
        <f>'Blocking Prices'!$F$15+R52</f>
        <v>9.7100000000000009</v>
      </c>
      <c r="AC52" s="56">
        <f>'Blocking Prices'!$G$15+S52</f>
        <v>8.7200000000000006</v>
      </c>
      <c r="AD52" s="56">
        <f>'Blocking Prices'!$H$15+T52</f>
        <v>8.0599999999999987</v>
      </c>
      <c r="AE52" s="56">
        <f>'Blocking Prices'!$I$15+U52</f>
        <v>7.1000000000000005</v>
      </c>
      <c r="AF52" s="56">
        <f>'Blocking Prices'!$J$15+V52</f>
        <v>6.83</v>
      </c>
      <c r="AG52" s="56">
        <f>'Blocking Prices'!$K$15+W52</f>
        <v>6.51</v>
      </c>
      <c r="AH52" s="11"/>
      <c r="AI52" s="11"/>
      <c r="AJ52" s="11"/>
      <c r="AK52" s="11"/>
      <c r="AL52" s="12" t="s">
        <v>872</v>
      </c>
      <c r="AM52" s="12" t="s">
        <v>873</v>
      </c>
      <c r="AN52" s="12" t="str">
        <f>IFERROR(_xlfn.LET(_xlpm.v,INDEX('product-export-27-8-2026'!$A:$AJ,MATCH($A52,'product-export-27-8-2026'!$A:$A,0),MATCH(AN$1,'product-export-27-8-2026'!$1:$1,0)),IF(_xlpm.v="","",_xlpm.v)),"")</f>
        <v/>
      </c>
      <c r="AO52" s="12" t="str">
        <f>IFERROR(_xlfn.LET(_xlpm.v,INDEX('product-export-27-8-2026'!$A:$AJ,MATCH($A52,'product-export-27-8-2026'!$A:$A,0),MATCH(AO$1,'product-export-27-8-2026'!$1:$1,0)),IF(_xlpm.v="","",_xlpm.v)),"")</f>
        <v/>
      </c>
      <c r="AP52" s="12" t="str">
        <f>IFERROR(_xlfn.LET(_xlpm.v,INDEX('product-export-27-8-2026'!$A:$AJ,MATCH($A52,'product-export-27-8-2026'!$A:$A,0),MATCH(AP$1,'product-export-27-8-2026'!$1:$1,0)),IF(_xlpm.v="","",_xlpm.v)),"")</f>
        <v/>
      </c>
      <c r="AQ52" s="12" t="str">
        <f>IFERROR(_xlfn.LET(_xlpm.v,INDEX('product-export-27-8-2026'!$A:$AJ,MATCH($A52,'product-export-27-8-2026'!$A:$A,0),MATCH(AQ$1,'product-export-27-8-2026'!$1:$1,0)),IF(_xlpm.v="","",_xlpm.v)),"")</f>
        <v/>
      </c>
      <c r="AR52" s="12" t="str">
        <f>IFERROR(_xlfn.LET(_xlpm.v,INDEX('product-export-27-8-2026'!$A:$AJ,MATCH($A52,'product-export-27-8-2026'!$A:$A,0),MATCH(AR$1,'product-export-27-8-2026'!$1:$1,0)),IF(_xlpm.v="","",_xlpm.v)),"")</f>
        <v>Diaries &gt; A5 Diary, Diaries, Diaries &gt; A5 Diary &gt; DPP, Foil blocked, Richmond Collection</v>
      </c>
      <c r="AS52" s="12" t="str">
        <f>IFERROR(_xlfn.LET(_xlpm.v,INDEX('product-export-27-8-2026'!$A:$AJ,MATCH($A52,'product-export-27-8-2026'!$A:$A,0),MATCH(AS$1,'product-export-27-8-2026'!$1:$1,0)),IF(_xlpm.v="","",_xlpm.v)),"")</f>
        <v>Richmond-FineGrain-A5-Desk-Diary-Day-per-Page-1</v>
      </c>
      <c r="BC52" s="15"/>
    </row>
    <row r="53" spans="1:55" s="14" customFormat="1" ht="27.6" customHeight="1" x14ac:dyDescent="0.3">
      <c r="A53" s="11">
        <v>935</v>
      </c>
      <c r="B53" s="12" t="s">
        <v>384</v>
      </c>
      <c r="C53" s="12" t="s">
        <v>18</v>
      </c>
      <c r="D53" s="12" t="s">
        <v>94</v>
      </c>
      <c r="E53" s="13" t="s">
        <v>94</v>
      </c>
      <c r="F53" s="18" t="s">
        <v>1542</v>
      </c>
      <c r="G53" s="12" t="s">
        <v>14</v>
      </c>
      <c r="H53" s="12" t="s">
        <v>731</v>
      </c>
      <c r="I53" s="18" t="s">
        <v>41</v>
      </c>
      <c r="J53" s="18" t="s">
        <v>87</v>
      </c>
      <c r="K53" s="12" t="s">
        <v>1665</v>
      </c>
      <c r="L53" s="60">
        <v>0.48</v>
      </c>
      <c r="M53" s="17">
        <v>12.5</v>
      </c>
      <c r="N53" s="10" t="s">
        <v>74</v>
      </c>
      <c r="O53" s="56">
        <f t="shared" si="4"/>
        <v>12.67</v>
      </c>
      <c r="P53" s="56">
        <f t="shared" si="4"/>
        <v>12.16</v>
      </c>
      <c r="Q53" s="56">
        <f t="shared" si="4"/>
        <v>6.9</v>
      </c>
      <c r="R53" s="56">
        <f t="shared" si="4"/>
        <v>5.98</v>
      </c>
      <c r="S53" s="56">
        <f t="shared" si="4"/>
        <v>5.35</v>
      </c>
      <c r="T53" s="56">
        <f t="shared" si="4"/>
        <v>4.83</v>
      </c>
      <c r="U53" s="56">
        <f t="shared" si="4"/>
        <v>4.4800000000000004</v>
      </c>
      <c r="V53" s="56">
        <f t="shared" si="4"/>
        <v>4.24</v>
      </c>
      <c r="W53" s="56">
        <f t="shared" si="4"/>
        <v>3.91</v>
      </c>
      <c r="X53" s="30" t="str" cm="1">
        <f t="array" ref="X53">IF(Y53="","",_xlfn.TEXTJOIN(";",TRUE,SUBSTITUTE($Y$1:$AG$1,"Qty ","")&amp;":"&amp;TEXT(Y53:AG53,"0.00"))&amp;";")</f>
        <v>1:17.89;10:16.56;25:10.47;50:8.95;100:8.08;250:7.21;500:6.85;750:6.55;1000:6.16;</v>
      </c>
      <c r="Y53" s="56">
        <f>'Blocking Prices'!$C$15+O53</f>
        <v>17.89</v>
      </c>
      <c r="Z53" s="56">
        <f>'Blocking Prices'!$D$15+P53</f>
        <v>16.560000000000002</v>
      </c>
      <c r="AA53" s="56">
        <f>'Blocking Prices'!$E$15+Q53</f>
        <v>10.47</v>
      </c>
      <c r="AB53" s="56">
        <f>'Blocking Prices'!$F$15+R53</f>
        <v>8.9500000000000011</v>
      </c>
      <c r="AC53" s="56">
        <f>'Blocking Prices'!$G$15+S53</f>
        <v>8.08</v>
      </c>
      <c r="AD53" s="56">
        <f>'Blocking Prices'!$H$15+T53</f>
        <v>7.21</v>
      </c>
      <c r="AE53" s="56">
        <f>'Blocking Prices'!$I$15+U53</f>
        <v>6.8500000000000005</v>
      </c>
      <c r="AF53" s="56">
        <f>'Blocking Prices'!$J$15+V53</f>
        <v>6.5500000000000007</v>
      </c>
      <c r="AG53" s="56">
        <f>'Blocking Prices'!$K$15+W53</f>
        <v>6.16</v>
      </c>
      <c r="AH53" s="11"/>
      <c r="AI53" s="11"/>
      <c r="AJ53" s="11"/>
      <c r="AK53" s="11"/>
      <c r="AL53" s="12" t="s">
        <v>864</v>
      </c>
      <c r="AM53" s="12" t="s">
        <v>865</v>
      </c>
      <c r="AN53" s="12" t="str">
        <f>IFERROR(_xlfn.LET(_xlpm.v,INDEX('product-export-27-8-2026'!$A:$AJ,MATCH($A53,'product-export-27-8-2026'!$A:$A,0),MATCH(AN$1,'product-export-27-8-2026'!$1:$1,0)),IF(_xlpm.v="","",_xlpm.v)),"")</f>
        <v/>
      </c>
      <c r="AO53" s="12" t="str">
        <f>IFERROR(_xlfn.LET(_xlpm.v,INDEX('product-export-27-8-2026'!$A:$AJ,MATCH($A53,'product-export-27-8-2026'!$A:$A,0),MATCH(AO$1,'product-export-27-8-2026'!$1:$1,0)),IF(_xlpm.v="","",_xlpm.v)),"")</f>
        <v/>
      </c>
      <c r="AP53" s="12" t="str">
        <f>IFERROR(_xlfn.LET(_xlpm.v,INDEX('product-export-27-8-2026'!$A:$AJ,MATCH($A53,'product-export-27-8-2026'!$A:$A,0),MATCH(AP$1,'product-export-27-8-2026'!$1:$1,0)),IF(_xlpm.v="","",_xlpm.v)),"")</f>
        <v/>
      </c>
      <c r="AQ53" s="12" t="str">
        <f>IFERROR(_xlfn.LET(_xlpm.v,INDEX('product-export-27-8-2026'!$A:$AJ,MATCH($A53,'product-export-27-8-2026'!$A:$A,0),MATCH(AQ$1,'product-export-27-8-2026'!$1:$1,0)),IF(_xlpm.v="","",_xlpm.v)),"")</f>
        <v/>
      </c>
      <c r="AR53" s="12" t="str">
        <f>IFERROR(_xlfn.LET(_xlpm.v,INDEX('product-export-27-8-2026'!$A:$AJ,MATCH($A53,'product-export-27-8-2026'!$A:$A,0),MATCH(AR$1,'product-export-27-8-2026'!$1:$1,0)),IF(_xlpm.v="","",_xlpm.v)),"")</f>
        <v>Diaries &gt; A5 Diary, Diaries, Diaries &gt; A5 Diary &gt; DPP, Foil blocked, Richmond Collection</v>
      </c>
      <c r="AS53" s="12" t="str">
        <f>IFERROR(_xlfn.LET(_xlpm.v,INDEX('product-export-27-8-2026'!$A:$AJ,MATCH($A53,'product-export-27-8-2026'!$A:$A,0),MATCH(AS$1,'product-export-27-8-2026'!$1:$1,0)),IF(_xlpm.v="","",_xlpm.v)),"")</f>
        <v>Richmond-FineGrain-A5-Desk-Diary-Day-per-Page</v>
      </c>
      <c r="BC53" s="15"/>
    </row>
    <row r="54" spans="1:55" s="14" customFormat="1" ht="27.6" customHeight="1" x14ac:dyDescent="0.3">
      <c r="A54" s="11">
        <v>939</v>
      </c>
      <c r="B54" s="12" t="s">
        <v>385</v>
      </c>
      <c r="C54" s="12" t="s">
        <v>18</v>
      </c>
      <c r="D54" s="12" t="s">
        <v>1549</v>
      </c>
      <c r="E54" s="13" t="s">
        <v>95</v>
      </c>
      <c r="F54" s="18" t="s">
        <v>88</v>
      </c>
      <c r="G54" s="12" t="s">
        <v>14</v>
      </c>
      <c r="H54" s="12" t="s">
        <v>731</v>
      </c>
      <c r="I54" s="18" t="s">
        <v>41</v>
      </c>
      <c r="J54" s="18" t="s">
        <v>91</v>
      </c>
      <c r="K54" s="12" t="s">
        <v>1665</v>
      </c>
      <c r="L54" s="60">
        <v>0.48</v>
      </c>
      <c r="M54" s="17">
        <v>14.99</v>
      </c>
      <c r="N54" s="10" t="s">
        <v>89</v>
      </c>
      <c r="O54" s="56">
        <f t="shared" si="4"/>
        <v>14.47</v>
      </c>
      <c r="P54" s="56">
        <f t="shared" si="4"/>
        <v>13.86</v>
      </c>
      <c r="Q54" s="56">
        <f t="shared" si="4"/>
        <v>8.6999999999999993</v>
      </c>
      <c r="R54" s="56">
        <f t="shared" si="4"/>
        <v>6.74</v>
      </c>
      <c r="S54" s="56">
        <f t="shared" si="4"/>
        <v>5.99</v>
      </c>
      <c r="T54" s="56">
        <f t="shared" si="4"/>
        <v>5.68</v>
      </c>
      <c r="U54" s="56">
        <f t="shared" si="4"/>
        <v>4.7300000000000004</v>
      </c>
      <c r="V54" s="56">
        <f t="shared" si="4"/>
        <v>4.5199999999999996</v>
      </c>
      <c r="W54" s="56">
        <f t="shared" si="4"/>
        <v>4.26</v>
      </c>
      <c r="X54" s="30" t="str" cm="1">
        <f t="array" ref="X54">IF(Y54="","",_xlfn.TEXTJOIN(";",TRUE,SUBSTITUTE($Y$1:$AG$1,"Qty ","")&amp;":"&amp;TEXT(Y54:AG54,"0.00"))&amp;";")</f>
        <v>1:19.69;10:18.26;25:12.27;50:9.71;100:8.72;250:8.06;500:7.10;750:6.83;1000:6.51;</v>
      </c>
      <c r="Y54" s="56">
        <f>'Blocking Prices'!$C$15+O54</f>
        <v>19.690000000000001</v>
      </c>
      <c r="Z54" s="56">
        <f>'Blocking Prices'!$D$15+P54</f>
        <v>18.259999999999998</v>
      </c>
      <c r="AA54" s="56">
        <f>'Blocking Prices'!$E$15+Q54</f>
        <v>12.27</v>
      </c>
      <c r="AB54" s="56">
        <f>'Blocking Prices'!$F$15+R54</f>
        <v>9.7100000000000009</v>
      </c>
      <c r="AC54" s="56">
        <f>'Blocking Prices'!$G$15+S54</f>
        <v>8.7200000000000006</v>
      </c>
      <c r="AD54" s="56">
        <f>'Blocking Prices'!$H$15+T54</f>
        <v>8.0599999999999987</v>
      </c>
      <c r="AE54" s="56">
        <f>'Blocking Prices'!$I$15+U54</f>
        <v>7.1000000000000005</v>
      </c>
      <c r="AF54" s="56">
        <f>'Blocking Prices'!$J$15+V54</f>
        <v>6.83</v>
      </c>
      <c r="AG54" s="56">
        <f>'Blocking Prices'!$K$15+W54</f>
        <v>6.51</v>
      </c>
      <c r="AH54" s="11"/>
      <c r="AI54" s="11"/>
      <c r="AJ54" s="11"/>
      <c r="AK54" s="11"/>
      <c r="AL54" s="12" t="s">
        <v>872</v>
      </c>
      <c r="AM54" s="12" t="s">
        <v>873</v>
      </c>
      <c r="AN54" s="12" t="str">
        <f>IFERROR(_xlfn.LET(_xlpm.v,INDEX('product-export-27-8-2026'!$A:$AJ,MATCH($A54,'product-export-27-8-2026'!$A:$A,0),MATCH(AN$1,'product-export-27-8-2026'!$1:$1,0)),IF(_xlpm.v="","",_xlpm.v)),"")</f>
        <v/>
      </c>
      <c r="AO54" s="12" t="str">
        <f>IFERROR(_xlfn.LET(_xlpm.v,INDEX('product-export-27-8-2026'!$A:$AJ,MATCH($A54,'product-export-27-8-2026'!$A:$A,0),MATCH(AO$1,'product-export-27-8-2026'!$1:$1,0)),IF(_xlpm.v="","",_xlpm.v)),"")</f>
        <v/>
      </c>
      <c r="AP54" s="12" t="str">
        <f>IFERROR(_xlfn.LET(_xlpm.v,INDEX('product-export-27-8-2026'!$A:$AJ,MATCH($A54,'product-export-27-8-2026'!$A:$A,0),MATCH(AP$1,'product-export-27-8-2026'!$1:$1,0)),IF(_xlpm.v="","",_xlpm.v)),"")</f>
        <v/>
      </c>
      <c r="AQ54" s="12" t="str">
        <f>IFERROR(_xlfn.LET(_xlpm.v,INDEX('product-export-27-8-2026'!$A:$AJ,MATCH($A54,'product-export-27-8-2026'!$A:$A,0),MATCH(AQ$1,'product-export-27-8-2026'!$1:$1,0)),IF(_xlpm.v="","",_xlpm.v)),"")</f>
        <v/>
      </c>
      <c r="AR54" s="12" t="str">
        <f>IFERROR(_xlfn.LET(_xlpm.v,INDEX('product-export-27-8-2026'!$A:$AJ,MATCH($A54,'product-export-27-8-2026'!$A:$A,0),MATCH(AR$1,'product-export-27-8-2026'!$1:$1,0)),IF(_xlpm.v="","",_xlpm.v)),"")</f>
        <v>Diaries &gt; A5 Diary, Diaries, Diaries &gt; A5 Diary &gt; DPP, Foil blocked, Richmond Collection</v>
      </c>
      <c r="AS54" s="12" t="str">
        <f>IFERROR(_xlfn.LET(_xlpm.v,INDEX('product-export-27-8-2026'!$A:$AJ,MATCH($A54,'product-export-27-8-2026'!$A:$A,0),MATCH(AS$1,'product-export-27-8-2026'!$1:$1,0)),IF(_xlpm.v="","",_xlpm.v)),"")</f>
        <v>Richmond-FineGrain-A5-Desk-Diary-Day-per-Page-1</v>
      </c>
      <c r="BC54" s="15"/>
    </row>
    <row r="55" spans="1:55" s="14" customFormat="1" ht="27.6" customHeight="1" x14ac:dyDescent="0.3">
      <c r="A55" s="11">
        <v>941</v>
      </c>
      <c r="B55" s="12" t="s">
        <v>386</v>
      </c>
      <c r="C55" s="12" t="s">
        <v>18</v>
      </c>
      <c r="D55" s="12" t="s">
        <v>96</v>
      </c>
      <c r="E55" s="13" t="s">
        <v>96</v>
      </c>
      <c r="F55" s="18" t="s">
        <v>1542</v>
      </c>
      <c r="G55" s="12" t="s">
        <v>14</v>
      </c>
      <c r="H55" s="12" t="s">
        <v>1585</v>
      </c>
      <c r="I55" s="18" t="s">
        <v>41</v>
      </c>
      <c r="J55" s="18" t="s">
        <v>87</v>
      </c>
      <c r="K55" s="12" t="s">
        <v>1665</v>
      </c>
      <c r="L55" s="60">
        <v>0.48</v>
      </c>
      <c r="M55" s="17">
        <v>12.5</v>
      </c>
      <c r="N55" s="10" t="s">
        <v>74</v>
      </c>
      <c r="O55" s="56">
        <f t="shared" si="4"/>
        <v>12.67</v>
      </c>
      <c r="P55" s="56">
        <f t="shared" si="4"/>
        <v>12.16</v>
      </c>
      <c r="Q55" s="56">
        <f t="shared" si="4"/>
        <v>6.9</v>
      </c>
      <c r="R55" s="56">
        <f t="shared" si="4"/>
        <v>5.98</v>
      </c>
      <c r="S55" s="56">
        <f t="shared" si="4"/>
        <v>5.35</v>
      </c>
      <c r="T55" s="56">
        <f t="shared" si="4"/>
        <v>4.83</v>
      </c>
      <c r="U55" s="56">
        <f t="shared" si="4"/>
        <v>4.4800000000000004</v>
      </c>
      <c r="V55" s="56">
        <f t="shared" si="4"/>
        <v>4.24</v>
      </c>
      <c r="W55" s="56">
        <f t="shared" si="4"/>
        <v>3.91</v>
      </c>
      <c r="X55" s="30" t="str" cm="1">
        <f t="array" ref="X55">IF(Y55="","",_xlfn.TEXTJOIN(";",TRUE,SUBSTITUTE($Y$1:$AG$1,"Qty ","")&amp;":"&amp;TEXT(Y55:AG55,"0.00"))&amp;";")</f>
        <v>1:17.89;10:16.56;25:10.47;50:8.95;100:8.08;250:7.21;500:6.85;750:6.55;1000:6.16;</v>
      </c>
      <c r="Y55" s="56">
        <f>'Blocking Prices'!$C$15+O55</f>
        <v>17.89</v>
      </c>
      <c r="Z55" s="56">
        <f>'Blocking Prices'!$D$15+P55</f>
        <v>16.560000000000002</v>
      </c>
      <c r="AA55" s="56">
        <f>'Blocking Prices'!$E$15+Q55</f>
        <v>10.47</v>
      </c>
      <c r="AB55" s="56">
        <f>'Blocking Prices'!$F$15+R55</f>
        <v>8.9500000000000011</v>
      </c>
      <c r="AC55" s="56">
        <f>'Blocking Prices'!$G$15+S55</f>
        <v>8.08</v>
      </c>
      <c r="AD55" s="56">
        <f>'Blocking Prices'!$H$15+T55</f>
        <v>7.21</v>
      </c>
      <c r="AE55" s="56">
        <f>'Blocking Prices'!$I$15+U55</f>
        <v>6.8500000000000005</v>
      </c>
      <c r="AF55" s="56">
        <f>'Blocking Prices'!$J$15+V55</f>
        <v>6.5500000000000007</v>
      </c>
      <c r="AG55" s="56">
        <f>'Blocking Prices'!$K$15+W55</f>
        <v>6.16</v>
      </c>
      <c r="AH55" s="11"/>
      <c r="AI55" s="11"/>
      <c r="AJ55" s="11"/>
      <c r="AK55" s="11"/>
      <c r="AL55" s="12" t="s">
        <v>864</v>
      </c>
      <c r="AM55" s="12" t="s">
        <v>865</v>
      </c>
      <c r="AN55" s="12" t="str">
        <f>IFERROR(_xlfn.LET(_xlpm.v,INDEX('product-export-27-8-2026'!$A:$AJ,MATCH($A55,'product-export-27-8-2026'!$A:$A,0),MATCH(AN$1,'product-export-27-8-2026'!$1:$1,0)),IF(_xlpm.v="","",_xlpm.v)),"")</f>
        <v/>
      </c>
      <c r="AO55" s="12" t="str">
        <f>IFERROR(_xlfn.LET(_xlpm.v,INDEX('product-export-27-8-2026'!$A:$AJ,MATCH($A55,'product-export-27-8-2026'!$A:$A,0),MATCH(AO$1,'product-export-27-8-2026'!$1:$1,0)),IF(_xlpm.v="","",_xlpm.v)),"")</f>
        <v/>
      </c>
      <c r="AP55" s="12" t="str">
        <f>IFERROR(_xlfn.LET(_xlpm.v,INDEX('product-export-27-8-2026'!$A:$AJ,MATCH($A55,'product-export-27-8-2026'!$A:$A,0),MATCH(AP$1,'product-export-27-8-2026'!$1:$1,0)),IF(_xlpm.v="","",_xlpm.v)),"")</f>
        <v/>
      </c>
      <c r="AQ55" s="12" t="str">
        <f>IFERROR(_xlfn.LET(_xlpm.v,INDEX('product-export-27-8-2026'!$A:$AJ,MATCH($A55,'product-export-27-8-2026'!$A:$A,0),MATCH(AQ$1,'product-export-27-8-2026'!$1:$1,0)),IF(_xlpm.v="","",_xlpm.v)),"")</f>
        <v/>
      </c>
      <c r="AR55" s="12" t="str">
        <f>IFERROR(_xlfn.LET(_xlpm.v,INDEX('product-export-27-8-2026'!$A:$AJ,MATCH($A55,'product-export-27-8-2026'!$A:$A,0),MATCH(AR$1,'product-export-27-8-2026'!$1:$1,0)),IF(_xlpm.v="","",_xlpm.v)),"")</f>
        <v>Diaries &gt; A5 Diary, Diaries, Diaries &gt; A5 Diary &gt; DPP, Foil blocked, Richmond Collection</v>
      </c>
      <c r="AS55" s="12" t="str">
        <f>IFERROR(_xlfn.LET(_xlpm.v,INDEX('product-export-27-8-2026'!$A:$AJ,MATCH($A55,'product-export-27-8-2026'!$A:$A,0),MATCH(AS$1,'product-export-27-8-2026'!$1:$1,0)),IF(_xlpm.v="","",_xlpm.v)),"")</f>
        <v>Richmond-FineGrain-A5-Desk-Diary-Day-per-Page</v>
      </c>
      <c r="BC55" s="15"/>
    </row>
    <row r="56" spans="1:55" s="14" customFormat="1" ht="27.6" customHeight="1" x14ac:dyDescent="0.3">
      <c r="A56" s="11">
        <v>945</v>
      </c>
      <c r="B56" s="12" t="s">
        <v>387</v>
      </c>
      <c r="C56" s="12" t="s">
        <v>18</v>
      </c>
      <c r="D56" s="12" t="s">
        <v>1550</v>
      </c>
      <c r="E56" s="13" t="s">
        <v>97</v>
      </c>
      <c r="F56" s="18" t="s">
        <v>88</v>
      </c>
      <c r="G56" s="12" t="s">
        <v>14</v>
      </c>
      <c r="H56" s="12" t="s">
        <v>1585</v>
      </c>
      <c r="I56" s="18" t="s">
        <v>41</v>
      </c>
      <c r="J56" s="18" t="s">
        <v>91</v>
      </c>
      <c r="K56" s="12" t="s">
        <v>1665</v>
      </c>
      <c r="L56" s="60">
        <v>0.48</v>
      </c>
      <c r="M56" s="17">
        <v>14.99</v>
      </c>
      <c r="N56" s="10" t="s">
        <v>89</v>
      </c>
      <c r="O56" s="56">
        <f t="shared" si="4"/>
        <v>14.47</v>
      </c>
      <c r="P56" s="56">
        <f t="shared" si="4"/>
        <v>13.86</v>
      </c>
      <c r="Q56" s="56">
        <f t="shared" si="4"/>
        <v>8.6999999999999993</v>
      </c>
      <c r="R56" s="56">
        <f t="shared" si="4"/>
        <v>6.74</v>
      </c>
      <c r="S56" s="56">
        <f t="shared" si="4"/>
        <v>5.99</v>
      </c>
      <c r="T56" s="56">
        <f t="shared" si="4"/>
        <v>5.68</v>
      </c>
      <c r="U56" s="56">
        <f t="shared" si="4"/>
        <v>4.7300000000000004</v>
      </c>
      <c r="V56" s="56">
        <f t="shared" si="4"/>
        <v>4.5199999999999996</v>
      </c>
      <c r="W56" s="56">
        <f t="shared" si="4"/>
        <v>4.26</v>
      </c>
      <c r="X56" s="30" t="str" cm="1">
        <f t="array" ref="X56">IF(Y56="","",_xlfn.TEXTJOIN(";",TRUE,SUBSTITUTE($Y$1:$AG$1,"Qty ","")&amp;":"&amp;TEXT(Y56:AG56,"0.00"))&amp;";")</f>
        <v>1:19.69;10:18.26;25:12.27;50:9.71;100:8.72;250:8.06;500:7.10;750:6.83;1000:6.51;</v>
      </c>
      <c r="Y56" s="56">
        <f>'Blocking Prices'!$C$15+O56</f>
        <v>19.690000000000001</v>
      </c>
      <c r="Z56" s="56">
        <f>'Blocking Prices'!$D$15+P56</f>
        <v>18.259999999999998</v>
      </c>
      <c r="AA56" s="56">
        <f>'Blocking Prices'!$E$15+Q56</f>
        <v>12.27</v>
      </c>
      <c r="AB56" s="56">
        <f>'Blocking Prices'!$F$15+R56</f>
        <v>9.7100000000000009</v>
      </c>
      <c r="AC56" s="56">
        <f>'Blocking Prices'!$G$15+S56</f>
        <v>8.7200000000000006</v>
      </c>
      <c r="AD56" s="56">
        <f>'Blocking Prices'!$H$15+T56</f>
        <v>8.0599999999999987</v>
      </c>
      <c r="AE56" s="56">
        <f>'Blocking Prices'!$I$15+U56</f>
        <v>7.1000000000000005</v>
      </c>
      <c r="AF56" s="56">
        <f>'Blocking Prices'!$J$15+V56</f>
        <v>6.83</v>
      </c>
      <c r="AG56" s="56">
        <f>'Blocking Prices'!$K$15+W56</f>
        <v>6.51</v>
      </c>
      <c r="AH56" s="11"/>
      <c r="AI56" s="11"/>
      <c r="AJ56" s="11"/>
      <c r="AK56" s="11"/>
      <c r="AL56" s="12" t="s">
        <v>872</v>
      </c>
      <c r="AM56" s="12" t="s">
        <v>873</v>
      </c>
      <c r="AN56" s="12" t="str">
        <f>IFERROR(_xlfn.LET(_xlpm.v,INDEX('product-export-27-8-2026'!$A:$AJ,MATCH($A56,'product-export-27-8-2026'!$A:$A,0),MATCH(AN$1,'product-export-27-8-2026'!$1:$1,0)),IF(_xlpm.v="","",_xlpm.v)),"")</f>
        <v/>
      </c>
      <c r="AO56" s="12" t="str">
        <f>IFERROR(_xlfn.LET(_xlpm.v,INDEX('product-export-27-8-2026'!$A:$AJ,MATCH($A56,'product-export-27-8-2026'!$A:$A,0),MATCH(AO$1,'product-export-27-8-2026'!$1:$1,0)),IF(_xlpm.v="","",_xlpm.v)),"")</f>
        <v/>
      </c>
      <c r="AP56" s="12" t="str">
        <f>IFERROR(_xlfn.LET(_xlpm.v,INDEX('product-export-27-8-2026'!$A:$AJ,MATCH($A56,'product-export-27-8-2026'!$A:$A,0),MATCH(AP$1,'product-export-27-8-2026'!$1:$1,0)),IF(_xlpm.v="","",_xlpm.v)),"")</f>
        <v/>
      </c>
      <c r="AQ56" s="12" t="str">
        <f>IFERROR(_xlfn.LET(_xlpm.v,INDEX('product-export-27-8-2026'!$A:$AJ,MATCH($A56,'product-export-27-8-2026'!$A:$A,0),MATCH(AQ$1,'product-export-27-8-2026'!$1:$1,0)),IF(_xlpm.v="","",_xlpm.v)),"")</f>
        <v/>
      </c>
      <c r="AR56" s="12" t="str">
        <f>IFERROR(_xlfn.LET(_xlpm.v,INDEX('product-export-27-8-2026'!$A:$AJ,MATCH($A56,'product-export-27-8-2026'!$A:$A,0),MATCH(AR$1,'product-export-27-8-2026'!$1:$1,0)),IF(_xlpm.v="","",_xlpm.v)),"")</f>
        <v>Diaries &gt; A5 Diary, Diaries, Diaries &gt; A5 Diary &gt; DPP, Foil blocked, Richmond Collection</v>
      </c>
      <c r="AS56" s="12" t="str">
        <f>IFERROR(_xlfn.LET(_xlpm.v,INDEX('product-export-27-8-2026'!$A:$AJ,MATCH($A56,'product-export-27-8-2026'!$A:$A,0),MATCH(AS$1,'product-export-27-8-2026'!$1:$1,0)),IF(_xlpm.v="","",_xlpm.v)),"")</f>
        <v>Richmond-FineGrain-A5-Desk-Diary-Day-per-Page-1</v>
      </c>
      <c r="BC56" s="15"/>
    </row>
    <row r="57" spans="1:55" s="14" customFormat="1" ht="27.6" customHeight="1" x14ac:dyDescent="0.3">
      <c r="A57" s="11">
        <v>946</v>
      </c>
      <c r="B57" s="12" t="s">
        <v>388</v>
      </c>
      <c r="C57" s="12" t="s">
        <v>18</v>
      </c>
      <c r="D57" s="12" t="s">
        <v>1551</v>
      </c>
      <c r="E57" s="13" t="s">
        <v>98</v>
      </c>
      <c r="F57" s="18" t="s">
        <v>88</v>
      </c>
      <c r="G57" s="12" t="s">
        <v>14</v>
      </c>
      <c r="H57" s="12" t="s">
        <v>696</v>
      </c>
      <c r="I57" s="18" t="s">
        <v>41</v>
      </c>
      <c r="J57" s="18" t="s">
        <v>91</v>
      </c>
      <c r="K57" s="12" t="s">
        <v>1665</v>
      </c>
      <c r="L57" s="60">
        <v>0.48</v>
      </c>
      <c r="M57" s="17">
        <v>14.99</v>
      </c>
      <c r="N57" s="10" t="s">
        <v>89</v>
      </c>
      <c r="O57" s="56">
        <f t="shared" si="4"/>
        <v>14.47</v>
      </c>
      <c r="P57" s="56">
        <f t="shared" si="4"/>
        <v>13.86</v>
      </c>
      <c r="Q57" s="56">
        <f t="shared" si="4"/>
        <v>8.6999999999999993</v>
      </c>
      <c r="R57" s="56">
        <f t="shared" si="4"/>
        <v>6.74</v>
      </c>
      <c r="S57" s="56">
        <f t="shared" si="4"/>
        <v>5.99</v>
      </c>
      <c r="T57" s="56">
        <f t="shared" si="4"/>
        <v>5.68</v>
      </c>
      <c r="U57" s="56">
        <f t="shared" si="4"/>
        <v>4.7300000000000004</v>
      </c>
      <c r="V57" s="56">
        <f t="shared" si="4"/>
        <v>4.5199999999999996</v>
      </c>
      <c r="W57" s="56">
        <f t="shared" si="4"/>
        <v>4.26</v>
      </c>
      <c r="X57" s="30" t="str" cm="1">
        <f t="array" ref="X57">IF(Y57="","",_xlfn.TEXTJOIN(";",TRUE,SUBSTITUTE($Y$1:$AG$1,"Qty ","")&amp;":"&amp;TEXT(Y57:AG57,"0.00"))&amp;";")</f>
        <v>1:19.69;10:18.26;25:12.27;50:9.71;100:8.72;250:8.06;500:7.10;750:6.83;1000:6.51;</v>
      </c>
      <c r="Y57" s="56">
        <f>'Blocking Prices'!$C$15+O57</f>
        <v>19.690000000000001</v>
      </c>
      <c r="Z57" s="56">
        <f>'Blocking Prices'!$D$15+P57</f>
        <v>18.259999999999998</v>
      </c>
      <c r="AA57" s="56">
        <f>'Blocking Prices'!$E$15+Q57</f>
        <v>12.27</v>
      </c>
      <c r="AB57" s="56">
        <f>'Blocking Prices'!$F$15+R57</f>
        <v>9.7100000000000009</v>
      </c>
      <c r="AC57" s="56">
        <f>'Blocking Prices'!$G$15+S57</f>
        <v>8.7200000000000006</v>
      </c>
      <c r="AD57" s="56">
        <f>'Blocking Prices'!$H$15+T57</f>
        <v>8.0599999999999987</v>
      </c>
      <c r="AE57" s="56">
        <f>'Blocking Prices'!$I$15+U57</f>
        <v>7.1000000000000005</v>
      </c>
      <c r="AF57" s="56">
        <f>'Blocking Prices'!$J$15+V57</f>
        <v>6.83</v>
      </c>
      <c r="AG57" s="56">
        <f>'Blocking Prices'!$K$15+W57</f>
        <v>6.51</v>
      </c>
      <c r="AH57" s="11"/>
      <c r="AI57" s="11"/>
      <c r="AJ57" s="11"/>
      <c r="AK57" s="11"/>
      <c r="AL57" s="12" t="s">
        <v>886</v>
      </c>
      <c r="AM57" s="12" t="s">
        <v>873</v>
      </c>
      <c r="AN57" s="12" t="str">
        <f>IFERROR(_xlfn.LET(_xlpm.v,INDEX('product-export-27-8-2026'!$A:$AJ,MATCH($A57,'product-export-27-8-2026'!$A:$A,0),MATCH(AN$1,'product-export-27-8-2026'!$1:$1,0)),IF(_xlpm.v="","",_xlpm.v)),"")</f>
        <v/>
      </c>
      <c r="AO57" s="12" t="str">
        <f>IFERROR(_xlfn.LET(_xlpm.v,INDEX('product-export-27-8-2026'!$A:$AJ,MATCH($A57,'product-export-27-8-2026'!$A:$A,0),MATCH(AO$1,'product-export-27-8-2026'!$1:$1,0)),IF(_xlpm.v="","",_xlpm.v)),"")</f>
        <v/>
      </c>
      <c r="AP57" s="12" t="str">
        <f>IFERROR(_xlfn.LET(_xlpm.v,INDEX('product-export-27-8-2026'!$A:$AJ,MATCH($A57,'product-export-27-8-2026'!$A:$A,0),MATCH(AP$1,'product-export-27-8-2026'!$1:$1,0)),IF(_xlpm.v="","",_xlpm.v)),"")</f>
        <v/>
      </c>
      <c r="AQ57" s="12" t="str">
        <f>IFERROR(_xlfn.LET(_xlpm.v,INDEX('product-export-27-8-2026'!$A:$AJ,MATCH($A57,'product-export-27-8-2026'!$A:$A,0),MATCH(AQ$1,'product-export-27-8-2026'!$1:$1,0)),IF(_xlpm.v="","",_xlpm.v)),"")</f>
        <v/>
      </c>
      <c r="AR57" s="12" t="str">
        <f>IFERROR(_xlfn.LET(_xlpm.v,INDEX('product-export-27-8-2026'!$A:$AJ,MATCH($A57,'product-export-27-8-2026'!$A:$A,0),MATCH(AR$1,'product-export-27-8-2026'!$1:$1,0)),IF(_xlpm.v="","",_xlpm.v)),"")</f>
        <v>Diaries &gt; A5 Diary, Diaries, Diaries &gt; A5 Diary &gt; DPP, Foil blocked, Richmond Collection</v>
      </c>
      <c r="AS57" s="12" t="str">
        <f>IFERROR(_xlfn.LET(_xlpm.v,INDEX('product-export-27-8-2026'!$A:$AJ,MATCH($A57,'product-export-27-8-2026'!$A:$A,0),MATCH(AS$1,'product-export-27-8-2026'!$1:$1,0)),IF(_xlpm.v="","",_xlpm.v)),"")</f>
        <v>Richmond-FineGrain-A5-Desk-Diary-Day-per-Page-1</v>
      </c>
      <c r="BC57" s="15"/>
    </row>
    <row r="58" spans="1:55" s="14" customFormat="1" ht="27.6" customHeight="1" x14ac:dyDescent="0.3">
      <c r="A58" s="11">
        <v>950</v>
      </c>
      <c r="B58" s="12" t="s">
        <v>389</v>
      </c>
      <c r="C58" s="12" t="s">
        <v>18</v>
      </c>
      <c r="D58" s="12" t="s">
        <v>99</v>
      </c>
      <c r="E58" s="13" t="s">
        <v>99</v>
      </c>
      <c r="F58" s="18" t="s">
        <v>1542</v>
      </c>
      <c r="G58" s="12" t="s">
        <v>14</v>
      </c>
      <c r="H58" s="12" t="s">
        <v>696</v>
      </c>
      <c r="I58" s="18" t="s">
        <v>41</v>
      </c>
      <c r="J58" s="18" t="s">
        <v>87</v>
      </c>
      <c r="K58" s="12" t="s">
        <v>1665</v>
      </c>
      <c r="L58" s="60">
        <v>0.48</v>
      </c>
      <c r="M58" s="17">
        <v>12.5</v>
      </c>
      <c r="N58" s="10" t="s">
        <v>74</v>
      </c>
      <c r="O58" s="56">
        <f t="shared" si="4"/>
        <v>12.67</v>
      </c>
      <c r="P58" s="56">
        <f t="shared" si="4"/>
        <v>12.16</v>
      </c>
      <c r="Q58" s="56">
        <f t="shared" si="4"/>
        <v>6.9</v>
      </c>
      <c r="R58" s="56">
        <f t="shared" si="4"/>
        <v>5.98</v>
      </c>
      <c r="S58" s="56">
        <f t="shared" si="4"/>
        <v>5.35</v>
      </c>
      <c r="T58" s="56">
        <f t="shared" si="4"/>
        <v>4.83</v>
      </c>
      <c r="U58" s="56">
        <f t="shared" si="4"/>
        <v>4.4800000000000004</v>
      </c>
      <c r="V58" s="56">
        <f t="shared" si="4"/>
        <v>4.24</v>
      </c>
      <c r="W58" s="56">
        <f t="shared" si="4"/>
        <v>3.91</v>
      </c>
      <c r="X58" s="30" t="str" cm="1">
        <f t="array" ref="X58">IF(Y58="","",_xlfn.TEXTJOIN(";",TRUE,SUBSTITUTE($Y$1:$AG$1,"Qty ","")&amp;":"&amp;TEXT(Y58:AG58,"0.00"))&amp;";")</f>
        <v>1:17.89;10:16.56;25:10.47;50:8.95;100:8.08;250:7.21;500:6.85;750:6.55;1000:6.16;</v>
      </c>
      <c r="Y58" s="56">
        <f>'Blocking Prices'!$C$15+O58</f>
        <v>17.89</v>
      </c>
      <c r="Z58" s="56">
        <f>'Blocking Prices'!$D$15+P58</f>
        <v>16.560000000000002</v>
      </c>
      <c r="AA58" s="56">
        <f>'Blocking Prices'!$E$15+Q58</f>
        <v>10.47</v>
      </c>
      <c r="AB58" s="56">
        <f>'Blocking Prices'!$F$15+R58</f>
        <v>8.9500000000000011</v>
      </c>
      <c r="AC58" s="56">
        <f>'Blocking Prices'!$G$15+S58</f>
        <v>8.08</v>
      </c>
      <c r="AD58" s="56">
        <f>'Blocking Prices'!$H$15+T58</f>
        <v>7.21</v>
      </c>
      <c r="AE58" s="56">
        <f>'Blocking Prices'!$I$15+U58</f>
        <v>6.8500000000000005</v>
      </c>
      <c r="AF58" s="56">
        <f>'Blocking Prices'!$J$15+V58</f>
        <v>6.5500000000000007</v>
      </c>
      <c r="AG58" s="56">
        <f>'Blocking Prices'!$K$15+W58</f>
        <v>6.16</v>
      </c>
      <c r="AH58" s="11"/>
      <c r="AI58" s="11"/>
      <c r="AJ58" s="11"/>
      <c r="AK58" s="11"/>
      <c r="AL58" s="12" t="s">
        <v>864</v>
      </c>
      <c r="AM58" s="12" t="s">
        <v>865</v>
      </c>
      <c r="AN58" s="12" t="str">
        <f>IFERROR(_xlfn.LET(_xlpm.v,INDEX('product-export-27-8-2026'!$A:$AJ,MATCH($A58,'product-export-27-8-2026'!$A:$A,0),MATCH(AN$1,'product-export-27-8-2026'!$1:$1,0)),IF(_xlpm.v="","",_xlpm.v)),"")</f>
        <v/>
      </c>
      <c r="AO58" s="12" t="str">
        <f>IFERROR(_xlfn.LET(_xlpm.v,INDEX('product-export-27-8-2026'!$A:$AJ,MATCH($A58,'product-export-27-8-2026'!$A:$A,0),MATCH(AO$1,'product-export-27-8-2026'!$1:$1,0)),IF(_xlpm.v="","",_xlpm.v)),"")</f>
        <v/>
      </c>
      <c r="AP58" s="12" t="str">
        <f>IFERROR(_xlfn.LET(_xlpm.v,INDEX('product-export-27-8-2026'!$A:$AJ,MATCH($A58,'product-export-27-8-2026'!$A:$A,0),MATCH(AP$1,'product-export-27-8-2026'!$1:$1,0)),IF(_xlpm.v="","",_xlpm.v)),"")</f>
        <v/>
      </c>
      <c r="AQ58" s="12" t="str">
        <f>IFERROR(_xlfn.LET(_xlpm.v,INDEX('product-export-27-8-2026'!$A:$AJ,MATCH($A58,'product-export-27-8-2026'!$A:$A,0),MATCH(AQ$1,'product-export-27-8-2026'!$1:$1,0)),IF(_xlpm.v="","",_xlpm.v)),"")</f>
        <v/>
      </c>
      <c r="AR58" s="12" t="str">
        <f>IFERROR(_xlfn.LET(_xlpm.v,INDEX('product-export-27-8-2026'!$A:$AJ,MATCH($A58,'product-export-27-8-2026'!$A:$A,0),MATCH(AR$1,'product-export-27-8-2026'!$1:$1,0)),IF(_xlpm.v="","",_xlpm.v)),"")</f>
        <v>Diaries &gt; A5 Diary, Diaries, Diaries &gt; A5 Diary &gt; DPP, Foil blocked, Richmond Collection</v>
      </c>
      <c r="AS58" s="12" t="str">
        <f>IFERROR(_xlfn.LET(_xlpm.v,INDEX('product-export-27-8-2026'!$A:$AJ,MATCH($A58,'product-export-27-8-2026'!$A:$A,0),MATCH(AS$1,'product-export-27-8-2026'!$1:$1,0)),IF(_xlpm.v="","",_xlpm.v)),"")</f>
        <v>Richmond-FineGrain-A5-Desk-Diary-Day-per-Page</v>
      </c>
      <c r="BC58" s="15"/>
    </row>
    <row r="59" spans="1:55" s="14" customFormat="1" ht="27.6" customHeight="1" x14ac:dyDescent="0.3">
      <c r="A59" s="11">
        <v>951</v>
      </c>
      <c r="B59" s="12" t="s">
        <v>390</v>
      </c>
      <c r="C59" s="12" t="s">
        <v>18</v>
      </c>
      <c r="D59" s="12" t="s">
        <v>100</v>
      </c>
      <c r="E59" s="13" t="s">
        <v>100</v>
      </c>
      <c r="F59" s="18" t="s">
        <v>1542</v>
      </c>
      <c r="G59" s="12" t="s">
        <v>14</v>
      </c>
      <c r="H59" s="12" t="s">
        <v>893</v>
      </c>
      <c r="I59" s="18" t="s">
        <v>41</v>
      </c>
      <c r="J59" s="18" t="s">
        <v>87</v>
      </c>
      <c r="K59" s="12" t="s">
        <v>1665</v>
      </c>
      <c r="L59" s="60">
        <v>0.48</v>
      </c>
      <c r="M59" s="17">
        <v>12.5</v>
      </c>
      <c r="N59" s="10" t="s">
        <v>74</v>
      </c>
      <c r="O59" s="56">
        <f t="shared" si="4"/>
        <v>12.67</v>
      </c>
      <c r="P59" s="56">
        <f t="shared" si="4"/>
        <v>12.16</v>
      </c>
      <c r="Q59" s="56">
        <f t="shared" si="4"/>
        <v>6.9</v>
      </c>
      <c r="R59" s="56">
        <f t="shared" si="4"/>
        <v>5.98</v>
      </c>
      <c r="S59" s="56">
        <f t="shared" si="4"/>
        <v>5.35</v>
      </c>
      <c r="T59" s="56">
        <f t="shared" si="4"/>
        <v>4.83</v>
      </c>
      <c r="U59" s="56">
        <f t="shared" si="4"/>
        <v>4.4800000000000004</v>
      </c>
      <c r="V59" s="56">
        <f t="shared" si="4"/>
        <v>4.24</v>
      </c>
      <c r="W59" s="56">
        <f t="shared" si="4"/>
        <v>3.91</v>
      </c>
      <c r="X59" s="30" t="str" cm="1">
        <f t="array" ref="X59">IF(Y59="","",_xlfn.TEXTJOIN(";",TRUE,SUBSTITUTE($Y$1:$AG$1,"Qty ","")&amp;":"&amp;TEXT(Y59:AG59,"0.00"))&amp;";")</f>
        <v>1:17.89;10:16.56;25:10.47;50:8.95;100:8.08;250:7.21;500:6.85;750:6.55;1000:6.16;</v>
      </c>
      <c r="Y59" s="56">
        <f>'Blocking Prices'!$C$15+O59</f>
        <v>17.89</v>
      </c>
      <c r="Z59" s="56">
        <f>'Blocking Prices'!$D$15+P59</f>
        <v>16.560000000000002</v>
      </c>
      <c r="AA59" s="56">
        <f>'Blocking Prices'!$E$15+Q59</f>
        <v>10.47</v>
      </c>
      <c r="AB59" s="56">
        <f>'Blocking Prices'!$F$15+R59</f>
        <v>8.9500000000000011</v>
      </c>
      <c r="AC59" s="56">
        <f>'Blocking Prices'!$G$15+S59</f>
        <v>8.08</v>
      </c>
      <c r="AD59" s="56">
        <f>'Blocking Prices'!$H$15+T59</f>
        <v>7.21</v>
      </c>
      <c r="AE59" s="56">
        <f>'Blocking Prices'!$I$15+U59</f>
        <v>6.8500000000000005</v>
      </c>
      <c r="AF59" s="56">
        <f>'Blocking Prices'!$J$15+V59</f>
        <v>6.5500000000000007</v>
      </c>
      <c r="AG59" s="56">
        <f>'Blocking Prices'!$K$15+W59</f>
        <v>6.16</v>
      </c>
      <c r="AH59" s="11"/>
      <c r="AI59" s="11"/>
      <c r="AJ59" s="11"/>
      <c r="AK59" s="11"/>
      <c r="AL59" s="12" t="s">
        <v>886</v>
      </c>
      <c r="AM59" s="12" t="s">
        <v>865</v>
      </c>
      <c r="AN59" s="12" t="str">
        <f>IFERROR(_xlfn.LET(_xlpm.v,INDEX('product-export-27-8-2026'!$A:$AJ,MATCH($A59,'product-export-27-8-2026'!$A:$A,0),MATCH(AN$1,'product-export-27-8-2026'!$1:$1,0)),IF(_xlpm.v="","",_xlpm.v)),"")</f>
        <v/>
      </c>
      <c r="AO59" s="12" t="str">
        <f>IFERROR(_xlfn.LET(_xlpm.v,INDEX('product-export-27-8-2026'!$A:$AJ,MATCH($A59,'product-export-27-8-2026'!$A:$A,0),MATCH(AO$1,'product-export-27-8-2026'!$1:$1,0)),IF(_xlpm.v="","",_xlpm.v)),"")</f>
        <v/>
      </c>
      <c r="AP59" s="12" t="str">
        <f>IFERROR(_xlfn.LET(_xlpm.v,INDEX('product-export-27-8-2026'!$A:$AJ,MATCH($A59,'product-export-27-8-2026'!$A:$A,0),MATCH(AP$1,'product-export-27-8-2026'!$1:$1,0)),IF(_xlpm.v="","",_xlpm.v)),"")</f>
        <v/>
      </c>
      <c r="AQ59" s="12" t="str">
        <f>IFERROR(_xlfn.LET(_xlpm.v,INDEX('product-export-27-8-2026'!$A:$AJ,MATCH($A59,'product-export-27-8-2026'!$A:$A,0),MATCH(AQ$1,'product-export-27-8-2026'!$1:$1,0)),IF(_xlpm.v="","",_xlpm.v)),"")</f>
        <v/>
      </c>
      <c r="AR59" s="12" t="str">
        <f>IFERROR(_xlfn.LET(_xlpm.v,INDEX('product-export-27-8-2026'!$A:$AJ,MATCH($A59,'product-export-27-8-2026'!$A:$A,0),MATCH(AR$1,'product-export-27-8-2026'!$1:$1,0)),IF(_xlpm.v="","",_xlpm.v)),"")</f>
        <v>Diaries &gt; A5 Diary, Diaries, Diaries &gt; A5 Diary &gt; DPP, Foil blocked, Richmond Collection</v>
      </c>
      <c r="AS59" s="12" t="str">
        <f>IFERROR(_xlfn.LET(_xlpm.v,INDEX('product-export-27-8-2026'!$A:$AJ,MATCH($A59,'product-export-27-8-2026'!$A:$A,0),MATCH(AS$1,'product-export-27-8-2026'!$1:$1,0)),IF(_xlpm.v="","",_xlpm.v)),"")</f>
        <v>Richmond-FineGrain-A5-Desk-Diary-Day-per-Page</v>
      </c>
      <c r="BC59" s="15"/>
    </row>
    <row r="60" spans="1:55" s="14" customFormat="1" ht="27.6" customHeight="1" x14ac:dyDescent="0.3">
      <c r="A60" s="11">
        <v>956</v>
      </c>
      <c r="B60" s="12" t="s">
        <v>391</v>
      </c>
      <c r="C60" s="12" t="s">
        <v>18</v>
      </c>
      <c r="D60" s="12" t="s">
        <v>1552</v>
      </c>
      <c r="E60" s="13" t="s">
        <v>101</v>
      </c>
      <c r="F60" s="18" t="s">
        <v>88</v>
      </c>
      <c r="G60" s="12" t="s">
        <v>14</v>
      </c>
      <c r="H60" s="12" t="s">
        <v>893</v>
      </c>
      <c r="I60" s="18" t="s">
        <v>41</v>
      </c>
      <c r="J60" s="18" t="s">
        <v>91</v>
      </c>
      <c r="K60" s="12" t="s">
        <v>1665</v>
      </c>
      <c r="L60" s="60">
        <v>0.48</v>
      </c>
      <c r="M60" s="17">
        <v>14.99</v>
      </c>
      <c r="N60" s="10" t="s">
        <v>89</v>
      </c>
      <c r="O60" s="56">
        <f t="shared" si="4"/>
        <v>14.47</v>
      </c>
      <c r="P60" s="56">
        <f t="shared" si="4"/>
        <v>13.86</v>
      </c>
      <c r="Q60" s="56">
        <f t="shared" si="4"/>
        <v>8.6999999999999993</v>
      </c>
      <c r="R60" s="56">
        <f t="shared" si="4"/>
        <v>6.74</v>
      </c>
      <c r="S60" s="56">
        <f t="shared" si="4"/>
        <v>5.99</v>
      </c>
      <c r="T60" s="56">
        <f t="shared" si="4"/>
        <v>5.68</v>
      </c>
      <c r="U60" s="56">
        <f t="shared" si="4"/>
        <v>4.7300000000000004</v>
      </c>
      <c r="V60" s="56">
        <f t="shared" si="4"/>
        <v>4.5199999999999996</v>
      </c>
      <c r="W60" s="56">
        <f t="shared" si="4"/>
        <v>4.26</v>
      </c>
      <c r="X60" s="30" t="str" cm="1">
        <f t="array" ref="X60">IF(Y60="","",_xlfn.TEXTJOIN(";",TRUE,SUBSTITUTE($Y$1:$AG$1,"Qty ","")&amp;":"&amp;TEXT(Y60:AG60,"0.00"))&amp;";")</f>
        <v>1:19.69;10:18.26;25:12.27;50:9.71;100:8.72;250:8.06;500:7.10;750:6.83;1000:6.51;</v>
      </c>
      <c r="Y60" s="56">
        <f>'Blocking Prices'!$C$15+O60</f>
        <v>19.690000000000001</v>
      </c>
      <c r="Z60" s="56">
        <f>'Blocking Prices'!$D$15+P60</f>
        <v>18.259999999999998</v>
      </c>
      <c r="AA60" s="56">
        <f>'Blocking Prices'!$E$15+Q60</f>
        <v>12.27</v>
      </c>
      <c r="AB60" s="56">
        <f>'Blocking Prices'!$F$15+R60</f>
        <v>9.7100000000000009</v>
      </c>
      <c r="AC60" s="56">
        <f>'Blocking Prices'!$G$15+S60</f>
        <v>8.7200000000000006</v>
      </c>
      <c r="AD60" s="56">
        <f>'Blocking Prices'!$H$15+T60</f>
        <v>8.0599999999999987</v>
      </c>
      <c r="AE60" s="56">
        <f>'Blocking Prices'!$I$15+U60</f>
        <v>7.1000000000000005</v>
      </c>
      <c r="AF60" s="56">
        <f>'Blocking Prices'!$J$15+V60</f>
        <v>6.83</v>
      </c>
      <c r="AG60" s="56">
        <f>'Blocking Prices'!$K$15+W60</f>
        <v>6.51</v>
      </c>
      <c r="AH60" s="11"/>
      <c r="AI60" s="11"/>
      <c r="AJ60" s="11"/>
      <c r="AK60" s="11"/>
      <c r="AL60" s="12" t="s">
        <v>872</v>
      </c>
      <c r="AM60" s="12" t="s">
        <v>873</v>
      </c>
      <c r="AN60" s="12" t="str">
        <f>IFERROR(_xlfn.LET(_xlpm.v,INDEX('product-export-27-8-2026'!$A:$AJ,MATCH($A60,'product-export-27-8-2026'!$A:$A,0),MATCH(AN$1,'product-export-27-8-2026'!$1:$1,0)),IF(_xlpm.v="","",_xlpm.v)),"")</f>
        <v/>
      </c>
      <c r="AO60" s="12" t="str">
        <f>IFERROR(_xlfn.LET(_xlpm.v,INDEX('product-export-27-8-2026'!$A:$AJ,MATCH($A60,'product-export-27-8-2026'!$A:$A,0),MATCH(AO$1,'product-export-27-8-2026'!$1:$1,0)),IF(_xlpm.v="","",_xlpm.v)),"")</f>
        <v/>
      </c>
      <c r="AP60" s="12" t="str">
        <f>IFERROR(_xlfn.LET(_xlpm.v,INDEX('product-export-27-8-2026'!$A:$AJ,MATCH($A60,'product-export-27-8-2026'!$A:$A,0),MATCH(AP$1,'product-export-27-8-2026'!$1:$1,0)),IF(_xlpm.v="","",_xlpm.v)),"")</f>
        <v/>
      </c>
      <c r="AQ60" s="12" t="str">
        <f>IFERROR(_xlfn.LET(_xlpm.v,INDEX('product-export-27-8-2026'!$A:$AJ,MATCH($A60,'product-export-27-8-2026'!$A:$A,0),MATCH(AQ$1,'product-export-27-8-2026'!$1:$1,0)),IF(_xlpm.v="","",_xlpm.v)),"")</f>
        <v/>
      </c>
      <c r="AR60" s="12" t="str">
        <f>IFERROR(_xlfn.LET(_xlpm.v,INDEX('product-export-27-8-2026'!$A:$AJ,MATCH($A60,'product-export-27-8-2026'!$A:$A,0),MATCH(AR$1,'product-export-27-8-2026'!$1:$1,0)),IF(_xlpm.v="","",_xlpm.v)),"")</f>
        <v>Diaries &gt; A5 Diary, Diaries, Diaries &gt; A5 Diary &gt; DPP, Foil blocked, Richmond Collection</v>
      </c>
      <c r="AS60" s="12" t="str">
        <f>IFERROR(_xlfn.LET(_xlpm.v,INDEX('product-export-27-8-2026'!$A:$AJ,MATCH($A60,'product-export-27-8-2026'!$A:$A,0),MATCH(AS$1,'product-export-27-8-2026'!$1:$1,0)),IF(_xlpm.v="","",_xlpm.v)),"")</f>
        <v>Richmond-FineGrain-A5-Desk-Diary-Day-per-Page-1</v>
      </c>
      <c r="BC60" s="15"/>
    </row>
    <row r="61" spans="1:55" s="14" customFormat="1" ht="27.6" customHeight="1" x14ac:dyDescent="0.3">
      <c r="A61" s="11">
        <v>957</v>
      </c>
      <c r="B61" s="12" t="s">
        <v>392</v>
      </c>
      <c r="C61" s="12" t="s">
        <v>18</v>
      </c>
      <c r="D61" s="12" t="s">
        <v>102</v>
      </c>
      <c r="E61" s="13" t="s">
        <v>102</v>
      </c>
      <c r="F61" s="18" t="s">
        <v>1542</v>
      </c>
      <c r="G61" s="12" t="s">
        <v>14</v>
      </c>
      <c r="H61" s="12" t="s">
        <v>792</v>
      </c>
      <c r="I61" s="18" t="s">
        <v>41</v>
      </c>
      <c r="J61" s="18" t="s">
        <v>87</v>
      </c>
      <c r="K61" s="12" t="s">
        <v>1665</v>
      </c>
      <c r="L61" s="60">
        <v>0.48</v>
      </c>
      <c r="M61" s="17">
        <v>12.5</v>
      </c>
      <c r="N61" s="10" t="s">
        <v>74</v>
      </c>
      <c r="O61" s="56">
        <f t="shared" si="4"/>
        <v>12.67</v>
      </c>
      <c r="P61" s="56">
        <f t="shared" si="4"/>
        <v>12.16</v>
      </c>
      <c r="Q61" s="56">
        <f t="shared" si="4"/>
        <v>6.9</v>
      </c>
      <c r="R61" s="56">
        <f t="shared" si="4"/>
        <v>5.98</v>
      </c>
      <c r="S61" s="56">
        <f t="shared" si="4"/>
        <v>5.35</v>
      </c>
      <c r="T61" s="56">
        <f t="shared" si="4"/>
        <v>4.83</v>
      </c>
      <c r="U61" s="56">
        <f t="shared" si="4"/>
        <v>4.4800000000000004</v>
      </c>
      <c r="V61" s="56">
        <f t="shared" si="4"/>
        <v>4.24</v>
      </c>
      <c r="W61" s="56">
        <f t="shared" si="4"/>
        <v>3.91</v>
      </c>
      <c r="X61" s="30" t="str" cm="1">
        <f t="array" ref="X61">IF(Y61="","",_xlfn.TEXTJOIN(";",TRUE,SUBSTITUTE($Y$1:$AG$1,"Qty ","")&amp;":"&amp;TEXT(Y61:AG61,"0.00"))&amp;";")</f>
        <v>1:17.89;10:16.56;25:10.47;50:8.95;100:8.08;250:7.21;500:6.85;750:6.55;1000:6.16;</v>
      </c>
      <c r="Y61" s="56">
        <f>'Blocking Prices'!$C$15+O61</f>
        <v>17.89</v>
      </c>
      <c r="Z61" s="56">
        <f>'Blocking Prices'!$D$15+P61</f>
        <v>16.560000000000002</v>
      </c>
      <c r="AA61" s="56">
        <f>'Blocking Prices'!$E$15+Q61</f>
        <v>10.47</v>
      </c>
      <c r="AB61" s="56">
        <f>'Blocking Prices'!$F$15+R61</f>
        <v>8.9500000000000011</v>
      </c>
      <c r="AC61" s="56">
        <f>'Blocking Prices'!$G$15+S61</f>
        <v>8.08</v>
      </c>
      <c r="AD61" s="56">
        <f>'Blocking Prices'!$H$15+T61</f>
        <v>7.21</v>
      </c>
      <c r="AE61" s="56">
        <f>'Blocking Prices'!$I$15+U61</f>
        <v>6.8500000000000005</v>
      </c>
      <c r="AF61" s="56">
        <f>'Blocking Prices'!$J$15+V61</f>
        <v>6.5500000000000007</v>
      </c>
      <c r="AG61" s="56">
        <f>'Blocking Prices'!$K$15+W61</f>
        <v>6.16</v>
      </c>
      <c r="AH61" s="11"/>
      <c r="AI61" s="11"/>
      <c r="AJ61" s="11"/>
      <c r="AK61" s="11"/>
      <c r="AL61" s="12" t="s">
        <v>864</v>
      </c>
      <c r="AM61" s="12" t="s">
        <v>865</v>
      </c>
      <c r="AN61" s="12" t="str">
        <f>IFERROR(_xlfn.LET(_xlpm.v,INDEX('product-export-27-8-2026'!$A:$AJ,MATCH($A61,'product-export-27-8-2026'!$A:$A,0),MATCH(AN$1,'product-export-27-8-2026'!$1:$1,0)),IF(_xlpm.v="","",_xlpm.v)),"")</f>
        <v/>
      </c>
      <c r="AO61" s="12" t="str">
        <f>IFERROR(_xlfn.LET(_xlpm.v,INDEX('product-export-27-8-2026'!$A:$AJ,MATCH($A61,'product-export-27-8-2026'!$A:$A,0),MATCH(AO$1,'product-export-27-8-2026'!$1:$1,0)),IF(_xlpm.v="","",_xlpm.v)),"")</f>
        <v/>
      </c>
      <c r="AP61" s="12" t="str">
        <f>IFERROR(_xlfn.LET(_xlpm.v,INDEX('product-export-27-8-2026'!$A:$AJ,MATCH($A61,'product-export-27-8-2026'!$A:$A,0),MATCH(AP$1,'product-export-27-8-2026'!$1:$1,0)),IF(_xlpm.v="","",_xlpm.v)),"")</f>
        <v/>
      </c>
      <c r="AQ61" s="12" t="str">
        <f>IFERROR(_xlfn.LET(_xlpm.v,INDEX('product-export-27-8-2026'!$A:$AJ,MATCH($A61,'product-export-27-8-2026'!$A:$A,0),MATCH(AQ$1,'product-export-27-8-2026'!$1:$1,0)),IF(_xlpm.v="","",_xlpm.v)),"")</f>
        <v/>
      </c>
      <c r="AR61" s="12" t="str">
        <f>IFERROR(_xlfn.LET(_xlpm.v,INDEX('product-export-27-8-2026'!$A:$AJ,MATCH($A61,'product-export-27-8-2026'!$A:$A,0),MATCH(AR$1,'product-export-27-8-2026'!$1:$1,0)),IF(_xlpm.v="","",_xlpm.v)),"")</f>
        <v>Diaries &gt; A5 Diary, Diaries, Diaries &gt; A5 Diary &gt; DPP, Foil blocked, Richmond Collection</v>
      </c>
      <c r="AS61" s="12" t="str">
        <f>IFERROR(_xlfn.LET(_xlpm.v,INDEX('product-export-27-8-2026'!$A:$AJ,MATCH($A61,'product-export-27-8-2026'!$A:$A,0),MATCH(AS$1,'product-export-27-8-2026'!$1:$1,0)),IF(_xlpm.v="","",_xlpm.v)),"")</f>
        <v>Richmond-FineGrain-A5-Desk-Diary-Day-per-Page</v>
      </c>
      <c r="BC61" s="15"/>
    </row>
    <row r="62" spans="1:55" s="14" customFormat="1" ht="27.6" customHeight="1" x14ac:dyDescent="0.3">
      <c r="A62" s="11">
        <v>962</v>
      </c>
      <c r="B62" s="12" t="s">
        <v>393</v>
      </c>
      <c r="C62" s="12" t="s">
        <v>18</v>
      </c>
      <c r="D62" s="12" t="s">
        <v>1553</v>
      </c>
      <c r="E62" s="13" t="s">
        <v>103</v>
      </c>
      <c r="F62" s="18" t="s">
        <v>88</v>
      </c>
      <c r="G62" s="12" t="s">
        <v>14</v>
      </c>
      <c r="H62" s="12" t="s">
        <v>792</v>
      </c>
      <c r="I62" s="18" t="s">
        <v>41</v>
      </c>
      <c r="J62" s="18" t="s">
        <v>91</v>
      </c>
      <c r="K62" s="12" t="s">
        <v>1665</v>
      </c>
      <c r="L62" s="60">
        <v>0.48</v>
      </c>
      <c r="M62" s="17">
        <v>14.99</v>
      </c>
      <c r="N62" s="10" t="s">
        <v>89</v>
      </c>
      <c r="O62" s="56">
        <f t="shared" ref="O62:W71" si="5">IFERROR(VALUE(_xlfn.TEXTBEFORE(_xlfn.TEXTAFTER(";"&amp;$N62,";"&amp;SUBSTITUTE(O$1,"Qty ","")&amp;":"),";")),"")</f>
        <v>14.47</v>
      </c>
      <c r="P62" s="56">
        <f t="shared" si="5"/>
        <v>13.86</v>
      </c>
      <c r="Q62" s="56">
        <f t="shared" si="5"/>
        <v>8.6999999999999993</v>
      </c>
      <c r="R62" s="56">
        <f t="shared" si="5"/>
        <v>6.74</v>
      </c>
      <c r="S62" s="56">
        <f t="shared" si="5"/>
        <v>5.99</v>
      </c>
      <c r="T62" s="56">
        <f t="shared" si="5"/>
        <v>5.68</v>
      </c>
      <c r="U62" s="56">
        <f t="shared" si="5"/>
        <v>4.7300000000000004</v>
      </c>
      <c r="V62" s="56">
        <f t="shared" si="5"/>
        <v>4.5199999999999996</v>
      </c>
      <c r="W62" s="56">
        <f t="shared" si="5"/>
        <v>4.26</v>
      </c>
      <c r="X62" s="30" t="str" cm="1">
        <f t="array" ref="X62">IF(Y62="","",_xlfn.TEXTJOIN(";",TRUE,SUBSTITUTE($Y$1:$AG$1,"Qty ","")&amp;":"&amp;TEXT(Y62:AG62,"0.00"))&amp;";")</f>
        <v>1:19.69;10:18.26;25:12.27;50:9.71;100:8.72;250:8.06;500:7.10;750:6.83;1000:6.51;</v>
      </c>
      <c r="Y62" s="56">
        <f>'Blocking Prices'!$C$15+O62</f>
        <v>19.690000000000001</v>
      </c>
      <c r="Z62" s="56">
        <f>'Blocking Prices'!$D$15+P62</f>
        <v>18.259999999999998</v>
      </c>
      <c r="AA62" s="56">
        <f>'Blocking Prices'!$E$15+Q62</f>
        <v>12.27</v>
      </c>
      <c r="AB62" s="56">
        <f>'Blocking Prices'!$F$15+R62</f>
        <v>9.7100000000000009</v>
      </c>
      <c r="AC62" s="56">
        <f>'Blocking Prices'!$G$15+S62</f>
        <v>8.7200000000000006</v>
      </c>
      <c r="AD62" s="56">
        <f>'Blocking Prices'!$H$15+T62</f>
        <v>8.0599999999999987</v>
      </c>
      <c r="AE62" s="56">
        <f>'Blocking Prices'!$I$15+U62</f>
        <v>7.1000000000000005</v>
      </c>
      <c r="AF62" s="56">
        <f>'Blocking Prices'!$J$15+V62</f>
        <v>6.83</v>
      </c>
      <c r="AG62" s="56">
        <f>'Blocking Prices'!$K$15+W62</f>
        <v>6.51</v>
      </c>
      <c r="AH62" s="11"/>
      <c r="AI62" s="11"/>
      <c r="AJ62" s="11"/>
      <c r="AK62" s="11"/>
      <c r="AL62" s="12" t="s">
        <v>872</v>
      </c>
      <c r="AM62" s="12" t="s">
        <v>873</v>
      </c>
      <c r="AN62" s="12" t="str">
        <f>IFERROR(_xlfn.LET(_xlpm.v,INDEX('product-export-27-8-2026'!$A:$AJ,MATCH($A62,'product-export-27-8-2026'!$A:$A,0),MATCH(AN$1,'product-export-27-8-2026'!$1:$1,0)),IF(_xlpm.v="","",_xlpm.v)),"")</f>
        <v/>
      </c>
      <c r="AO62" s="12" t="str">
        <f>IFERROR(_xlfn.LET(_xlpm.v,INDEX('product-export-27-8-2026'!$A:$AJ,MATCH($A62,'product-export-27-8-2026'!$A:$A,0),MATCH(AO$1,'product-export-27-8-2026'!$1:$1,0)),IF(_xlpm.v="","",_xlpm.v)),"")</f>
        <v/>
      </c>
      <c r="AP62" s="12" t="str">
        <f>IFERROR(_xlfn.LET(_xlpm.v,INDEX('product-export-27-8-2026'!$A:$AJ,MATCH($A62,'product-export-27-8-2026'!$A:$A,0),MATCH(AP$1,'product-export-27-8-2026'!$1:$1,0)),IF(_xlpm.v="","",_xlpm.v)),"")</f>
        <v/>
      </c>
      <c r="AQ62" s="12" t="str">
        <f>IFERROR(_xlfn.LET(_xlpm.v,INDEX('product-export-27-8-2026'!$A:$AJ,MATCH($A62,'product-export-27-8-2026'!$A:$A,0),MATCH(AQ$1,'product-export-27-8-2026'!$1:$1,0)),IF(_xlpm.v="","",_xlpm.v)),"")</f>
        <v/>
      </c>
      <c r="AR62" s="12" t="str">
        <f>IFERROR(_xlfn.LET(_xlpm.v,INDEX('product-export-27-8-2026'!$A:$AJ,MATCH($A62,'product-export-27-8-2026'!$A:$A,0),MATCH(AR$1,'product-export-27-8-2026'!$1:$1,0)),IF(_xlpm.v="","",_xlpm.v)),"")</f>
        <v>Diaries &gt; A5 Diary, Diaries, Diaries &gt; A5 Diary &gt; DPP, Foil blocked, Richmond Collection</v>
      </c>
      <c r="AS62" s="12" t="str">
        <f>IFERROR(_xlfn.LET(_xlpm.v,INDEX('product-export-27-8-2026'!$A:$AJ,MATCH($A62,'product-export-27-8-2026'!$A:$A,0),MATCH(AS$1,'product-export-27-8-2026'!$1:$1,0)),IF(_xlpm.v="","",_xlpm.v)),"")</f>
        <v>Richmond-FineGrain-A5-Desk-Diary-Day-per-Page-1</v>
      </c>
      <c r="BC62" s="15"/>
    </row>
    <row r="63" spans="1:55" s="14" customFormat="1" ht="27.6" customHeight="1" x14ac:dyDescent="0.3">
      <c r="A63" s="11">
        <v>963</v>
      </c>
      <c r="B63" s="12" t="s">
        <v>410</v>
      </c>
      <c r="C63" s="12" t="s">
        <v>18</v>
      </c>
      <c r="D63" s="12" t="s">
        <v>104</v>
      </c>
      <c r="E63" s="13" t="s">
        <v>104</v>
      </c>
      <c r="F63" s="10" t="s">
        <v>105</v>
      </c>
      <c r="G63" s="12" t="s">
        <v>14</v>
      </c>
      <c r="H63" s="12" t="s">
        <v>672</v>
      </c>
      <c r="I63" s="12" t="s">
        <v>20</v>
      </c>
      <c r="J63" s="10" t="s">
        <v>87</v>
      </c>
      <c r="K63" s="12" t="s">
        <v>1665</v>
      </c>
      <c r="L63" s="60">
        <v>0.48</v>
      </c>
      <c r="M63" s="22">
        <v>11.5</v>
      </c>
      <c r="N63" s="10" t="s">
        <v>81</v>
      </c>
      <c r="O63" s="56">
        <f t="shared" si="5"/>
        <v>12.11</v>
      </c>
      <c r="P63" s="56">
        <f t="shared" si="5"/>
        <v>11.63</v>
      </c>
      <c r="Q63" s="56">
        <f t="shared" si="5"/>
        <v>5.36</v>
      </c>
      <c r="R63" s="56">
        <f t="shared" si="5"/>
        <v>4.25</v>
      </c>
      <c r="S63" s="56">
        <f t="shared" si="5"/>
        <v>3.74</v>
      </c>
      <c r="T63" s="56">
        <f t="shared" si="5"/>
        <v>3.47</v>
      </c>
      <c r="U63" s="56">
        <f t="shared" si="5"/>
        <v>3.3</v>
      </c>
      <c r="V63" s="56">
        <f t="shared" si="5"/>
        <v>3.27</v>
      </c>
      <c r="W63" s="56">
        <f t="shared" si="5"/>
        <v>3.07</v>
      </c>
      <c r="X63" s="30" t="str" cm="1">
        <f t="array" ref="X63">IF(Y63="","",_xlfn.TEXTJOIN(";",TRUE,SUBSTITUTE($Y$1:$AG$1,"Qty ","")&amp;":"&amp;TEXT(Y63:AG63,"0.00"))&amp;";")</f>
        <v>1:17.33;10:16.03;25:8.93;50:7.22;100:6.47;250:5.85;500:5.67;750:5.58;1000:5.32;</v>
      </c>
      <c r="Y63" s="56">
        <f>'Blocking Prices'!$C$15+O63</f>
        <v>17.329999999999998</v>
      </c>
      <c r="Z63" s="56">
        <f>'Blocking Prices'!$D$15+P63</f>
        <v>16.03</v>
      </c>
      <c r="AA63" s="56">
        <f>'Blocking Prices'!$E$15+Q63</f>
        <v>8.93</v>
      </c>
      <c r="AB63" s="56">
        <f>'Blocking Prices'!$F$15+R63</f>
        <v>7.2200000000000006</v>
      </c>
      <c r="AC63" s="56">
        <f>'Blocking Prices'!$G$15+S63</f>
        <v>6.4700000000000006</v>
      </c>
      <c r="AD63" s="56">
        <f>'Blocking Prices'!$H$15+T63</f>
        <v>5.85</v>
      </c>
      <c r="AE63" s="56">
        <f>'Blocking Prices'!$I$15+U63</f>
        <v>5.67</v>
      </c>
      <c r="AF63" s="56">
        <f>'Blocking Prices'!$J$15+V63</f>
        <v>5.58</v>
      </c>
      <c r="AG63" s="56">
        <f>'Blocking Prices'!$K$15+W63</f>
        <v>5.32</v>
      </c>
      <c r="AH63" s="11"/>
      <c r="AI63" s="11"/>
      <c r="AJ63" s="11"/>
      <c r="AK63" s="11"/>
      <c r="AL63" s="12" t="s">
        <v>898</v>
      </c>
      <c r="AM63" s="12" t="s">
        <v>899</v>
      </c>
      <c r="AN63" s="12" t="str">
        <f>IFERROR(_xlfn.LET(_xlpm.v,INDEX('product-export-27-8-2026'!$A:$AJ,MATCH($A63,'product-export-27-8-2026'!$A:$A,0),MATCH(AN$1,'product-export-27-8-2026'!$1:$1,0)),IF(_xlpm.v="","",_xlpm.v)),"")</f>
        <v/>
      </c>
      <c r="AO63" s="12" t="str">
        <f>IFERROR(_xlfn.LET(_xlpm.v,INDEX('product-export-27-8-2026'!$A:$AJ,MATCH($A63,'product-export-27-8-2026'!$A:$A,0),MATCH(AO$1,'product-export-27-8-2026'!$1:$1,0)),IF(_xlpm.v="","",_xlpm.v)),"")</f>
        <v/>
      </c>
      <c r="AP63" s="12" t="str">
        <f>IFERROR(_xlfn.LET(_xlpm.v,INDEX('product-export-27-8-2026'!$A:$AJ,MATCH($A63,'product-export-27-8-2026'!$A:$A,0),MATCH(AP$1,'product-export-27-8-2026'!$1:$1,0)),IF(_xlpm.v="","",_xlpm.v)),"")</f>
        <v/>
      </c>
      <c r="AQ63" s="12" t="str">
        <f>IFERROR(_xlfn.LET(_xlpm.v,INDEX('product-export-27-8-2026'!$A:$AJ,MATCH($A63,'product-export-27-8-2026'!$A:$A,0),MATCH(AQ$1,'product-export-27-8-2026'!$1:$1,0)),IF(_xlpm.v="","",_xlpm.v)),"")</f>
        <v/>
      </c>
      <c r="AR63" s="12" t="str">
        <f>IFERROR(_xlfn.LET(_xlpm.v,INDEX('product-export-27-8-2026'!$A:$AJ,MATCH($A63,'product-export-27-8-2026'!$A:$A,0),MATCH(AR$1,'product-export-27-8-2026'!$1:$1,0)),IF(_xlpm.v="","",_xlpm.v)),"")</f>
        <v>Diaries &gt; A5 Diary, Diaries, Foil blocked, Richmond Collection, Diaries &gt; A5 Diary &gt; WTV</v>
      </c>
      <c r="AS63" s="12" t="str">
        <f>IFERROR(_xlfn.LET(_xlpm.v,INDEX('product-export-27-8-2026'!$A:$AJ,MATCH($A63,'product-export-27-8-2026'!$A:$A,0),MATCH(AS$1,'product-export-27-8-2026'!$1:$1,0)),IF(_xlpm.v="","",_xlpm.v)),"")</f>
        <v>Richmond-FineGrain-A5-Desk-Diary-Week-To-View</v>
      </c>
      <c r="BC63" s="15"/>
    </row>
    <row r="64" spans="1:55" s="14" customFormat="1" ht="27.6" customHeight="1" x14ac:dyDescent="0.3">
      <c r="A64" s="11">
        <v>967</v>
      </c>
      <c r="B64" s="12" t="s">
        <v>411</v>
      </c>
      <c r="C64" s="12" t="s">
        <v>18</v>
      </c>
      <c r="D64" s="12" t="s">
        <v>106</v>
      </c>
      <c r="E64" s="13" t="s">
        <v>106</v>
      </c>
      <c r="F64" s="12" t="s">
        <v>105</v>
      </c>
      <c r="G64" s="12" t="s">
        <v>14</v>
      </c>
      <c r="H64" s="12" t="s">
        <v>728</v>
      </c>
      <c r="I64" s="12" t="s">
        <v>20</v>
      </c>
      <c r="J64" s="12" t="s">
        <v>87</v>
      </c>
      <c r="K64" s="12" t="s">
        <v>1665</v>
      </c>
      <c r="L64" s="60">
        <v>0.48</v>
      </c>
      <c r="M64" s="11">
        <v>11.5</v>
      </c>
      <c r="N64" s="12" t="s">
        <v>81</v>
      </c>
      <c r="O64" s="56">
        <f t="shared" si="5"/>
        <v>12.11</v>
      </c>
      <c r="P64" s="56">
        <f t="shared" si="5"/>
        <v>11.63</v>
      </c>
      <c r="Q64" s="56">
        <f t="shared" si="5"/>
        <v>5.36</v>
      </c>
      <c r="R64" s="56">
        <f t="shared" si="5"/>
        <v>4.25</v>
      </c>
      <c r="S64" s="56">
        <f t="shared" si="5"/>
        <v>3.74</v>
      </c>
      <c r="T64" s="56">
        <f t="shared" si="5"/>
        <v>3.47</v>
      </c>
      <c r="U64" s="56">
        <f t="shared" si="5"/>
        <v>3.3</v>
      </c>
      <c r="V64" s="56">
        <f t="shared" si="5"/>
        <v>3.27</v>
      </c>
      <c r="W64" s="56">
        <f t="shared" si="5"/>
        <v>3.07</v>
      </c>
      <c r="X64" s="30" t="str" cm="1">
        <f t="array" ref="X64">IF(Y64="","",_xlfn.TEXTJOIN(";",TRUE,SUBSTITUTE($Y$1:$AG$1,"Qty ","")&amp;":"&amp;TEXT(Y64:AG64,"0.00"))&amp;";")</f>
        <v>1:17.33;10:16.03;25:8.93;50:7.22;100:6.47;250:5.85;500:5.67;750:5.58;1000:5.32;</v>
      </c>
      <c r="Y64" s="56">
        <f>'Blocking Prices'!$C$15+O64</f>
        <v>17.329999999999998</v>
      </c>
      <c r="Z64" s="56">
        <f>'Blocking Prices'!$D$15+P64</f>
        <v>16.03</v>
      </c>
      <c r="AA64" s="56">
        <f>'Blocking Prices'!$E$15+Q64</f>
        <v>8.93</v>
      </c>
      <c r="AB64" s="56">
        <f>'Blocking Prices'!$F$15+R64</f>
        <v>7.2200000000000006</v>
      </c>
      <c r="AC64" s="56">
        <f>'Blocking Prices'!$G$15+S64</f>
        <v>6.4700000000000006</v>
      </c>
      <c r="AD64" s="56">
        <f>'Blocking Prices'!$H$15+T64</f>
        <v>5.85</v>
      </c>
      <c r="AE64" s="56">
        <f>'Blocking Prices'!$I$15+U64</f>
        <v>5.67</v>
      </c>
      <c r="AF64" s="56">
        <f>'Blocking Prices'!$J$15+V64</f>
        <v>5.58</v>
      </c>
      <c r="AG64" s="56">
        <f>'Blocking Prices'!$K$15+W64</f>
        <v>5.32</v>
      </c>
      <c r="AH64" s="11"/>
      <c r="AI64" s="11"/>
      <c r="AJ64" s="11"/>
      <c r="AK64" s="11"/>
      <c r="AL64" s="12" t="s">
        <v>898</v>
      </c>
      <c r="AM64" s="12" t="s">
        <v>899</v>
      </c>
      <c r="AN64" s="12" t="str">
        <f>IFERROR(_xlfn.LET(_xlpm.v,INDEX('product-export-27-8-2026'!$A:$AJ,MATCH($A64,'product-export-27-8-2026'!$A:$A,0),MATCH(AN$1,'product-export-27-8-2026'!$1:$1,0)),IF(_xlpm.v="","",_xlpm.v)),"")</f>
        <v/>
      </c>
      <c r="AO64" s="12" t="str">
        <f>IFERROR(_xlfn.LET(_xlpm.v,INDEX('product-export-27-8-2026'!$A:$AJ,MATCH($A64,'product-export-27-8-2026'!$A:$A,0),MATCH(AO$1,'product-export-27-8-2026'!$1:$1,0)),IF(_xlpm.v="","",_xlpm.v)),"")</f>
        <v/>
      </c>
      <c r="AP64" s="12" t="str">
        <f>IFERROR(_xlfn.LET(_xlpm.v,INDEX('product-export-27-8-2026'!$A:$AJ,MATCH($A64,'product-export-27-8-2026'!$A:$A,0),MATCH(AP$1,'product-export-27-8-2026'!$1:$1,0)),IF(_xlpm.v="","",_xlpm.v)),"")</f>
        <v/>
      </c>
      <c r="AQ64" s="12" t="str">
        <f>IFERROR(_xlfn.LET(_xlpm.v,INDEX('product-export-27-8-2026'!$A:$AJ,MATCH($A64,'product-export-27-8-2026'!$A:$A,0),MATCH(AQ$1,'product-export-27-8-2026'!$1:$1,0)),IF(_xlpm.v="","",_xlpm.v)),"")</f>
        <v/>
      </c>
      <c r="AR64" s="12" t="str">
        <f>IFERROR(_xlfn.LET(_xlpm.v,INDEX('product-export-27-8-2026'!$A:$AJ,MATCH($A64,'product-export-27-8-2026'!$A:$A,0),MATCH(AR$1,'product-export-27-8-2026'!$1:$1,0)),IF(_xlpm.v="","",_xlpm.v)),"")</f>
        <v>Diaries &gt; A5 Diary, Diaries, Foil blocked, Richmond Collection, Diaries &gt; A5 Diary &gt; WTV</v>
      </c>
      <c r="AS64" s="12" t="str">
        <f>IFERROR(_xlfn.LET(_xlpm.v,INDEX('product-export-27-8-2026'!$A:$AJ,MATCH($A64,'product-export-27-8-2026'!$A:$A,0),MATCH(AS$1,'product-export-27-8-2026'!$1:$1,0)),IF(_xlpm.v="","",_xlpm.v)),"")</f>
        <v>Richmond-FineGrain-A5-Desk-Diary-Week-To-View</v>
      </c>
      <c r="BC64" s="15"/>
    </row>
    <row r="65" spans="1:55" s="14" customFormat="1" ht="27.6" customHeight="1" x14ac:dyDescent="0.3">
      <c r="A65" s="11">
        <v>971</v>
      </c>
      <c r="B65" s="12" t="s">
        <v>412</v>
      </c>
      <c r="C65" s="12" t="s">
        <v>18</v>
      </c>
      <c r="D65" s="12" t="s">
        <v>107</v>
      </c>
      <c r="E65" s="13" t="s">
        <v>107</v>
      </c>
      <c r="F65" s="12" t="s">
        <v>105</v>
      </c>
      <c r="G65" s="12" t="s">
        <v>14</v>
      </c>
      <c r="H65" s="12" t="s">
        <v>731</v>
      </c>
      <c r="I65" s="12" t="s">
        <v>20</v>
      </c>
      <c r="J65" s="12" t="s">
        <v>87</v>
      </c>
      <c r="K65" s="12" t="s">
        <v>1665</v>
      </c>
      <c r="L65" s="60">
        <v>0.48</v>
      </c>
      <c r="M65" s="11">
        <v>11.5</v>
      </c>
      <c r="N65" s="12" t="s">
        <v>81</v>
      </c>
      <c r="O65" s="56">
        <f t="shared" si="5"/>
        <v>12.11</v>
      </c>
      <c r="P65" s="56">
        <f t="shared" si="5"/>
        <v>11.63</v>
      </c>
      <c r="Q65" s="56">
        <f t="shared" si="5"/>
        <v>5.36</v>
      </c>
      <c r="R65" s="56">
        <f t="shared" si="5"/>
        <v>4.25</v>
      </c>
      <c r="S65" s="56">
        <f t="shared" si="5"/>
        <v>3.74</v>
      </c>
      <c r="T65" s="56">
        <f t="shared" si="5"/>
        <v>3.47</v>
      </c>
      <c r="U65" s="56">
        <f t="shared" si="5"/>
        <v>3.3</v>
      </c>
      <c r="V65" s="56">
        <f t="shared" si="5"/>
        <v>3.27</v>
      </c>
      <c r="W65" s="56">
        <f t="shared" si="5"/>
        <v>3.07</v>
      </c>
      <c r="X65" s="30" t="str" cm="1">
        <f t="array" ref="X65">IF(Y65="","",_xlfn.TEXTJOIN(";",TRUE,SUBSTITUTE($Y$1:$AG$1,"Qty ","")&amp;":"&amp;TEXT(Y65:AG65,"0.00"))&amp;";")</f>
        <v>1:17.33;10:16.03;25:8.93;50:7.22;100:6.47;250:5.85;500:5.67;750:5.58;1000:5.32;</v>
      </c>
      <c r="Y65" s="56">
        <f>'Blocking Prices'!$C$15+O65</f>
        <v>17.329999999999998</v>
      </c>
      <c r="Z65" s="56">
        <f>'Blocking Prices'!$D$15+P65</f>
        <v>16.03</v>
      </c>
      <c r="AA65" s="56">
        <f>'Blocking Prices'!$E$15+Q65</f>
        <v>8.93</v>
      </c>
      <c r="AB65" s="56">
        <f>'Blocking Prices'!$F$15+R65</f>
        <v>7.2200000000000006</v>
      </c>
      <c r="AC65" s="56">
        <f>'Blocking Prices'!$G$15+S65</f>
        <v>6.4700000000000006</v>
      </c>
      <c r="AD65" s="56">
        <f>'Blocking Prices'!$H$15+T65</f>
        <v>5.85</v>
      </c>
      <c r="AE65" s="56">
        <f>'Blocking Prices'!$I$15+U65</f>
        <v>5.67</v>
      </c>
      <c r="AF65" s="56">
        <f>'Blocking Prices'!$J$15+V65</f>
        <v>5.58</v>
      </c>
      <c r="AG65" s="56">
        <f>'Blocking Prices'!$K$15+W65</f>
        <v>5.32</v>
      </c>
      <c r="AH65" s="11"/>
      <c r="AI65" s="11"/>
      <c r="AJ65" s="11"/>
      <c r="AK65" s="11"/>
      <c r="AL65" s="12" t="s">
        <v>898</v>
      </c>
      <c r="AM65" s="12" t="s">
        <v>899</v>
      </c>
      <c r="AN65" s="12" t="str">
        <f>IFERROR(_xlfn.LET(_xlpm.v,INDEX('product-export-27-8-2026'!$A:$AJ,MATCH($A65,'product-export-27-8-2026'!$A:$A,0),MATCH(AN$1,'product-export-27-8-2026'!$1:$1,0)),IF(_xlpm.v="","",_xlpm.v)),"")</f>
        <v/>
      </c>
      <c r="AO65" s="12" t="str">
        <f>IFERROR(_xlfn.LET(_xlpm.v,INDEX('product-export-27-8-2026'!$A:$AJ,MATCH($A65,'product-export-27-8-2026'!$A:$A,0),MATCH(AO$1,'product-export-27-8-2026'!$1:$1,0)),IF(_xlpm.v="","",_xlpm.v)),"")</f>
        <v/>
      </c>
      <c r="AP65" s="12" t="str">
        <f>IFERROR(_xlfn.LET(_xlpm.v,INDEX('product-export-27-8-2026'!$A:$AJ,MATCH($A65,'product-export-27-8-2026'!$A:$A,0),MATCH(AP$1,'product-export-27-8-2026'!$1:$1,0)),IF(_xlpm.v="","",_xlpm.v)),"")</f>
        <v/>
      </c>
      <c r="AQ65" s="12" t="str">
        <f>IFERROR(_xlfn.LET(_xlpm.v,INDEX('product-export-27-8-2026'!$A:$AJ,MATCH($A65,'product-export-27-8-2026'!$A:$A,0),MATCH(AQ$1,'product-export-27-8-2026'!$1:$1,0)),IF(_xlpm.v="","",_xlpm.v)),"")</f>
        <v/>
      </c>
      <c r="AR65" s="12" t="str">
        <f>IFERROR(_xlfn.LET(_xlpm.v,INDEX('product-export-27-8-2026'!$A:$AJ,MATCH($A65,'product-export-27-8-2026'!$A:$A,0),MATCH(AR$1,'product-export-27-8-2026'!$1:$1,0)),IF(_xlpm.v="","",_xlpm.v)),"")</f>
        <v>Diaries &gt; A5 Diary, Diaries, Foil blocked, Richmond Collection, Diaries &gt; A5 Diary &gt; WTV</v>
      </c>
      <c r="AS65" s="12" t="str">
        <f>IFERROR(_xlfn.LET(_xlpm.v,INDEX('product-export-27-8-2026'!$A:$AJ,MATCH($A65,'product-export-27-8-2026'!$A:$A,0),MATCH(AS$1,'product-export-27-8-2026'!$1:$1,0)),IF(_xlpm.v="","",_xlpm.v)),"")</f>
        <v>Richmond-FineGrain-A5-Desk-Diary-Week-To-View</v>
      </c>
      <c r="BC65" s="15"/>
    </row>
    <row r="66" spans="1:55" s="14" customFormat="1" ht="27.6" customHeight="1" x14ac:dyDescent="0.3">
      <c r="A66" s="11">
        <v>976</v>
      </c>
      <c r="B66" s="12" t="s">
        <v>413</v>
      </c>
      <c r="C66" s="12" t="s">
        <v>18</v>
      </c>
      <c r="D66" s="12" t="s">
        <v>108</v>
      </c>
      <c r="E66" s="13" t="s">
        <v>108</v>
      </c>
      <c r="F66" s="12" t="s">
        <v>105</v>
      </c>
      <c r="G66" s="12" t="s">
        <v>14</v>
      </c>
      <c r="H66" s="12" t="s">
        <v>696</v>
      </c>
      <c r="I66" s="12" t="s">
        <v>20</v>
      </c>
      <c r="J66" s="12" t="s">
        <v>87</v>
      </c>
      <c r="K66" s="12" t="s">
        <v>1665</v>
      </c>
      <c r="L66" s="60">
        <v>0.48</v>
      </c>
      <c r="M66" s="11">
        <v>11.5</v>
      </c>
      <c r="N66" s="12" t="s">
        <v>81</v>
      </c>
      <c r="O66" s="56">
        <f t="shared" si="5"/>
        <v>12.11</v>
      </c>
      <c r="P66" s="56">
        <f t="shared" si="5"/>
        <v>11.63</v>
      </c>
      <c r="Q66" s="56">
        <f t="shared" si="5"/>
        <v>5.36</v>
      </c>
      <c r="R66" s="56">
        <f t="shared" si="5"/>
        <v>4.25</v>
      </c>
      <c r="S66" s="56">
        <f t="shared" si="5"/>
        <v>3.74</v>
      </c>
      <c r="T66" s="56">
        <f t="shared" si="5"/>
        <v>3.47</v>
      </c>
      <c r="U66" s="56">
        <f t="shared" si="5"/>
        <v>3.3</v>
      </c>
      <c r="V66" s="56">
        <f t="shared" si="5"/>
        <v>3.27</v>
      </c>
      <c r="W66" s="56">
        <f t="shared" si="5"/>
        <v>3.07</v>
      </c>
      <c r="X66" s="30" t="str" cm="1">
        <f t="array" ref="X66">IF(Y66="","",_xlfn.TEXTJOIN(";",TRUE,SUBSTITUTE($Y$1:$AG$1,"Qty ","")&amp;":"&amp;TEXT(Y66:AG66,"0.00"))&amp;";")</f>
        <v>1:17.33;10:16.03;25:8.93;50:7.22;100:6.47;250:5.85;500:5.67;750:5.58;1000:5.32;</v>
      </c>
      <c r="Y66" s="56">
        <f>'Blocking Prices'!$C$15+O66</f>
        <v>17.329999999999998</v>
      </c>
      <c r="Z66" s="56">
        <f>'Blocking Prices'!$D$15+P66</f>
        <v>16.03</v>
      </c>
      <c r="AA66" s="56">
        <f>'Blocking Prices'!$E$15+Q66</f>
        <v>8.93</v>
      </c>
      <c r="AB66" s="56">
        <f>'Blocking Prices'!$F$15+R66</f>
        <v>7.2200000000000006</v>
      </c>
      <c r="AC66" s="56">
        <f>'Blocking Prices'!$G$15+S66</f>
        <v>6.4700000000000006</v>
      </c>
      <c r="AD66" s="56">
        <f>'Blocking Prices'!$H$15+T66</f>
        <v>5.85</v>
      </c>
      <c r="AE66" s="56">
        <f>'Blocking Prices'!$I$15+U66</f>
        <v>5.67</v>
      </c>
      <c r="AF66" s="56">
        <f>'Blocking Prices'!$J$15+V66</f>
        <v>5.58</v>
      </c>
      <c r="AG66" s="56">
        <f>'Blocking Prices'!$K$15+W66</f>
        <v>5.32</v>
      </c>
      <c r="AH66" s="11"/>
      <c r="AI66" s="11"/>
      <c r="AJ66" s="11"/>
      <c r="AK66" s="11"/>
      <c r="AL66" s="12" t="s">
        <v>898</v>
      </c>
      <c r="AM66" s="12" t="s">
        <v>899</v>
      </c>
      <c r="AN66" s="12" t="str">
        <f>IFERROR(_xlfn.LET(_xlpm.v,INDEX('product-export-27-8-2026'!$A:$AJ,MATCH($A66,'product-export-27-8-2026'!$A:$A,0),MATCH(AN$1,'product-export-27-8-2026'!$1:$1,0)),IF(_xlpm.v="","",_xlpm.v)),"")</f>
        <v/>
      </c>
      <c r="AO66" s="12" t="str">
        <f>IFERROR(_xlfn.LET(_xlpm.v,INDEX('product-export-27-8-2026'!$A:$AJ,MATCH($A66,'product-export-27-8-2026'!$A:$A,0),MATCH(AO$1,'product-export-27-8-2026'!$1:$1,0)),IF(_xlpm.v="","",_xlpm.v)),"")</f>
        <v/>
      </c>
      <c r="AP66" s="12" t="str">
        <f>IFERROR(_xlfn.LET(_xlpm.v,INDEX('product-export-27-8-2026'!$A:$AJ,MATCH($A66,'product-export-27-8-2026'!$A:$A,0),MATCH(AP$1,'product-export-27-8-2026'!$1:$1,0)),IF(_xlpm.v="","",_xlpm.v)),"")</f>
        <v/>
      </c>
      <c r="AQ66" s="12" t="str">
        <f>IFERROR(_xlfn.LET(_xlpm.v,INDEX('product-export-27-8-2026'!$A:$AJ,MATCH($A66,'product-export-27-8-2026'!$A:$A,0),MATCH(AQ$1,'product-export-27-8-2026'!$1:$1,0)),IF(_xlpm.v="","",_xlpm.v)),"")</f>
        <v/>
      </c>
      <c r="AR66" s="12" t="str">
        <f>IFERROR(_xlfn.LET(_xlpm.v,INDEX('product-export-27-8-2026'!$A:$AJ,MATCH($A66,'product-export-27-8-2026'!$A:$A,0),MATCH(AR$1,'product-export-27-8-2026'!$1:$1,0)),IF(_xlpm.v="","",_xlpm.v)),"")</f>
        <v>Diaries &gt; A5 Diary, Diaries, Foil blocked, Richmond Collection, Diaries &gt; A5 Diary &gt; WTV</v>
      </c>
      <c r="AS66" s="12" t="str">
        <f>IFERROR(_xlfn.LET(_xlpm.v,INDEX('product-export-27-8-2026'!$A:$AJ,MATCH($A66,'product-export-27-8-2026'!$A:$A,0),MATCH(AS$1,'product-export-27-8-2026'!$1:$1,0)),IF(_xlpm.v="","",_xlpm.v)),"")</f>
        <v>Richmond-FineGrain-A5-Desk-Diary-Week-To-View</v>
      </c>
      <c r="BC66" s="15"/>
    </row>
    <row r="67" spans="1:55" s="14" customFormat="1" ht="27.6" customHeight="1" x14ac:dyDescent="0.3">
      <c r="A67" s="11">
        <v>980</v>
      </c>
      <c r="B67" s="12" t="s">
        <v>414</v>
      </c>
      <c r="C67" s="12" t="s">
        <v>18</v>
      </c>
      <c r="D67" s="12" t="s">
        <v>109</v>
      </c>
      <c r="E67" s="13" t="s">
        <v>109</v>
      </c>
      <c r="F67" s="12" t="s">
        <v>105</v>
      </c>
      <c r="G67" s="12" t="s">
        <v>14</v>
      </c>
      <c r="H67" s="12" t="s">
        <v>893</v>
      </c>
      <c r="I67" s="12" t="s">
        <v>20</v>
      </c>
      <c r="J67" s="12" t="s">
        <v>87</v>
      </c>
      <c r="K67" s="12" t="s">
        <v>1665</v>
      </c>
      <c r="L67" s="60">
        <v>0.48</v>
      </c>
      <c r="M67" s="11">
        <v>11.5</v>
      </c>
      <c r="N67" s="12" t="s">
        <v>81</v>
      </c>
      <c r="O67" s="56">
        <f t="shared" si="5"/>
        <v>12.11</v>
      </c>
      <c r="P67" s="56">
        <f t="shared" si="5"/>
        <v>11.63</v>
      </c>
      <c r="Q67" s="56">
        <f t="shared" si="5"/>
        <v>5.36</v>
      </c>
      <c r="R67" s="56">
        <f t="shared" si="5"/>
        <v>4.25</v>
      </c>
      <c r="S67" s="56">
        <f t="shared" si="5"/>
        <v>3.74</v>
      </c>
      <c r="T67" s="56">
        <f t="shared" si="5"/>
        <v>3.47</v>
      </c>
      <c r="U67" s="56">
        <f t="shared" si="5"/>
        <v>3.3</v>
      </c>
      <c r="V67" s="56">
        <f t="shared" si="5"/>
        <v>3.27</v>
      </c>
      <c r="W67" s="56">
        <f t="shared" si="5"/>
        <v>3.07</v>
      </c>
      <c r="X67" s="30" t="str" cm="1">
        <f t="array" ref="X67">IF(Y67="","",_xlfn.TEXTJOIN(";",TRUE,SUBSTITUTE($Y$1:$AG$1,"Qty ","")&amp;":"&amp;TEXT(Y67:AG67,"0.00"))&amp;";")</f>
        <v>1:17.33;10:16.03;25:8.93;50:7.22;100:6.47;250:5.85;500:5.67;750:5.58;1000:5.32;</v>
      </c>
      <c r="Y67" s="56">
        <f>'Blocking Prices'!$C$15+O67</f>
        <v>17.329999999999998</v>
      </c>
      <c r="Z67" s="56">
        <f>'Blocking Prices'!$D$15+P67</f>
        <v>16.03</v>
      </c>
      <c r="AA67" s="56">
        <f>'Blocking Prices'!$E$15+Q67</f>
        <v>8.93</v>
      </c>
      <c r="AB67" s="56">
        <f>'Blocking Prices'!$F$15+R67</f>
        <v>7.2200000000000006</v>
      </c>
      <c r="AC67" s="56">
        <f>'Blocking Prices'!$G$15+S67</f>
        <v>6.4700000000000006</v>
      </c>
      <c r="AD67" s="56">
        <f>'Blocking Prices'!$H$15+T67</f>
        <v>5.85</v>
      </c>
      <c r="AE67" s="56">
        <f>'Blocking Prices'!$I$15+U67</f>
        <v>5.67</v>
      </c>
      <c r="AF67" s="56">
        <f>'Blocking Prices'!$J$15+V67</f>
        <v>5.58</v>
      </c>
      <c r="AG67" s="56">
        <f>'Blocking Prices'!$K$15+W67</f>
        <v>5.32</v>
      </c>
      <c r="AH67" s="11"/>
      <c r="AI67" s="11"/>
      <c r="AJ67" s="11"/>
      <c r="AK67" s="11"/>
      <c r="AL67" s="12" t="s">
        <v>898</v>
      </c>
      <c r="AM67" s="12" t="s">
        <v>899</v>
      </c>
      <c r="AN67" s="12" t="str">
        <f>IFERROR(_xlfn.LET(_xlpm.v,INDEX('product-export-27-8-2026'!$A:$AJ,MATCH($A67,'product-export-27-8-2026'!$A:$A,0),MATCH(AN$1,'product-export-27-8-2026'!$1:$1,0)),IF(_xlpm.v="","",_xlpm.v)),"")</f>
        <v/>
      </c>
      <c r="AO67" s="12" t="str">
        <f>IFERROR(_xlfn.LET(_xlpm.v,INDEX('product-export-27-8-2026'!$A:$AJ,MATCH($A67,'product-export-27-8-2026'!$A:$A,0),MATCH(AO$1,'product-export-27-8-2026'!$1:$1,0)),IF(_xlpm.v="","",_xlpm.v)),"")</f>
        <v/>
      </c>
      <c r="AP67" s="12" t="str">
        <f>IFERROR(_xlfn.LET(_xlpm.v,INDEX('product-export-27-8-2026'!$A:$AJ,MATCH($A67,'product-export-27-8-2026'!$A:$A,0),MATCH(AP$1,'product-export-27-8-2026'!$1:$1,0)),IF(_xlpm.v="","",_xlpm.v)),"")</f>
        <v/>
      </c>
      <c r="AQ67" s="12" t="str">
        <f>IFERROR(_xlfn.LET(_xlpm.v,INDEX('product-export-27-8-2026'!$A:$AJ,MATCH($A67,'product-export-27-8-2026'!$A:$A,0),MATCH(AQ$1,'product-export-27-8-2026'!$1:$1,0)),IF(_xlpm.v="","",_xlpm.v)),"")</f>
        <v/>
      </c>
      <c r="AR67" s="12" t="str">
        <f>IFERROR(_xlfn.LET(_xlpm.v,INDEX('product-export-27-8-2026'!$A:$AJ,MATCH($A67,'product-export-27-8-2026'!$A:$A,0),MATCH(AR$1,'product-export-27-8-2026'!$1:$1,0)),IF(_xlpm.v="","",_xlpm.v)),"")</f>
        <v>Diaries &gt; A5 Diary, Diaries, Foil blocked, Richmond Collection, Diaries &gt; A5 Diary &gt; WTV</v>
      </c>
      <c r="AS67" s="12" t="str">
        <f>IFERROR(_xlfn.LET(_xlpm.v,INDEX('product-export-27-8-2026'!$A:$AJ,MATCH($A67,'product-export-27-8-2026'!$A:$A,0),MATCH(AS$1,'product-export-27-8-2026'!$1:$1,0)),IF(_xlpm.v="","",_xlpm.v)),"")</f>
        <v>Richmond-FineGrain-A5-Desk-Diary-Week-To-View</v>
      </c>
      <c r="BC67" s="15"/>
    </row>
    <row r="68" spans="1:55" s="14" customFormat="1" ht="27.6" customHeight="1" x14ac:dyDescent="0.3">
      <c r="A68" s="11">
        <v>984</v>
      </c>
      <c r="B68" s="12" t="s">
        <v>415</v>
      </c>
      <c r="C68" s="12" t="s">
        <v>18</v>
      </c>
      <c r="D68" s="12" t="s">
        <v>110</v>
      </c>
      <c r="E68" s="13" t="s">
        <v>110</v>
      </c>
      <c r="F68" s="12" t="s">
        <v>105</v>
      </c>
      <c r="G68" s="12" t="s">
        <v>14</v>
      </c>
      <c r="H68" s="12" t="s">
        <v>792</v>
      </c>
      <c r="I68" s="12" t="s">
        <v>20</v>
      </c>
      <c r="J68" s="12" t="s">
        <v>87</v>
      </c>
      <c r="K68" s="12" t="s">
        <v>1665</v>
      </c>
      <c r="L68" s="60">
        <v>0.48</v>
      </c>
      <c r="M68" s="11">
        <v>11.5</v>
      </c>
      <c r="N68" s="12" t="s">
        <v>81</v>
      </c>
      <c r="O68" s="56">
        <f t="shared" si="5"/>
        <v>12.11</v>
      </c>
      <c r="P68" s="56">
        <f t="shared" si="5"/>
        <v>11.63</v>
      </c>
      <c r="Q68" s="56">
        <f t="shared" si="5"/>
        <v>5.36</v>
      </c>
      <c r="R68" s="56">
        <f t="shared" si="5"/>
        <v>4.25</v>
      </c>
      <c r="S68" s="56">
        <f t="shared" si="5"/>
        <v>3.74</v>
      </c>
      <c r="T68" s="56">
        <f t="shared" si="5"/>
        <v>3.47</v>
      </c>
      <c r="U68" s="56">
        <f t="shared" si="5"/>
        <v>3.3</v>
      </c>
      <c r="V68" s="56">
        <f t="shared" si="5"/>
        <v>3.27</v>
      </c>
      <c r="W68" s="56">
        <f t="shared" si="5"/>
        <v>3.07</v>
      </c>
      <c r="X68" s="30" t="str" cm="1">
        <f t="array" ref="X68">IF(Y68="","",_xlfn.TEXTJOIN(";",TRUE,SUBSTITUTE($Y$1:$AG$1,"Qty ","")&amp;":"&amp;TEXT(Y68:AG68,"0.00"))&amp;";")</f>
        <v>1:17.33;10:16.03;25:8.93;50:7.22;100:6.47;250:5.85;500:5.67;750:5.58;1000:5.32;</v>
      </c>
      <c r="Y68" s="56">
        <f>'Blocking Prices'!$C$15+O68</f>
        <v>17.329999999999998</v>
      </c>
      <c r="Z68" s="56">
        <f>'Blocking Prices'!$D$15+P68</f>
        <v>16.03</v>
      </c>
      <c r="AA68" s="56">
        <f>'Blocking Prices'!$E$15+Q68</f>
        <v>8.93</v>
      </c>
      <c r="AB68" s="56">
        <f>'Blocking Prices'!$F$15+R68</f>
        <v>7.2200000000000006</v>
      </c>
      <c r="AC68" s="56">
        <f>'Blocking Prices'!$G$15+S68</f>
        <v>6.4700000000000006</v>
      </c>
      <c r="AD68" s="56">
        <f>'Blocking Prices'!$H$15+T68</f>
        <v>5.85</v>
      </c>
      <c r="AE68" s="56">
        <f>'Blocking Prices'!$I$15+U68</f>
        <v>5.67</v>
      </c>
      <c r="AF68" s="56">
        <f>'Blocking Prices'!$J$15+V68</f>
        <v>5.58</v>
      </c>
      <c r="AG68" s="56">
        <f>'Blocking Prices'!$K$15+W68</f>
        <v>5.32</v>
      </c>
      <c r="AH68" s="11"/>
      <c r="AI68" s="11"/>
      <c r="AJ68" s="11"/>
      <c r="AK68" s="11"/>
      <c r="AL68" s="12" t="s">
        <v>898</v>
      </c>
      <c r="AM68" s="12" t="s">
        <v>899</v>
      </c>
      <c r="AN68" s="12" t="str">
        <f>IFERROR(_xlfn.LET(_xlpm.v,INDEX('product-export-27-8-2026'!$A:$AJ,MATCH($A68,'product-export-27-8-2026'!$A:$A,0),MATCH(AN$1,'product-export-27-8-2026'!$1:$1,0)),IF(_xlpm.v="","",_xlpm.v)),"")</f>
        <v/>
      </c>
      <c r="AO68" s="12" t="str">
        <f>IFERROR(_xlfn.LET(_xlpm.v,INDEX('product-export-27-8-2026'!$A:$AJ,MATCH($A68,'product-export-27-8-2026'!$A:$A,0),MATCH(AO$1,'product-export-27-8-2026'!$1:$1,0)),IF(_xlpm.v="","",_xlpm.v)),"")</f>
        <v/>
      </c>
      <c r="AP68" s="12" t="str">
        <f>IFERROR(_xlfn.LET(_xlpm.v,INDEX('product-export-27-8-2026'!$A:$AJ,MATCH($A68,'product-export-27-8-2026'!$A:$A,0),MATCH(AP$1,'product-export-27-8-2026'!$1:$1,0)),IF(_xlpm.v="","",_xlpm.v)),"")</f>
        <v/>
      </c>
      <c r="AQ68" s="12" t="str">
        <f>IFERROR(_xlfn.LET(_xlpm.v,INDEX('product-export-27-8-2026'!$A:$AJ,MATCH($A68,'product-export-27-8-2026'!$A:$A,0),MATCH(AQ$1,'product-export-27-8-2026'!$1:$1,0)),IF(_xlpm.v="","",_xlpm.v)),"")</f>
        <v/>
      </c>
      <c r="AR68" s="12" t="str">
        <f>IFERROR(_xlfn.LET(_xlpm.v,INDEX('product-export-27-8-2026'!$A:$AJ,MATCH($A68,'product-export-27-8-2026'!$A:$A,0),MATCH(AR$1,'product-export-27-8-2026'!$1:$1,0)),IF(_xlpm.v="","",_xlpm.v)),"")</f>
        <v>Diaries &gt; A5 Diary, Diaries, Foil blocked, Richmond Collection, Diaries &gt; A5 Diary &gt; WTV</v>
      </c>
      <c r="AS68" s="12" t="str">
        <f>IFERROR(_xlfn.LET(_xlpm.v,INDEX('product-export-27-8-2026'!$A:$AJ,MATCH($A68,'product-export-27-8-2026'!$A:$A,0),MATCH(AS$1,'product-export-27-8-2026'!$1:$1,0)),IF(_xlpm.v="","",_xlpm.v)),"")</f>
        <v>Richmond-FineGrain-A5-Desk-Diary-Week-To-View</v>
      </c>
      <c r="BC68" s="15"/>
    </row>
    <row r="69" spans="1:55" s="7" customFormat="1" ht="27.6" customHeight="1" x14ac:dyDescent="0.3">
      <c r="A69" s="5">
        <v>988</v>
      </c>
      <c r="B69" s="4" t="s">
        <v>416</v>
      </c>
      <c r="C69" s="4" t="s">
        <v>18</v>
      </c>
      <c r="D69" s="4" t="s">
        <v>111</v>
      </c>
      <c r="E69" s="8" t="s">
        <v>111</v>
      </c>
      <c r="F69" s="4" t="s">
        <v>112</v>
      </c>
      <c r="G69" s="4" t="s">
        <v>14</v>
      </c>
      <c r="H69" s="4" t="s">
        <v>923</v>
      </c>
      <c r="I69" s="4" t="s">
        <v>41</v>
      </c>
      <c r="J69" s="4" t="s">
        <v>87</v>
      </c>
      <c r="K69" s="4" t="s">
        <v>1665</v>
      </c>
      <c r="L69" s="68">
        <v>0.48</v>
      </c>
      <c r="M69" s="5">
        <v>21.99</v>
      </c>
      <c r="N69" s="4" t="s">
        <v>113</v>
      </c>
      <c r="O69" s="69">
        <f t="shared" si="5"/>
        <v>19.98</v>
      </c>
      <c r="P69" s="69">
        <f t="shared" si="5"/>
        <v>19.059999999999999</v>
      </c>
      <c r="Q69" s="69">
        <f t="shared" si="5"/>
        <v>12.74</v>
      </c>
      <c r="R69" s="69">
        <f t="shared" si="5"/>
        <v>9.64</v>
      </c>
      <c r="S69" s="69">
        <f t="shared" si="5"/>
        <v>8.36</v>
      </c>
      <c r="T69" s="69">
        <f t="shared" si="5"/>
        <v>7.55</v>
      </c>
      <c r="U69" s="69">
        <f t="shared" si="5"/>
        <v>5.68</v>
      </c>
      <c r="V69" s="69">
        <f t="shared" si="5"/>
        <v>5.44</v>
      </c>
      <c r="W69" s="69">
        <f t="shared" si="5"/>
        <v>5.3</v>
      </c>
      <c r="X69" s="70"/>
      <c r="Y69" s="69"/>
      <c r="Z69" s="69"/>
      <c r="AA69" s="69"/>
      <c r="AB69" s="69"/>
      <c r="AC69" s="69"/>
      <c r="AD69" s="69"/>
      <c r="AE69" s="69"/>
      <c r="AF69" s="69"/>
      <c r="AG69" s="69"/>
      <c r="AH69" s="5"/>
      <c r="AI69" s="5"/>
      <c r="AJ69" s="5"/>
      <c r="AK69" s="5"/>
      <c r="AL69" s="4" t="s">
        <v>914</v>
      </c>
      <c r="AM69" s="4" t="s">
        <v>915</v>
      </c>
      <c r="AN69" s="4" t="str">
        <f>IFERROR(_xlfn.LET(_xlpm.v,INDEX('product-export-27-8-2026'!$A:$AJ,MATCH($A69,'product-export-27-8-2026'!$A:$A,0),MATCH(AN$1,'product-export-27-8-2026'!$1:$1,0)),IF(_xlpm.v="","",_xlpm.v)),"")</f>
        <v/>
      </c>
      <c r="AO69" s="4" t="str">
        <f>IFERROR(_xlfn.LET(_xlpm.v,INDEX('product-export-27-8-2026'!$A:$AJ,MATCH($A69,'product-export-27-8-2026'!$A:$A,0),MATCH(AO$1,'product-export-27-8-2026'!$1:$1,0)),IF(_xlpm.v="","",_xlpm.v)),"")</f>
        <v/>
      </c>
      <c r="AP69" s="4" t="str">
        <f>IFERROR(_xlfn.LET(_xlpm.v,INDEX('product-export-27-8-2026'!$A:$AJ,MATCH($A69,'product-export-27-8-2026'!$A:$A,0),MATCH(AP$1,'product-export-27-8-2026'!$1:$1,0)),IF(_xlpm.v="","",_xlpm.v)),"")</f>
        <v/>
      </c>
      <c r="AQ69" s="4" t="str">
        <f>IFERROR(_xlfn.LET(_xlpm.v,INDEX('product-export-27-8-2026'!$A:$AJ,MATCH($A69,'product-export-27-8-2026'!$A:$A,0),MATCH(AQ$1,'product-export-27-8-2026'!$1:$1,0)),IF(_xlpm.v="","",_xlpm.v)),"")</f>
        <v/>
      </c>
      <c r="AR69" s="4" t="str">
        <f>IFERROR(_xlfn.LET(_xlpm.v,INDEX('product-export-27-8-2026'!$A:$AJ,MATCH($A69,'product-export-27-8-2026'!$A:$A,0),MATCH(AR$1,'product-export-27-8-2026'!$1:$1,0)),IF(_xlpm.v="","",_xlpm.v)),"")</f>
        <v>Diaries &gt; A5 Diary, Diaries, Diaries &gt; A5 Diary &gt; DPP, Graphic Print Collection</v>
      </c>
      <c r="AS69" s="4" t="str">
        <f>IFERROR(_xlfn.LET(_xlpm.v,INDEX('product-export-27-8-2026'!$A:$AJ,MATCH($A69,'product-export-27-8-2026'!$A:$A,0),MATCH(AS$1,'product-export-27-8-2026'!$1:$1,0)),IF(_xlpm.v="","",_xlpm.v)),"")</f>
        <v>Graphic-Prints-A5-Diary-Week-to-View</v>
      </c>
      <c r="BC69" s="71"/>
    </row>
    <row r="70" spans="1:55" s="66" customFormat="1" ht="27.6" customHeight="1" x14ac:dyDescent="0.3">
      <c r="A70" s="61">
        <v>990</v>
      </c>
      <c r="B70" s="62" t="s">
        <v>417</v>
      </c>
      <c r="C70" s="62" t="s">
        <v>18</v>
      </c>
      <c r="D70" s="62" t="s">
        <v>114</v>
      </c>
      <c r="E70" s="63" t="s">
        <v>114</v>
      </c>
      <c r="F70" s="62" t="s">
        <v>115</v>
      </c>
      <c r="G70" s="62" t="s">
        <v>14</v>
      </c>
      <c r="H70" s="62" t="s">
        <v>923</v>
      </c>
      <c r="I70" s="62" t="s">
        <v>20</v>
      </c>
      <c r="J70" s="62" t="s">
        <v>87</v>
      </c>
      <c r="K70" s="4" t="s">
        <v>1665</v>
      </c>
      <c r="L70" s="68">
        <v>0.48</v>
      </c>
      <c r="M70" s="61">
        <v>15.5</v>
      </c>
      <c r="N70" s="62" t="s">
        <v>1596</v>
      </c>
      <c r="O70" s="64">
        <f t="shared" si="5"/>
        <v>15.11</v>
      </c>
      <c r="P70" s="64">
        <f t="shared" si="5"/>
        <v>14.46</v>
      </c>
      <c r="Q70" s="64">
        <f t="shared" si="5"/>
        <v>9.42</v>
      </c>
      <c r="R70" s="64">
        <f t="shared" si="5"/>
        <v>7.14</v>
      </c>
      <c r="S70" s="64">
        <f t="shared" si="5"/>
        <v>6.24</v>
      </c>
      <c r="T70" s="64">
        <f t="shared" si="5"/>
        <v>4.46</v>
      </c>
      <c r="U70" s="64">
        <f t="shared" si="5"/>
        <v>4.22</v>
      </c>
      <c r="V70" s="64">
        <f t="shared" si="5"/>
        <v>4.0999999999999996</v>
      </c>
      <c r="W70" s="64">
        <f t="shared" si="5"/>
        <v>4</v>
      </c>
      <c r="X70" s="65"/>
      <c r="Y70" s="69"/>
      <c r="Z70" s="69"/>
      <c r="AA70" s="69"/>
      <c r="AB70" s="69"/>
      <c r="AC70" s="69"/>
      <c r="AD70" s="69"/>
      <c r="AE70" s="69"/>
      <c r="AF70" s="69"/>
      <c r="AG70" s="69"/>
      <c r="AH70" s="61"/>
      <c r="AI70" s="61"/>
      <c r="AJ70" s="61"/>
      <c r="AK70" s="61"/>
      <c r="AL70" s="62" t="s">
        <v>914</v>
      </c>
      <c r="AM70" s="62" t="s">
        <v>915</v>
      </c>
      <c r="AN70" s="62" t="str">
        <f>IFERROR(_xlfn.LET(_xlpm.v,INDEX('product-export-27-8-2026'!$A:$AJ,MATCH($A70,'product-export-27-8-2026'!$A:$A,0),MATCH(AN$1,'product-export-27-8-2026'!$1:$1,0)),IF(_xlpm.v="","",_xlpm.v)),"")</f>
        <v/>
      </c>
      <c r="AO70" s="62" t="str">
        <f>IFERROR(_xlfn.LET(_xlpm.v,INDEX('product-export-27-8-2026'!$A:$AJ,MATCH($A70,'product-export-27-8-2026'!$A:$A,0),MATCH(AO$1,'product-export-27-8-2026'!$1:$1,0)),IF(_xlpm.v="","",_xlpm.v)),"")</f>
        <v/>
      </c>
      <c r="AP70" s="62" t="str">
        <f>IFERROR(_xlfn.LET(_xlpm.v,INDEX('product-export-27-8-2026'!$A:$AJ,MATCH($A70,'product-export-27-8-2026'!$A:$A,0),MATCH(AP$1,'product-export-27-8-2026'!$1:$1,0)),IF(_xlpm.v="","",_xlpm.v)),"")</f>
        <v/>
      </c>
      <c r="AQ70" s="62" t="str">
        <f>IFERROR(_xlfn.LET(_xlpm.v,INDEX('product-export-27-8-2026'!$A:$AJ,MATCH($A70,'product-export-27-8-2026'!$A:$A,0),MATCH(AQ$1,'product-export-27-8-2026'!$1:$1,0)),IF(_xlpm.v="","",_xlpm.v)),"")</f>
        <v/>
      </c>
      <c r="AR70" s="62" t="str">
        <f>IFERROR(_xlfn.LET(_xlpm.v,INDEX('product-export-27-8-2026'!$A:$AJ,MATCH($A70,'product-export-27-8-2026'!$A:$A,0),MATCH(AR$1,'product-export-27-8-2026'!$1:$1,0)),IF(_xlpm.v="","",_xlpm.v)),"")</f>
        <v>Diaries &gt; A5 Diary, Diaries, Graphic Print Collection, Diaries &gt; A5 Diary &gt; WTV</v>
      </c>
      <c r="AS70" s="62" t="str">
        <f>IFERROR(_xlfn.LET(_xlpm.v,INDEX('product-export-27-8-2026'!$A:$AJ,MATCH($A70,'product-export-27-8-2026'!$A:$A,0),MATCH(AS$1,'product-export-27-8-2026'!$1:$1,0)),IF(_xlpm.v="","",_xlpm.v)),"")</f>
        <v>Graphic-Prints-A5-Diary-Week-to-View</v>
      </c>
      <c r="BC70" s="67"/>
    </row>
    <row r="71" spans="1:55" s="20" customFormat="1" ht="27.6" customHeight="1" x14ac:dyDescent="0.3">
      <c r="A71" s="17">
        <v>992</v>
      </c>
      <c r="B71" s="18" t="s">
        <v>418</v>
      </c>
      <c r="C71" s="18" t="s">
        <v>18</v>
      </c>
      <c r="D71" s="18" t="s">
        <v>116</v>
      </c>
      <c r="E71" s="19" t="s">
        <v>116</v>
      </c>
      <c r="F71" s="18" t="s">
        <v>1543</v>
      </c>
      <c r="G71" s="18" t="s">
        <v>117</v>
      </c>
      <c r="H71" s="18" t="s">
        <v>672</v>
      </c>
      <c r="I71" s="18" t="s">
        <v>20</v>
      </c>
      <c r="J71" s="18" t="s">
        <v>1541</v>
      </c>
      <c r="K71" s="18" t="s">
        <v>1667</v>
      </c>
      <c r="L71" s="54">
        <v>0.48</v>
      </c>
      <c r="M71" s="17">
        <v>26.99</v>
      </c>
      <c r="N71" s="18" t="s">
        <v>118</v>
      </c>
      <c r="O71" s="58">
        <f t="shared" si="5"/>
        <v>24.33</v>
      </c>
      <c r="P71" s="58">
        <f t="shared" si="5"/>
        <v>23.21</v>
      </c>
      <c r="Q71" s="58">
        <f t="shared" si="5"/>
        <v>19.350000000000001</v>
      </c>
      <c r="R71" s="58">
        <f t="shared" si="5"/>
        <v>15.29</v>
      </c>
      <c r="S71" s="58">
        <f t="shared" si="5"/>
        <v>13.03</v>
      </c>
      <c r="T71" s="58">
        <f t="shared" si="5"/>
        <v>12.21</v>
      </c>
      <c r="U71" s="58">
        <f t="shared" si="5"/>
        <v>11.74</v>
      </c>
      <c r="V71" s="58">
        <f t="shared" si="5"/>
        <v>11.14</v>
      </c>
      <c r="W71" s="58">
        <f t="shared" si="5"/>
        <v>10.37</v>
      </c>
      <c r="X71" s="31" t="str" cm="1">
        <f t="array" ref="X71">IF(Y71="","",_xlfn.TEXTJOIN(";",TRUE,SUBSTITUTE($Y$1:$AG$1,"Qty ","")&amp;":"&amp;TEXT(Y71:AG71,"0.00"))&amp;";")</f>
        <v>1:30.45;10:28.72;25:24.24;50:19.37;100:16.75;250:15.60;500:15.01;750:14.41;1000:13.55;</v>
      </c>
      <c r="Y71" s="56">
        <f>'Blocking Prices'!$C$16+O71</f>
        <v>30.45</v>
      </c>
      <c r="Z71" s="56">
        <f>'Blocking Prices'!$D$16+P71</f>
        <v>28.72</v>
      </c>
      <c r="AA71" s="56">
        <f>'Blocking Prices'!$E$16+Q71</f>
        <v>24.240000000000002</v>
      </c>
      <c r="AB71" s="56">
        <f>'Blocking Prices'!$F$16+R71</f>
        <v>19.369999999999997</v>
      </c>
      <c r="AC71" s="56">
        <f>'Blocking Prices'!$G$16+S71</f>
        <v>16.75</v>
      </c>
      <c r="AD71" s="56">
        <f>'Blocking Prices'!$H$16+T71</f>
        <v>15.600000000000001</v>
      </c>
      <c r="AE71" s="56">
        <f>'Blocking Prices'!$I$16+U71</f>
        <v>15.01</v>
      </c>
      <c r="AF71" s="56">
        <f>'Blocking Prices'!$J$16+V71</f>
        <v>14.41</v>
      </c>
      <c r="AG71" s="56">
        <f>'Blocking Prices'!$K$16+W71</f>
        <v>13.549999999999999</v>
      </c>
      <c r="AH71" s="17"/>
      <c r="AI71" s="17"/>
      <c r="AJ71" s="17"/>
      <c r="AK71" s="17"/>
      <c r="AL71" s="18" t="s">
        <v>925</v>
      </c>
      <c r="AM71" s="18" t="s">
        <v>926</v>
      </c>
      <c r="AN71" s="18" t="str">
        <f>IFERROR(_xlfn.LET(_xlpm.v,INDEX('product-export-27-8-2026'!$A:$AJ,MATCH($A71,'product-export-27-8-2026'!$A:$A,0),MATCH(AN$1,'product-export-27-8-2026'!$1:$1,0)),IF(_xlpm.v="","",_xlpm.v)),"")</f>
        <v/>
      </c>
      <c r="AO71" s="18" t="str">
        <f>IFERROR(_xlfn.LET(_xlpm.v,INDEX('product-export-27-8-2026'!$A:$AJ,MATCH($A71,'product-export-27-8-2026'!$A:$A,0),MATCH(AO$1,'product-export-27-8-2026'!$1:$1,0)),IF(_xlpm.v="","",_xlpm.v)),"")</f>
        <v/>
      </c>
      <c r="AP71" s="18" t="str">
        <f>IFERROR(_xlfn.LET(_xlpm.v,INDEX('product-export-27-8-2026'!$A:$AJ,MATCH($A71,'product-export-27-8-2026'!$A:$A,0),MATCH(AP$1,'product-export-27-8-2026'!$1:$1,0)),IF(_xlpm.v="","",_xlpm.v)),"")</f>
        <v/>
      </c>
      <c r="AQ71" s="18" t="str">
        <f>IFERROR(_xlfn.LET(_xlpm.v,INDEX('product-export-27-8-2026'!$A:$AJ,MATCH($A71,'product-export-27-8-2026'!$A:$A,0),MATCH(AQ$1,'product-export-27-8-2026'!$1:$1,0)),IF(_xlpm.v="","",_xlpm.v)),"")</f>
        <v/>
      </c>
      <c r="AR71" s="18" t="str">
        <f>IFERROR(_xlfn.LET(_xlpm.v,INDEX('product-export-27-8-2026'!$A:$AJ,MATCH($A71,'product-export-27-8-2026'!$A:$A,0),MATCH(AR$1,'product-export-27-8-2026'!$1:$1,0)),IF(_xlpm.v="","",_xlpm.v)),"")</f>
        <v>Chelsea Collection, Diaries, Foil blocked, Diaries &gt; Quarto Diary, Diaries &gt; Quarto Diary &gt; Quarto WTV, Diaries &gt; Real Leather</v>
      </c>
      <c r="AS71" s="18" t="str">
        <f>IFERROR(_xlfn.LET(_xlpm.v,INDEX('product-export-27-8-2026'!$A:$AJ,MATCH($A71,'product-export-27-8-2026'!$A:$A,0),MATCH(AS$1,'product-export-27-8-2026'!$1:$1,0)),IF(_xlpm.v="","",_xlpm.v)),"")</f>
        <v>Chelsea-Leather-Quarto-Diary-Week-To-View</v>
      </c>
      <c r="BC71" s="21"/>
    </row>
    <row r="72" spans="1:55" s="20" customFormat="1" ht="27.6" customHeight="1" x14ac:dyDescent="0.3">
      <c r="A72" s="17">
        <v>995</v>
      </c>
      <c r="B72" s="18" t="s">
        <v>419</v>
      </c>
      <c r="C72" s="18" t="s">
        <v>18</v>
      </c>
      <c r="D72" s="18" t="s">
        <v>119</v>
      </c>
      <c r="E72" s="19" t="s">
        <v>119</v>
      </c>
      <c r="F72" s="18" t="s">
        <v>1543</v>
      </c>
      <c r="G72" s="18" t="s">
        <v>117</v>
      </c>
      <c r="H72" s="18" t="s">
        <v>728</v>
      </c>
      <c r="I72" s="18" t="s">
        <v>20</v>
      </c>
      <c r="J72" s="18" t="s">
        <v>1541</v>
      </c>
      <c r="K72" s="18" t="s">
        <v>1667</v>
      </c>
      <c r="L72" s="54">
        <v>0.48</v>
      </c>
      <c r="M72" s="17">
        <v>26.99</v>
      </c>
      <c r="N72" s="18" t="s">
        <v>118</v>
      </c>
      <c r="O72" s="58">
        <f t="shared" ref="O72:W81" si="6">IFERROR(VALUE(_xlfn.TEXTBEFORE(_xlfn.TEXTAFTER(";"&amp;$N72,";"&amp;SUBSTITUTE(O$1,"Qty ","")&amp;":"),";")),"")</f>
        <v>24.33</v>
      </c>
      <c r="P72" s="58">
        <f t="shared" si="6"/>
        <v>23.21</v>
      </c>
      <c r="Q72" s="58">
        <f t="shared" si="6"/>
        <v>19.350000000000001</v>
      </c>
      <c r="R72" s="58">
        <f t="shared" si="6"/>
        <v>15.29</v>
      </c>
      <c r="S72" s="58">
        <f t="shared" si="6"/>
        <v>13.03</v>
      </c>
      <c r="T72" s="58">
        <f t="shared" si="6"/>
        <v>12.21</v>
      </c>
      <c r="U72" s="58">
        <f t="shared" si="6"/>
        <v>11.74</v>
      </c>
      <c r="V72" s="58">
        <f t="shared" si="6"/>
        <v>11.14</v>
      </c>
      <c r="W72" s="58">
        <f t="shared" si="6"/>
        <v>10.37</v>
      </c>
      <c r="X72" s="31" t="str" cm="1">
        <f t="array" ref="X72">IF(Y72="","",_xlfn.TEXTJOIN(";",TRUE,SUBSTITUTE($Y$1:$AG$1,"Qty ","")&amp;":"&amp;TEXT(Y72:AG72,"0.00"))&amp;";")</f>
        <v>1:30.45;10:28.72;25:24.24;50:19.37;100:16.75;250:15.60;500:15.01;750:14.41;1000:13.55;</v>
      </c>
      <c r="Y72" s="56">
        <f>'Blocking Prices'!$C$16+O72</f>
        <v>30.45</v>
      </c>
      <c r="Z72" s="56">
        <f>'Blocking Prices'!$D$16+P72</f>
        <v>28.72</v>
      </c>
      <c r="AA72" s="56">
        <f>'Blocking Prices'!$E$16+Q72</f>
        <v>24.240000000000002</v>
      </c>
      <c r="AB72" s="56">
        <f>'Blocking Prices'!$F$16+R72</f>
        <v>19.369999999999997</v>
      </c>
      <c r="AC72" s="56">
        <f>'Blocking Prices'!$G$16+S72</f>
        <v>16.75</v>
      </c>
      <c r="AD72" s="56">
        <f>'Blocking Prices'!$H$16+T72</f>
        <v>15.600000000000001</v>
      </c>
      <c r="AE72" s="56">
        <f>'Blocking Prices'!$I$16+U72</f>
        <v>15.01</v>
      </c>
      <c r="AF72" s="56">
        <f>'Blocking Prices'!$J$16+V72</f>
        <v>14.41</v>
      </c>
      <c r="AG72" s="56">
        <f>'Blocking Prices'!$K$16+W72</f>
        <v>13.549999999999999</v>
      </c>
      <c r="AH72" s="17"/>
      <c r="AI72" s="17"/>
      <c r="AJ72" s="17"/>
      <c r="AK72" s="17"/>
      <c r="AL72" s="18" t="s">
        <v>925</v>
      </c>
      <c r="AM72" s="18" t="s">
        <v>926</v>
      </c>
      <c r="AN72" s="18" t="str">
        <f>IFERROR(_xlfn.LET(_xlpm.v,INDEX('product-export-27-8-2026'!$A:$AJ,MATCH($A72,'product-export-27-8-2026'!$A:$A,0),MATCH(AN$1,'product-export-27-8-2026'!$1:$1,0)),IF(_xlpm.v="","",_xlpm.v)),"")</f>
        <v/>
      </c>
      <c r="AO72" s="18" t="str">
        <f>IFERROR(_xlfn.LET(_xlpm.v,INDEX('product-export-27-8-2026'!$A:$AJ,MATCH($A72,'product-export-27-8-2026'!$A:$A,0),MATCH(AO$1,'product-export-27-8-2026'!$1:$1,0)),IF(_xlpm.v="","",_xlpm.v)),"")</f>
        <v/>
      </c>
      <c r="AP72" s="18" t="str">
        <f>IFERROR(_xlfn.LET(_xlpm.v,INDEX('product-export-27-8-2026'!$A:$AJ,MATCH($A72,'product-export-27-8-2026'!$A:$A,0),MATCH(AP$1,'product-export-27-8-2026'!$1:$1,0)),IF(_xlpm.v="","",_xlpm.v)),"")</f>
        <v/>
      </c>
      <c r="AQ72" s="18" t="str">
        <f>IFERROR(_xlfn.LET(_xlpm.v,INDEX('product-export-27-8-2026'!$A:$AJ,MATCH($A72,'product-export-27-8-2026'!$A:$A,0),MATCH(AQ$1,'product-export-27-8-2026'!$1:$1,0)),IF(_xlpm.v="","",_xlpm.v)),"")</f>
        <v/>
      </c>
      <c r="AR72" s="18" t="str">
        <f>IFERROR(_xlfn.LET(_xlpm.v,INDEX('product-export-27-8-2026'!$A:$AJ,MATCH($A72,'product-export-27-8-2026'!$A:$A,0),MATCH(AR$1,'product-export-27-8-2026'!$1:$1,0)),IF(_xlpm.v="","",_xlpm.v)),"")</f>
        <v>Chelsea Collection, Diaries, Foil blocked, Diaries &gt; Quarto Diary, Diaries &gt; Quarto Diary &gt; Quarto WTV, Diaries &gt; Real Leather</v>
      </c>
      <c r="AS72" s="18" t="str">
        <f>IFERROR(_xlfn.LET(_xlpm.v,INDEX('product-export-27-8-2026'!$A:$AJ,MATCH($A72,'product-export-27-8-2026'!$A:$A,0),MATCH(AS$1,'product-export-27-8-2026'!$1:$1,0)),IF(_xlpm.v="","",_xlpm.v)),"")</f>
        <v>Chelsea-Leather-Quarto-Diary-Week-To-View</v>
      </c>
      <c r="BC72" s="21"/>
    </row>
    <row r="73" spans="1:55" s="14" customFormat="1" ht="27.6" customHeight="1" x14ac:dyDescent="0.3">
      <c r="A73" s="11">
        <v>997</v>
      </c>
      <c r="B73" s="12" t="s">
        <v>420</v>
      </c>
      <c r="C73" s="12" t="s">
        <v>18</v>
      </c>
      <c r="D73" s="12" t="s">
        <v>120</v>
      </c>
      <c r="E73" s="13" t="s">
        <v>120</v>
      </c>
      <c r="F73" s="12" t="s">
        <v>121</v>
      </c>
      <c r="G73" s="12" t="s">
        <v>117</v>
      </c>
      <c r="H73" s="12" t="s">
        <v>1577</v>
      </c>
      <c r="I73" s="12" t="s">
        <v>20</v>
      </c>
      <c r="J73" s="12" t="s">
        <v>91</v>
      </c>
      <c r="K73" s="18" t="s">
        <v>1667</v>
      </c>
      <c r="L73" s="54">
        <v>0.48</v>
      </c>
      <c r="M73" s="11">
        <v>15.5</v>
      </c>
      <c r="N73" s="12" t="s">
        <v>122</v>
      </c>
      <c r="O73" s="56">
        <f t="shared" si="6"/>
        <v>15.67</v>
      </c>
      <c r="P73" s="56">
        <f t="shared" si="6"/>
        <v>15.02</v>
      </c>
      <c r="Q73" s="56">
        <f t="shared" si="6"/>
        <v>10.9</v>
      </c>
      <c r="R73" s="56">
        <f t="shared" si="6"/>
        <v>9.74</v>
      </c>
      <c r="S73" s="56">
        <f t="shared" si="6"/>
        <v>9.0500000000000007</v>
      </c>
      <c r="T73" s="56">
        <f t="shared" si="6"/>
        <v>8.39</v>
      </c>
      <c r="U73" s="56">
        <f t="shared" si="6"/>
        <v>8.06</v>
      </c>
      <c r="V73" s="56">
        <f t="shared" si="6"/>
        <v>7.7</v>
      </c>
      <c r="W73" s="56">
        <f t="shared" si="6"/>
        <v>7.25</v>
      </c>
      <c r="X73" s="30" t="str" cm="1">
        <f t="array" ref="X73">IF(Y73="","",_xlfn.TEXTJOIN(";",TRUE,SUBSTITUTE($Y$1:$AG$1,"Qty ","")&amp;":"&amp;TEXT(Y73:AG73,"0.00"))&amp;";")</f>
        <v>1:21.79;10:20.53;25:15.79;50:13.82;100:12.77;250:11.78;500:11.33;750:10.97;1000:10.43;</v>
      </c>
      <c r="Y73" s="56">
        <f>'Blocking Prices'!$C$16+O73</f>
        <v>21.79</v>
      </c>
      <c r="Z73" s="56">
        <f>'Blocking Prices'!$D$16+P73</f>
        <v>20.53</v>
      </c>
      <c r="AA73" s="56">
        <f>'Blocking Prices'!$E$16+Q73</f>
        <v>15.79</v>
      </c>
      <c r="AB73" s="56">
        <f>'Blocking Prices'!$F$16+R73</f>
        <v>13.82</v>
      </c>
      <c r="AC73" s="56">
        <f>'Blocking Prices'!$G$16+S73</f>
        <v>12.770000000000001</v>
      </c>
      <c r="AD73" s="56">
        <f>'Blocking Prices'!$H$16+T73</f>
        <v>11.780000000000001</v>
      </c>
      <c r="AE73" s="56">
        <f>'Blocking Prices'!$I$16+U73</f>
        <v>11.33</v>
      </c>
      <c r="AF73" s="56">
        <f>'Blocking Prices'!$J$16+V73</f>
        <v>10.97</v>
      </c>
      <c r="AG73" s="56">
        <f>'Blocking Prices'!$K$16+W73</f>
        <v>10.43</v>
      </c>
      <c r="AH73" s="11"/>
      <c r="AI73" s="11"/>
      <c r="AJ73" s="11"/>
      <c r="AK73" s="11"/>
      <c r="AL73" s="12" t="s">
        <v>936</v>
      </c>
      <c r="AM73" s="12" t="s">
        <v>937</v>
      </c>
      <c r="AN73" s="12" t="str">
        <f>IFERROR(_xlfn.LET(_xlpm.v,INDEX('product-export-27-8-2026'!$A:$AJ,MATCH($A73,'product-export-27-8-2026'!$A:$A,0),MATCH(AN$1,'product-export-27-8-2026'!$1:$1,0)),IF(_xlpm.v="","",_xlpm.v)),"")</f>
        <v/>
      </c>
      <c r="AO73" s="12" t="str">
        <f>IFERROR(_xlfn.LET(_xlpm.v,INDEX('product-export-27-8-2026'!$A:$AJ,MATCH($A73,'product-export-27-8-2026'!$A:$A,0),MATCH(AO$1,'product-export-27-8-2026'!$1:$1,0)),IF(_xlpm.v="","",_xlpm.v)),"")</f>
        <v/>
      </c>
      <c r="AP73" s="12" t="str">
        <f>IFERROR(_xlfn.LET(_xlpm.v,INDEX('product-export-27-8-2026'!$A:$AJ,MATCH($A73,'product-export-27-8-2026'!$A:$A,0),MATCH(AP$1,'product-export-27-8-2026'!$1:$1,0)),IF(_xlpm.v="","",_xlpm.v)),"")</f>
        <v/>
      </c>
      <c r="AQ73" s="12" t="str">
        <f>IFERROR(_xlfn.LET(_xlpm.v,INDEX('product-export-27-8-2026'!$A:$AJ,MATCH($A73,'product-export-27-8-2026'!$A:$A,0),MATCH(AQ$1,'product-export-27-8-2026'!$1:$1,0)),IF(_xlpm.v="","",_xlpm.v)),"")</f>
        <v/>
      </c>
      <c r="AR73" s="12" t="str">
        <f>IFERROR(_xlfn.LET(_xlpm.v,INDEX('product-export-27-8-2026'!$A:$AJ,MATCH($A73,'product-export-27-8-2026'!$A:$A,0),MATCH(AR$1,'product-export-27-8-2026'!$1:$1,0)),IF(_xlpm.v="","",_xlpm.v)),"")</f>
        <v>Diaries, Dorchester Collection, Diaries &gt; Quarto Diary, Diaries &gt; Quarto Diary &gt; Quarto WTV</v>
      </c>
      <c r="AS73" s="12" t="str">
        <f>IFERROR(_xlfn.LET(_xlpm.v,INDEX('product-export-27-8-2026'!$A:$AJ,MATCH($A73,'product-export-27-8-2026'!$A:$A,0),MATCH(AS$1,'product-export-27-8-2026'!$1:$1,0)),IF(_xlpm.v="","",_xlpm.v)),"")</f>
        <v>Dorchester-Bicolour-Quarto-Desk-Diary-Week-to-View</v>
      </c>
      <c r="BC73" s="15"/>
    </row>
    <row r="74" spans="1:55" s="14" customFormat="1" ht="27.6" customHeight="1" x14ac:dyDescent="0.3">
      <c r="A74" s="11">
        <v>1000</v>
      </c>
      <c r="B74" s="12" t="s">
        <v>421</v>
      </c>
      <c r="C74" s="12" t="s">
        <v>18</v>
      </c>
      <c r="D74" s="12" t="s">
        <v>123</v>
      </c>
      <c r="E74" s="13" t="s">
        <v>123</v>
      </c>
      <c r="F74" s="12" t="s">
        <v>121</v>
      </c>
      <c r="G74" s="12" t="s">
        <v>117</v>
      </c>
      <c r="H74" s="12" t="s">
        <v>1581</v>
      </c>
      <c r="I74" s="12" t="s">
        <v>20</v>
      </c>
      <c r="J74" s="12" t="s">
        <v>91</v>
      </c>
      <c r="K74" s="18" t="s">
        <v>1667</v>
      </c>
      <c r="L74" s="54">
        <v>0.48</v>
      </c>
      <c r="M74" s="11">
        <v>15.5</v>
      </c>
      <c r="N74" s="12" t="s">
        <v>122</v>
      </c>
      <c r="O74" s="56">
        <f t="shared" si="6"/>
        <v>15.67</v>
      </c>
      <c r="P74" s="56">
        <f t="shared" si="6"/>
        <v>15.02</v>
      </c>
      <c r="Q74" s="56">
        <f t="shared" si="6"/>
        <v>10.9</v>
      </c>
      <c r="R74" s="56">
        <f t="shared" si="6"/>
        <v>9.74</v>
      </c>
      <c r="S74" s="56">
        <f t="shared" si="6"/>
        <v>9.0500000000000007</v>
      </c>
      <c r="T74" s="56">
        <f t="shared" si="6"/>
        <v>8.39</v>
      </c>
      <c r="U74" s="56">
        <f t="shared" si="6"/>
        <v>8.06</v>
      </c>
      <c r="V74" s="56">
        <f t="shared" si="6"/>
        <v>7.7</v>
      </c>
      <c r="W74" s="56">
        <f t="shared" si="6"/>
        <v>7.25</v>
      </c>
      <c r="X74" s="30" t="str" cm="1">
        <f t="array" ref="X74">IF(Y74="","",_xlfn.TEXTJOIN(";",TRUE,SUBSTITUTE($Y$1:$AG$1,"Qty ","")&amp;":"&amp;TEXT(Y74:AG74,"0.00"))&amp;";")</f>
        <v>1:21.79;10:20.53;25:15.79;50:13.82;100:12.77;250:11.78;500:11.33;750:10.97;1000:10.43;</v>
      </c>
      <c r="Y74" s="56">
        <f>'Blocking Prices'!$C$16+O74</f>
        <v>21.79</v>
      </c>
      <c r="Z74" s="56">
        <f>'Blocking Prices'!$D$16+P74</f>
        <v>20.53</v>
      </c>
      <c r="AA74" s="56">
        <f>'Blocking Prices'!$E$16+Q74</f>
        <v>15.79</v>
      </c>
      <c r="AB74" s="56">
        <f>'Blocking Prices'!$F$16+R74</f>
        <v>13.82</v>
      </c>
      <c r="AC74" s="56">
        <f>'Blocking Prices'!$G$16+S74</f>
        <v>12.770000000000001</v>
      </c>
      <c r="AD74" s="56">
        <f>'Blocking Prices'!$H$16+T74</f>
        <v>11.780000000000001</v>
      </c>
      <c r="AE74" s="56">
        <f>'Blocking Prices'!$I$16+U74</f>
        <v>11.33</v>
      </c>
      <c r="AF74" s="56">
        <f>'Blocking Prices'!$J$16+V74</f>
        <v>10.97</v>
      </c>
      <c r="AG74" s="56">
        <f>'Blocking Prices'!$K$16+W74</f>
        <v>10.43</v>
      </c>
      <c r="AH74" s="11"/>
      <c r="AI74" s="11"/>
      <c r="AJ74" s="11"/>
      <c r="AK74" s="11"/>
      <c r="AL74" s="12" t="s">
        <v>936</v>
      </c>
      <c r="AM74" s="12" t="s">
        <v>937</v>
      </c>
      <c r="AN74" s="12" t="str">
        <f>IFERROR(_xlfn.LET(_xlpm.v,INDEX('product-export-27-8-2026'!$A:$AJ,MATCH($A74,'product-export-27-8-2026'!$A:$A,0),MATCH(AN$1,'product-export-27-8-2026'!$1:$1,0)),IF(_xlpm.v="","",_xlpm.v)),"")</f>
        <v/>
      </c>
      <c r="AO74" s="12" t="str">
        <f>IFERROR(_xlfn.LET(_xlpm.v,INDEX('product-export-27-8-2026'!$A:$AJ,MATCH($A74,'product-export-27-8-2026'!$A:$A,0),MATCH(AO$1,'product-export-27-8-2026'!$1:$1,0)),IF(_xlpm.v="","",_xlpm.v)),"")</f>
        <v/>
      </c>
      <c r="AP74" s="12" t="str">
        <f>IFERROR(_xlfn.LET(_xlpm.v,INDEX('product-export-27-8-2026'!$A:$AJ,MATCH($A74,'product-export-27-8-2026'!$A:$A,0),MATCH(AP$1,'product-export-27-8-2026'!$1:$1,0)),IF(_xlpm.v="","",_xlpm.v)),"")</f>
        <v/>
      </c>
      <c r="AQ74" s="12" t="str">
        <f>IFERROR(_xlfn.LET(_xlpm.v,INDEX('product-export-27-8-2026'!$A:$AJ,MATCH($A74,'product-export-27-8-2026'!$A:$A,0),MATCH(AQ$1,'product-export-27-8-2026'!$1:$1,0)),IF(_xlpm.v="","",_xlpm.v)),"")</f>
        <v/>
      </c>
      <c r="AR74" s="12" t="str">
        <f>IFERROR(_xlfn.LET(_xlpm.v,INDEX('product-export-27-8-2026'!$A:$AJ,MATCH($A74,'product-export-27-8-2026'!$A:$A,0),MATCH(AR$1,'product-export-27-8-2026'!$1:$1,0)),IF(_xlpm.v="","",_xlpm.v)),"")</f>
        <v>Diaries, Dorchester Collection, Diaries &gt; Quarto Diary, Diaries &gt; Quarto Diary &gt; Quarto WTV</v>
      </c>
      <c r="AS74" s="12" t="str">
        <f>IFERROR(_xlfn.LET(_xlpm.v,INDEX('product-export-27-8-2026'!$A:$AJ,MATCH($A74,'product-export-27-8-2026'!$A:$A,0),MATCH(AS$1,'product-export-27-8-2026'!$1:$1,0)),IF(_xlpm.v="","",_xlpm.v)),"")</f>
        <v>Dorchester-Bicolour-Quarto-Desk-Diary-Week-to-View</v>
      </c>
      <c r="BC74" s="15"/>
    </row>
    <row r="75" spans="1:55" s="14" customFormat="1" ht="27.6" customHeight="1" x14ac:dyDescent="0.3">
      <c r="A75" s="11">
        <v>1002</v>
      </c>
      <c r="B75" s="12" t="s">
        <v>422</v>
      </c>
      <c r="C75" s="12" t="s">
        <v>18</v>
      </c>
      <c r="D75" s="12" t="s">
        <v>124</v>
      </c>
      <c r="E75" s="13" t="s">
        <v>124</v>
      </c>
      <c r="F75" s="12" t="s">
        <v>121</v>
      </c>
      <c r="G75" s="12" t="s">
        <v>117</v>
      </c>
      <c r="H75" s="12" t="s">
        <v>1582</v>
      </c>
      <c r="I75" s="12" t="s">
        <v>20</v>
      </c>
      <c r="J75" s="12" t="s">
        <v>91</v>
      </c>
      <c r="K75" s="18" t="s">
        <v>1667</v>
      </c>
      <c r="L75" s="54">
        <v>0.48</v>
      </c>
      <c r="M75" s="11">
        <v>15.5</v>
      </c>
      <c r="N75" s="12" t="s">
        <v>122</v>
      </c>
      <c r="O75" s="56">
        <f t="shared" si="6"/>
        <v>15.67</v>
      </c>
      <c r="P75" s="56">
        <f t="shared" si="6"/>
        <v>15.02</v>
      </c>
      <c r="Q75" s="56">
        <f t="shared" si="6"/>
        <v>10.9</v>
      </c>
      <c r="R75" s="56">
        <f t="shared" si="6"/>
        <v>9.74</v>
      </c>
      <c r="S75" s="56">
        <f t="shared" si="6"/>
        <v>9.0500000000000007</v>
      </c>
      <c r="T75" s="56">
        <f t="shared" si="6"/>
        <v>8.39</v>
      </c>
      <c r="U75" s="56">
        <f t="shared" si="6"/>
        <v>8.06</v>
      </c>
      <c r="V75" s="56">
        <f t="shared" si="6"/>
        <v>7.7</v>
      </c>
      <c r="W75" s="56">
        <f t="shared" si="6"/>
        <v>7.25</v>
      </c>
      <c r="X75" s="30" t="str" cm="1">
        <f t="array" ref="X75">IF(Y75="","",_xlfn.TEXTJOIN(";",TRUE,SUBSTITUTE($Y$1:$AG$1,"Qty ","")&amp;":"&amp;TEXT(Y75:AG75,"0.00"))&amp;";")</f>
        <v>1:21.79;10:20.53;25:15.79;50:13.82;100:12.77;250:11.78;500:11.33;750:10.97;1000:10.43;</v>
      </c>
      <c r="Y75" s="56">
        <f>'Blocking Prices'!$C$16+O75</f>
        <v>21.79</v>
      </c>
      <c r="Z75" s="56">
        <f>'Blocking Prices'!$D$16+P75</f>
        <v>20.53</v>
      </c>
      <c r="AA75" s="56">
        <f>'Blocking Prices'!$E$16+Q75</f>
        <v>15.79</v>
      </c>
      <c r="AB75" s="56">
        <f>'Blocking Prices'!$F$16+R75</f>
        <v>13.82</v>
      </c>
      <c r="AC75" s="56">
        <f>'Blocking Prices'!$G$16+S75</f>
        <v>12.770000000000001</v>
      </c>
      <c r="AD75" s="56">
        <f>'Blocking Prices'!$H$16+T75</f>
        <v>11.780000000000001</v>
      </c>
      <c r="AE75" s="56">
        <f>'Blocking Prices'!$I$16+U75</f>
        <v>11.33</v>
      </c>
      <c r="AF75" s="56">
        <f>'Blocking Prices'!$J$16+V75</f>
        <v>10.97</v>
      </c>
      <c r="AG75" s="56">
        <f>'Blocking Prices'!$K$16+W75</f>
        <v>10.43</v>
      </c>
      <c r="AH75" s="11"/>
      <c r="AI75" s="11"/>
      <c r="AJ75" s="11"/>
      <c r="AK75" s="11"/>
      <c r="AL75" s="12" t="s">
        <v>944</v>
      </c>
      <c r="AM75" s="12" t="s">
        <v>937</v>
      </c>
      <c r="AN75" s="12" t="str">
        <f>IFERROR(_xlfn.LET(_xlpm.v,INDEX('product-export-27-8-2026'!$A:$AJ,MATCH($A75,'product-export-27-8-2026'!$A:$A,0),MATCH(AN$1,'product-export-27-8-2026'!$1:$1,0)),IF(_xlpm.v="","",_xlpm.v)),"")</f>
        <v/>
      </c>
      <c r="AO75" s="12" t="str">
        <f>IFERROR(_xlfn.LET(_xlpm.v,INDEX('product-export-27-8-2026'!$A:$AJ,MATCH($A75,'product-export-27-8-2026'!$A:$A,0),MATCH(AO$1,'product-export-27-8-2026'!$1:$1,0)),IF(_xlpm.v="","",_xlpm.v)),"")</f>
        <v/>
      </c>
      <c r="AP75" s="12" t="str">
        <f>IFERROR(_xlfn.LET(_xlpm.v,INDEX('product-export-27-8-2026'!$A:$AJ,MATCH($A75,'product-export-27-8-2026'!$A:$A,0),MATCH(AP$1,'product-export-27-8-2026'!$1:$1,0)),IF(_xlpm.v="","",_xlpm.v)),"")</f>
        <v/>
      </c>
      <c r="AQ75" s="12" t="str">
        <f>IFERROR(_xlfn.LET(_xlpm.v,INDEX('product-export-27-8-2026'!$A:$AJ,MATCH($A75,'product-export-27-8-2026'!$A:$A,0),MATCH(AQ$1,'product-export-27-8-2026'!$1:$1,0)),IF(_xlpm.v="","",_xlpm.v)),"")</f>
        <v/>
      </c>
      <c r="AR75" s="12" t="str">
        <f>IFERROR(_xlfn.LET(_xlpm.v,INDEX('product-export-27-8-2026'!$A:$AJ,MATCH($A75,'product-export-27-8-2026'!$A:$A,0),MATCH(AR$1,'product-export-27-8-2026'!$1:$1,0)),IF(_xlpm.v="","",_xlpm.v)),"")</f>
        <v>Diaries, Dorchester Collection, Diaries &gt; Quarto Diary, Diaries &gt; Quarto Diary &gt; Quarto WTV</v>
      </c>
      <c r="AS75" s="12" t="str">
        <f>IFERROR(_xlfn.LET(_xlpm.v,INDEX('product-export-27-8-2026'!$A:$AJ,MATCH($A75,'product-export-27-8-2026'!$A:$A,0),MATCH(AS$1,'product-export-27-8-2026'!$1:$1,0)),IF(_xlpm.v="","",_xlpm.v)),"")</f>
        <v>Dorchester-Bicolour-Quarto-Desk-Diary-Week-to-View</v>
      </c>
      <c r="BC75" s="15"/>
    </row>
    <row r="76" spans="1:55" s="14" customFormat="1" ht="27.6" customHeight="1" x14ac:dyDescent="0.3">
      <c r="A76" s="11">
        <v>1004</v>
      </c>
      <c r="B76" s="12" t="s">
        <v>423</v>
      </c>
      <c r="C76" s="12" t="s">
        <v>18</v>
      </c>
      <c r="D76" s="12" t="s">
        <v>125</v>
      </c>
      <c r="E76" s="13" t="s">
        <v>125</v>
      </c>
      <c r="F76" s="12" t="s">
        <v>121</v>
      </c>
      <c r="G76" s="12" t="s">
        <v>117</v>
      </c>
      <c r="H76" s="12" t="s">
        <v>1583</v>
      </c>
      <c r="I76" s="12" t="s">
        <v>20</v>
      </c>
      <c r="J76" s="12" t="s">
        <v>91</v>
      </c>
      <c r="K76" s="18" t="s">
        <v>1667</v>
      </c>
      <c r="L76" s="54">
        <v>0.48</v>
      </c>
      <c r="M76" s="11">
        <v>15.5</v>
      </c>
      <c r="N76" s="12" t="s">
        <v>122</v>
      </c>
      <c r="O76" s="56">
        <f t="shared" si="6"/>
        <v>15.67</v>
      </c>
      <c r="P76" s="56">
        <f t="shared" si="6"/>
        <v>15.02</v>
      </c>
      <c r="Q76" s="56">
        <f t="shared" si="6"/>
        <v>10.9</v>
      </c>
      <c r="R76" s="56">
        <f t="shared" si="6"/>
        <v>9.74</v>
      </c>
      <c r="S76" s="56">
        <f t="shared" si="6"/>
        <v>9.0500000000000007</v>
      </c>
      <c r="T76" s="56">
        <f t="shared" si="6"/>
        <v>8.39</v>
      </c>
      <c r="U76" s="56">
        <f t="shared" si="6"/>
        <v>8.06</v>
      </c>
      <c r="V76" s="56">
        <f t="shared" si="6"/>
        <v>7.7</v>
      </c>
      <c r="W76" s="56">
        <f t="shared" si="6"/>
        <v>7.25</v>
      </c>
      <c r="X76" s="30" t="str" cm="1">
        <f t="array" ref="X76">IF(Y76="","",_xlfn.TEXTJOIN(";",TRUE,SUBSTITUTE($Y$1:$AG$1,"Qty ","")&amp;":"&amp;TEXT(Y76:AG76,"0.00"))&amp;";")</f>
        <v>1:21.79;10:20.53;25:15.79;50:13.82;100:12.77;250:11.78;500:11.33;750:10.97;1000:10.43;</v>
      </c>
      <c r="Y76" s="56">
        <f>'Blocking Prices'!$C$16+O76</f>
        <v>21.79</v>
      </c>
      <c r="Z76" s="56">
        <f>'Blocking Prices'!$D$16+P76</f>
        <v>20.53</v>
      </c>
      <c r="AA76" s="56">
        <f>'Blocking Prices'!$E$16+Q76</f>
        <v>15.79</v>
      </c>
      <c r="AB76" s="56">
        <f>'Blocking Prices'!$F$16+R76</f>
        <v>13.82</v>
      </c>
      <c r="AC76" s="56">
        <f>'Blocking Prices'!$G$16+S76</f>
        <v>12.770000000000001</v>
      </c>
      <c r="AD76" s="56">
        <f>'Blocking Prices'!$H$16+T76</f>
        <v>11.780000000000001</v>
      </c>
      <c r="AE76" s="56">
        <f>'Blocking Prices'!$I$16+U76</f>
        <v>11.33</v>
      </c>
      <c r="AF76" s="56">
        <f>'Blocking Prices'!$J$16+V76</f>
        <v>10.97</v>
      </c>
      <c r="AG76" s="56">
        <f>'Blocking Prices'!$K$16+W76</f>
        <v>10.43</v>
      </c>
      <c r="AH76" s="11"/>
      <c r="AI76" s="11"/>
      <c r="AJ76" s="11"/>
      <c r="AK76" s="11"/>
      <c r="AL76" s="12" t="s">
        <v>944</v>
      </c>
      <c r="AM76" s="12" t="s">
        <v>937</v>
      </c>
      <c r="AN76" s="12" t="str">
        <f>IFERROR(_xlfn.LET(_xlpm.v,INDEX('product-export-27-8-2026'!$A:$AJ,MATCH($A76,'product-export-27-8-2026'!$A:$A,0),MATCH(AN$1,'product-export-27-8-2026'!$1:$1,0)),IF(_xlpm.v="","",_xlpm.v)),"")</f>
        <v/>
      </c>
      <c r="AO76" s="12" t="str">
        <f>IFERROR(_xlfn.LET(_xlpm.v,INDEX('product-export-27-8-2026'!$A:$AJ,MATCH($A76,'product-export-27-8-2026'!$A:$A,0),MATCH(AO$1,'product-export-27-8-2026'!$1:$1,0)),IF(_xlpm.v="","",_xlpm.v)),"")</f>
        <v/>
      </c>
      <c r="AP76" s="12" t="str">
        <f>IFERROR(_xlfn.LET(_xlpm.v,INDEX('product-export-27-8-2026'!$A:$AJ,MATCH($A76,'product-export-27-8-2026'!$A:$A,0),MATCH(AP$1,'product-export-27-8-2026'!$1:$1,0)),IF(_xlpm.v="","",_xlpm.v)),"")</f>
        <v/>
      </c>
      <c r="AQ76" s="12" t="str">
        <f>IFERROR(_xlfn.LET(_xlpm.v,INDEX('product-export-27-8-2026'!$A:$AJ,MATCH($A76,'product-export-27-8-2026'!$A:$A,0),MATCH(AQ$1,'product-export-27-8-2026'!$1:$1,0)),IF(_xlpm.v="","",_xlpm.v)),"")</f>
        <v/>
      </c>
      <c r="AR76" s="12" t="str">
        <f>IFERROR(_xlfn.LET(_xlpm.v,INDEX('product-export-27-8-2026'!$A:$AJ,MATCH($A76,'product-export-27-8-2026'!$A:$A,0),MATCH(AR$1,'product-export-27-8-2026'!$1:$1,0)),IF(_xlpm.v="","",_xlpm.v)),"")</f>
        <v>Diaries, Dorchester Collection, Diaries &gt; Quarto Diary, Diaries &gt; Quarto Diary &gt; Quarto WTV</v>
      </c>
      <c r="AS76" s="12" t="str">
        <f>IFERROR(_xlfn.LET(_xlpm.v,INDEX('product-export-27-8-2026'!$A:$AJ,MATCH($A76,'product-export-27-8-2026'!$A:$A,0),MATCH(AS$1,'product-export-27-8-2026'!$1:$1,0)),IF(_xlpm.v="","",_xlpm.v)),"")</f>
        <v>Dorchester-Bicolour-Quarto-Desk-Diary-Week-to-View</v>
      </c>
      <c r="BC76" s="15"/>
    </row>
    <row r="77" spans="1:55" s="14" customFormat="1" ht="27.6" customHeight="1" x14ac:dyDescent="0.3">
      <c r="A77" s="11">
        <v>1006</v>
      </c>
      <c r="B77" s="12" t="s">
        <v>424</v>
      </c>
      <c r="C77" s="12" t="s">
        <v>18</v>
      </c>
      <c r="D77" s="12" t="s">
        <v>126</v>
      </c>
      <c r="E77" s="13" t="s">
        <v>126</v>
      </c>
      <c r="F77" s="12" t="s">
        <v>121</v>
      </c>
      <c r="G77" s="12" t="s">
        <v>117</v>
      </c>
      <c r="H77" s="12" t="s">
        <v>1586</v>
      </c>
      <c r="I77" s="12" t="s">
        <v>20</v>
      </c>
      <c r="J77" s="12" t="s">
        <v>91</v>
      </c>
      <c r="K77" s="18" t="s">
        <v>1667</v>
      </c>
      <c r="L77" s="54">
        <v>0.48</v>
      </c>
      <c r="M77" s="11">
        <v>15.5</v>
      </c>
      <c r="N77" s="12" t="s">
        <v>122</v>
      </c>
      <c r="O77" s="56">
        <f t="shared" si="6"/>
        <v>15.67</v>
      </c>
      <c r="P77" s="56">
        <f t="shared" si="6"/>
        <v>15.02</v>
      </c>
      <c r="Q77" s="56">
        <f t="shared" si="6"/>
        <v>10.9</v>
      </c>
      <c r="R77" s="56">
        <f t="shared" si="6"/>
        <v>9.74</v>
      </c>
      <c r="S77" s="56">
        <f t="shared" si="6"/>
        <v>9.0500000000000007</v>
      </c>
      <c r="T77" s="56">
        <f t="shared" si="6"/>
        <v>8.39</v>
      </c>
      <c r="U77" s="56">
        <f t="shared" si="6"/>
        <v>8.06</v>
      </c>
      <c r="V77" s="56">
        <f t="shared" si="6"/>
        <v>7.7</v>
      </c>
      <c r="W77" s="56">
        <f t="shared" si="6"/>
        <v>7.25</v>
      </c>
      <c r="X77" s="30" t="str" cm="1">
        <f t="array" ref="X77">IF(Y77="","",_xlfn.TEXTJOIN(";",TRUE,SUBSTITUTE($Y$1:$AG$1,"Qty ","")&amp;":"&amp;TEXT(Y77:AG77,"0.00"))&amp;";")</f>
        <v>1:21.79;10:20.53;25:15.79;50:13.82;100:12.77;250:11.78;500:11.33;750:10.97;1000:10.43;</v>
      </c>
      <c r="Y77" s="56">
        <f>'Blocking Prices'!$C$16+O77</f>
        <v>21.79</v>
      </c>
      <c r="Z77" s="56">
        <f>'Blocking Prices'!$D$16+P77</f>
        <v>20.53</v>
      </c>
      <c r="AA77" s="56">
        <f>'Blocking Prices'!$E$16+Q77</f>
        <v>15.79</v>
      </c>
      <c r="AB77" s="56">
        <f>'Blocking Prices'!$F$16+R77</f>
        <v>13.82</v>
      </c>
      <c r="AC77" s="56">
        <f>'Blocking Prices'!$G$16+S77</f>
        <v>12.770000000000001</v>
      </c>
      <c r="AD77" s="56">
        <f>'Blocking Prices'!$H$16+T77</f>
        <v>11.780000000000001</v>
      </c>
      <c r="AE77" s="56">
        <f>'Blocking Prices'!$I$16+U77</f>
        <v>11.33</v>
      </c>
      <c r="AF77" s="56">
        <f>'Blocking Prices'!$J$16+V77</f>
        <v>10.97</v>
      </c>
      <c r="AG77" s="56">
        <f>'Blocking Prices'!$K$16+W77</f>
        <v>10.43</v>
      </c>
      <c r="AH77" s="11"/>
      <c r="AI77" s="11"/>
      <c r="AJ77" s="11"/>
      <c r="AK77" s="11"/>
      <c r="AL77" s="12" t="s">
        <v>936</v>
      </c>
      <c r="AM77" s="12" t="s">
        <v>937</v>
      </c>
      <c r="AN77" s="12" t="str">
        <f>IFERROR(_xlfn.LET(_xlpm.v,INDEX('product-export-27-8-2026'!$A:$AJ,MATCH($A77,'product-export-27-8-2026'!$A:$A,0),MATCH(AN$1,'product-export-27-8-2026'!$1:$1,0)),IF(_xlpm.v="","",_xlpm.v)),"")</f>
        <v/>
      </c>
      <c r="AO77" s="12" t="str">
        <f>IFERROR(_xlfn.LET(_xlpm.v,INDEX('product-export-27-8-2026'!$A:$AJ,MATCH($A77,'product-export-27-8-2026'!$A:$A,0),MATCH(AO$1,'product-export-27-8-2026'!$1:$1,0)),IF(_xlpm.v="","",_xlpm.v)),"")</f>
        <v/>
      </c>
      <c r="AP77" s="12" t="str">
        <f>IFERROR(_xlfn.LET(_xlpm.v,INDEX('product-export-27-8-2026'!$A:$AJ,MATCH($A77,'product-export-27-8-2026'!$A:$A,0),MATCH(AP$1,'product-export-27-8-2026'!$1:$1,0)),IF(_xlpm.v="","",_xlpm.v)),"")</f>
        <v/>
      </c>
      <c r="AQ77" s="12" t="str">
        <f>IFERROR(_xlfn.LET(_xlpm.v,INDEX('product-export-27-8-2026'!$A:$AJ,MATCH($A77,'product-export-27-8-2026'!$A:$A,0),MATCH(AQ$1,'product-export-27-8-2026'!$1:$1,0)),IF(_xlpm.v="","",_xlpm.v)),"")</f>
        <v/>
      </c>
      <c r="AR77" s="12" t="str">
        <f>IFERROR(_xlfn.LET(_xlpm.v,INDEX('product-export-27-8-2026'!$A:$AJ,MATCH($A77,'product-export-27-8-2026'!$A:$A,0),MATCH(AR$1,'product-export-27-8-2026'!$1:$1,0)),IF(_xlpm.v="","",_xlpm.v)),"")</f>
        <v>Diaries, Dorchester Collection, Diaries &gt; Quarto Diary, Diaries &gt; Quarto Diary &gt; Quarto WTV</v>
      </c>
      <c r="AS77" s="12" t="str">
        <f>IFERROR(_xlfn.LET(_xlpm.v,INDEX('product-export-27-8-2026'!$A:$AJ,MATCH($A77,'product-export-27-8-2026'!$A:$A,0),MATCH(AS$1,'product-export-27-8-2026'!$1:$1,0)),IF(_xlpm.v="","",_xlpm.v)),"")</f>
        <v>Dorchester-Bicolour-Quarto-Desk-Diary-Week-to-View</v>
      </c>
      <c r="BC77" s="15"/>
    </row>
    <row r="78" spans="1:55" s="14" customFormat="1" ht="27.6" customHeight="1" x14ac:dyDescent="0.3">
      <c r="A78" s="11">
        <v>1009</v>
      </c>
      <c r="B78" s="12" t="s">
        <v>425</v>
      </c>
      <c r="C78" s="12" t="s">
        <v>18</v>
      </c>
      <c r="D78" s="12" t="s">
        <v>127</v>
      </c>
      <c r="E78" s="13" t="s">
        <v>127</v>
      </c>
      <c r="F78" s="12" t="s">
        <v>128</v>
      </c>
      <c r="G78" s="12" t="s">
        <v>117</v>
      </c>
      <c r="H78" s="12" t="s">
        <v>1586</v>
      </c>
      <c r="I78" s="12" t="s">
        <v>20</v>
      </c>
      <c r="J78" s="12" t="s">
        <v>91</v>
      </c>
      <c r="K78" s="18" t="s">
        <v>1667</v>
      </c>
      <c r="L78" s="54">
        <v>0.48</v>
      </c>
      <c r="M78" s="11">
        <v>16.989999999999998</v>
      </c>
      <c r="N78" s="12" t="s">
        <v>129</v>
      </c>
      <c r="O78" s="56">
        <f t="shared" si="6"/>
        <v>16.79</v>
      </c>
      <c r="P78" s="56">
        <f t="shared" si="6"/>
        <v>16.09</v>
      </c>
      <c r="Q78" s="56">
        <f t="shared" si="6"/>
        <v>11.8</v>
      </c>
      <c r="R78" s="56">
        <f t="shared" si="6"/>
        <v>10.67</v>
      </c>
      <c r="S78" s="56">
        <f t="shared" si="6"/>
        <v>9.7100000000000009</v>
      </c>
      <c r="T78" s="56">
        <f t="shared" si="6"/>
        <v>9.64</v>
      </c>
      <c r="U78" s="56">
        <f t="shared" si="6"/>
        <v>8.5</v>
      </c>
      <c r="V78" s="56">
        <f t="shared" si="6"/>
        <v>7.95</v>
      </c>
      <c r="W78" s="56">
        <f t="shared" si="6"/>
        <v>7.36</v>
      </c>
      <c r="X78" s="30" t="str" cm="1">
        <f t="array" ref="X78">IF(Y78="","",_xlfn.TEXTJOIN(";",TRUE,SUBSTITUTE($Y$1:$AG$1,"Qty ","")&amp;":"&amp;TEXT(Y78:AG78,"0.00"))&amp;";")</f>
        <v>1:22.91;10:21.60;25:16.69;50:14.75;100:13.43;250:13.03;500:11.77;750:11.22;1000:10.54;</v>
      </c>
      <c r="Y78" s="56">
        <f>'Blocking Prices'!$C$16+O78</f>
        <v>22.91</v>
      </c>
      <c r="Z78" s="56">
        <f>'Blocking Prices'!$D$16+P78</f>
        <v>21.6</v>
      </c>
      <c r="AA78" s="56">
        <f>'Blocking Prices'!$E$16+Q78</f>
        <v>16.690000000000001</v>
      </c>
      <c r="AB78" s="56">
        <f>'Blocking Prices'!$F$16+R78</f>
        <v>14.75</v>
      </c>
      <c r="AC78" s="56">
        <f>'Blocking Prices'!$G$16+S78</f>
        <v>13.430000000000001</v>
      </c>
      <c r="AD78" s="56">
        <f>'Blocking Prices'!$H$16+T78</f>
        <v>13.030000000000001</v>
      </c>
      <c r="AE78" s="56">
        <f>'Blocking Prices'!$I$16+U78</f>
        <v>11.77</v>
      </c>
      <c r="AF78" s="56">
        <f>'Blocking Prices'!$J$16+V78</f>
        <v>11.22</v>
      </c>
      <c r="AG78" s="56">
        <f>'Blocking Prices'!$K$16+W78</f>
        <v>10.540000000000001</v>
      </c>
      <c r="AH78" s="11"/>
      <c r="AI78" s="11"/>
      <c r="AJ78" s="11"/>
      <c r="AK78" s="11"/>
      <c r="AL78" s="12" t="s">
        <v>944</v>
      </c>
      <c r="AM78" s="12" t="s">
        <v>937</v>
      </c>
      <c r="AN78" s="12" t="str">
        <f>IFERROR(_xlfn.LET(_xlpm.v,INDEX('product-export-27-8-2026'!$A:$AJ,MATCH($A78,'product-export-27-8-2026'!$A:$A,0),MATCH(AN$1,'product-export-27-8-2026'!$1:$1,0)),IF(_xlpm.v="","",_xlpm.v)),"")</f>
        <v/>
      </c>
      <c r="AO78" s="12" t="str">
        <f>IFERROR(_xlfn.LET(_xlpm.v,INDEX('product-export-27-8-2026'!$A:$AJ,MATCH($A78,'product-export-27-8-2026'!$A:$A,0),MATCH(AO$1,'product-export-27-8-2026'!$1:$1,0)),IF(_xlpm.v="","",_xlpm.v)),"")</f>
        <v/>
      </c>
      <c r="AP78" s="12" t="str">
        <f>IFERROR(_xlfn.LET(_xlpm.v,INDEX('product-export-27-8-2026'!$A:$AJ,MATCH($A78,'product-export-27-8-2026'!$A:$A,0),MATCH(AP$1,'product-export-27-8-2026'!$1:$1,0)),IF(_xlpm.v="","",_xlpm.v)),"")</f>
        <v/>
      </c>
      <c r="AQ78" s="12" t="str">
        <f>IFERROR(_xlfn.LET(_xlpm.v,INDEX('product-export-27-8-2026'!$A:$AJ,MATCH($A78,'product-export-27-8-2026'!$A:$A,0),MATCH(AQ$1,'product-export-27-8-2026'!$1:$1,0)),IF(_xlpm.v="","",_xlpm.v)),"")</f>
        <v/>
      </c>
      <c r="AR78" s="12" t="str">
        <f>IFERROR(_xlfn.LET(_xlpm.v,INDEX('product-export-27-8-2026'!$A:$AJ,MATCH($A78,'product-export-27-8-2026'!$A:$A,0),MATCH(AR$1,'product-export-27-8-2026'!$1:$1,0)),IF(_xlpm.v="","",_xlpm.v)),"")</f>
        <v>Diaries, Dorchester Collection, Diaries &gt; Quarto Diary, Diaries &gt; Quarto Diary &gt; Quarto WTV</v>
      </c>
      <c r="AS78" s="12" t="str">
        <f>IFERROR(_xlfn.LET(_xlpm.v,INDEX('product-export-27-8-2026'!$A:$AJ,MATCH($A78,'product-export-27-8-2026'!$A:$A,0),MATCH(AS$1,'product-export-27-8-2026'!$1:$1,0)),IF(_xlpm.v="","",_xlpm.v)),"")</f>
        <v>Dorchester-Horizon-Quarto-Desk-Diary-Week-to-View</v>
      </c>
      <c r="BC78" s="15"/>
    </row>
    <row r="79" spans="1:55" s="14" customFormat="1" ht="27.6" customHeight="1" x14ac:dyDescent="0.3">
      <c r="A79" s="11">
        <v>1012</v>
      </c>
      <c r="B79" s="12" t="s">
        <v>426</v>
      </c>
      <c r="C79" s="12" t="s">
        <v>18</v>
      </c>
      <c r="D79" s="12" t="s">
        <v>130</v>
      </c>
      <c r="E79" s="13" t="s">
        <v>130</v>
      </c>
      <c r="F79" s="12" t="s">
        <v>128</v>
      </c>
      <c r="G79" s="12" t="s">
        <v>117</v>
      </c>
      <c r="H79" s="12" t="s">
        <v>1575</v>
      </c>
      <c r="I79" s="12" t="s">
        <v>20</v>
      </c>
      <c r="J79" s="12" t="s">
        <v>91</v>
      </c>
      <c r="K79" s="18" t="s">
        <v>1667</v>
      </c>
      <c r="L79" s="54">
        <v>0.48</v>
      </c>
      <c r="M79" s="11">
        <v>16.989999999999998</v>
      </c>
      <c r="N79" s="12" t="s">
        <v>129</v>
      </c>
      <c r="O79" s="56">
        <f t="shared" si="6"/>
        <v>16.79</v>
      </c>
      <c r="P79" s="56">
        <f t="shared" si="6"/>
        <v>16.09</v>
      </c>
      <c r="Q79" s="56">
        <f t="shared" si="6"/>
        <v>11.8</v>
      </c>
      <c r="R79" s="56">
        <f t="shared" si="6"/>
        <v>10.67</v>
      </c>
      <c r="S79" s="56">
        <f t="shared" si="6"/>
        <v>9.7100000000000009</v>
      </c>
      <c r="T79" s="56">
        <f t="shared" si="6"/>
        <v>9.64</v>
      </c>
      <c r="U79" s="56">
        <f t="shared" si="6"/>
        <v>8.5</v>
      </c>
      <c r="V79" s="56">
        <f t="shared" si="6"/>
        <v>7.95</v>
      </c>
      <c r="W79" s="56">
        <f t="shared" si="6"/>
        <v>7.36</v>
      </c>
      <c r="X79" s="30" t="str" cm="1">
        <f t="array" ref="X79">IF(Y79="","",_xlfn.TEXTJOIN(";",TRUE,SUBSTITUTE($Y$1:$AG$1,"Qty ","")&amp;":"&amp;TEXT(Y79:AG79,"0.00"))&amp;";")</f>
        <v>1:22.91;10:21.60;25:16.69;50:14.75;100:13.43;250:13.03;500:11.77;750:11.22;1000:10.54;</v>
      </c>
      <c r="Y79" s="56">
        <f>'Blocking Prices'!$C$16+O79</f>
        <v>22.91</v>
      </c>
      <c r="Z79" s="56">
        <f>'Blocking Prices'!$D$16+P79</f>
        <v>21.6</v>
      </c>
      <c r="AA79" s="56">
        <f>'Blocking Prices'!$E$16+Q79</f>
        <v>16.690000000000001</v>
      </c>
      <c r="AB79" s="56">
        <f>'Blocking Prices'!$F$16+R79</f>
        <v>14.75</v>
      </c>
      <c r="AC79" s="56">
        <f>'Blocking Prices'!$G$16+S79</f>
        <v>13.430000000000001</v>
      </c>
      <c r="AD79" s="56">
        <f>'Blocking Prices'!$H$16+T79</f>
        <v>13.030000000000001</v>
      </c>
      <c r="AE79" s="56">
        <f>'Blocking Prices'!$I$16+U79</f>
        <v>11.77</v>
      </c>
      <c r="AF79" s="56">
        <f>'Blocking Prices'!$J$16+V79</f>
        <v>11.22</v>
      </c>
      <c r="AG79" s="56">
        <f>'Blocking Prices'!$K$16+W79</f>
        <v>10.540000000000001</v>
      </c>
      <c r="AH79" s="11"/>
      <c r="AI79" s="11"/>
      <c r="AJ79" s="11"/>
      <c r="AK79" s="11"/>
      <c r="AL79" s="12" t="s">
        <v>944</v>
      </c>
      <c r="AM79" s="12" t="s">
        <v>937</v>
      </c>
      <c r="AN79" s="12" t="str">
        <f>IFERROR(_xlfn.LET(_xlpm.v,INDEX('product-export-27-8-2026'!$A:$AJ,MATCH($A79,'product-export-27-8-2026'!$A:$A,0),MATCH(AN$1,'product-export-27-8-2026'!$1:$1,0)),IF(_xlpm.v="","",_xlpm.v)),"")</f>
        <v/>
      </c>
      <c r="AO79" s="12" t="str">
        <f>IFERROR(_xlfn.LET(_xlpm.v,INDEX('product-export-27-8-2026'!$A:$AJ,MATCH($A79,'product-export-27-8-2026'!$A:$A,0),MATCH(AO$1,'product-export-27-8-2026'!$1:$1,0)),IF(_xlpm.v="","",_xlpm.v)),"")</f>
        <v/>
      </c>
      <c r="AP79" s="12" t="str">
        <f>IFERROR(_xlfn.LET(_xlpm.v,INDEX('product-export-27-8-2026'!$A:$AJ,MATCH($A79,'product-export-27-8-2026'!$A:$A,0),MATCH(AP$1,'product-export-27-8-2026'!$1:$1,0)),IF(_xlpm.v="","",_xlpm.v)),"")</f>
        <v/>
      </c>
      <c r="AQ79" s="12" t="str">
        <f>IFERROR(_xlfn.LET(_xlpm.v,INDEX('product-export-27-8-2026'!$A:$AJ,MATCH($A79,'product-export-27-8-2026'!$A:$A,0),MATCH(AQ$1,'product-export-27-8-2026'!$1:$1,0)),IF(_xlpm.v="","",_xlpm.v)),"")</f>
        <v/>
      </c>
      <c r="AR79" s="12" t="str">
        <f>IFERROR(_xlfn.LET(_xlpm.v,INDEX('product-export-27-8-2026'!$A:$AJ,MATCH($A79,'product-export-27-8-2026'!$A:$A,0),MATCH(AR$1,'product-export-27-8-2026'!$1:$1,0)),IF(_xlpm.v="","",_xlpm.v)),"")</f>
        <v>Diaries, Dorchester Collection, Diaries &gt; Quarto Diary, Diaries &gt; Quarto Diary &gt; Quarto WTV</v>
      </c>
      <c r="AS79" s="12" t="str">
        <f>IFERROR(_xlfn.LET(_xlpm.v,INDEX('product-export-27-8-2026'!$A:$AJ,MATCH($A79,'product-export-27-8-2026'!$A:$A,0),MATCH(AS$1,'product-export-27-8-2026'!$1:$1,0)),IF(_xlpm.v="","",_xlpm.v)),"")</f>
        <v/>
      </c>
      <c r="BC79" s="15"/>
    </row>
    <row r="80" spans="1:55" s="14" customFormat="1" ht="27.6" customHeight="1" x14ac:dyDescent="0.3">
      <c r="A80" s="11">
        <v>1014</v>
      </c>
      <c r="B80" s="12" t="s">
        <v>427</v>
      </c>
      <c r="C80" s="12" t="s">
        <v>18</v>
      </c>
      <c r="D80" s="12" t="s">
        <v>131</v>
      </c>
      <c r="E80" s="13" t="s">
        <v>131</v>
      </c>
      <c r="F80" s="12" t="s">
        <v>128</v>
      </c>
      <c r="G80" s="12" t="s">
        <v>117</v>
      </c>
      <c r="H80" s="12" t="s">
        <v>1579</v>
      </c>
      <c r="I80" s="12" t="s">
        <v>20</v>
      </c>
      <c r="J80" s="12" t="s">
        <v>91</v>
      </c>
      <c r="K80" s="18" t="s">
        <v>1667</v>
      </c>
      <c r="L80" s="54">
        <v>0.48</v>
      </c>
      <c r="M80" s="11">
        <v>16.989999999999998</v>
      </c>
      <c r="N80" s="12" t="s">
        <v>129</v>
      </c>
      <c r="O80" s="56">
        <f t="shared" si="6"/>
        <v>16.79</v>
      </c>
      <c r="P80" s="56">
        <f t="shared" si="6"/>
        <v>16.09</v>
      </c>
      <c r="Q80" s="56">
        <f t="shared" si="6"/>
        <v>11.8</v>
      </c>
      <c r="R80" s="56">
        <f t="shared" si="6"/>
        <v>10.67</v>
      </c>
      <c r="S80" s="56">
        <f t="shared" si="6"/>
        <v>9.7100000000000009</v>
      </c>
      <c r="T80" s="56">
        <f t="shared" si="6"/>
        <v>9.64</v>
      </c>
      <c r="U80" s="56">
        <f t="shared" si="6"/>
        <v>8.5</v>
      </c>
      <c r="V80" s="56">
        <f t="shared" si="6"/>
        <v>7.95</v>
      </c>
      <c r="W80" s="56">
        <f t="shared" si="6"/>
        <v>7.36</v>
      </c>
      <c r="X80" s="30" t="str" cm="1">
        <f t="array" ref="X80">IF(Y80="","",_xlfn.TEXTJOIN(";",TRUE,SUBSTITUTE($Y$1:$AG$1,"Qty ","")&amp;":"&amp;TEXT(Y80:AG80,"0.00"))&amp;";")</f>
        <v>1:22.91;10:21.60;25:16.69;50:14.75;100:13.43;250:13.03;500:11.77;750:11.22;1000:10.54;</v>
      </c>
      <c r="Y80" s="56">
        <f>'Blocking Prices'!$C$16+O80</f>
        <v>22.91</v>
      </c>
      <c r="Z80" s="56">
        <f>'Blocking Prices'!$D$16+P80</f>
        <v>21.6</v>
      </c>
      <c r="AA80" s="56">
        <f>'Blocking Prices'!$E$16+Q80</f>
        <v>16.690000000000001</v>
      </c>
      <c r="AB80" s="56">
        <f>'Blocking Prices'!$F$16+R80</f>
        <v>14.75</v>
      </c>
      <c r="AC80" s="56">
        <f>'Blocking Prices'!$G$16+S80</f>
        <v>13.430000000000001</v>
      </c>
      <c r="AD80" s="56">
        <f>'Blocking Prices'!$H$16+T80</f>
        <v>13.030000000000001</v>
      </c>
      <c r="AE80" s="56">
        <f>'Blocking Prices'!$I$16+U80</f>
        <v>11.77</v>
      </c>
      <c r="AF80" s="56">
        <f>'Blocking Prices'!$J$16+V80</f>
        <v>11.22</v>
      </c>
      <c r="AG80" s="56">
        <f>'Blocking Prices'!$K$16+W80</f>
        <v>10.540000000000001</v>
      </c>
      <c r="AH80" s="11"/>
      <c r="AI80" s="11"/>
      <c r="AJ80" s="11"/>
      <c r="AK80" s="11"/>
      <c r="AL80" s="12" t="s">
        <v>944</v>
      </c>
      <c r="AM80" s="12" t="s">
        <v>937</v>
      </c>
      <c r="AN80" s="12" t="str">
        <f>IFERROR(_xlfn.LET(_xlpm.v,INDEX('product-export-27-8-2026'!$A:$AJ,MATCH($A80,'product-export-27-8-2026'!$A:$A,0),MATCH(AN$1,'product-export-27-8-2026'!$1:$1,0)),IF(_xlpm.v="","",_xlpm.v)),"")</f>
        <v/>
      </c>
      <c r="AO80" s="12" t="str">
        <f>IFERROR(_xlfn.LET(_xlpm.v,INDEX('product-export-27-8-2026'!$A:$AJ,MATCH($A80,'product-export-27-8-2026'!$A:$A,0),MATCH(AO$1,'product-export-27-8-2026'!$1:$1,0)),IF(_xlpm.v="","",_xlpm.v)),"")</f>
        <v/>
      </c>
      <c r="AP80" s="12" t="str">
        <f>IFERROR(_xlfn.LET(_xlpm.v,INDEX('product-export-27-8-2026'!$A:$AJ,MATCH($A80,'product-export-27-8-2026'!$A:$A,0),MATCH(AP$1,'product-export-27-8-2026'!$1:$1,0)),IF(_xlpm.v="","",_xlpm.v)),"")</f>
        <v/>
      </c>
      <c r="AQ80" s="12" t="str">
        <f>IFERROR(_xlfn.LET(_xlpm.v,INDEX('product-export-27-8-2026'!$A:$AJ,MATCH($A80,'product-export-27-8-2026'!$A:$A,0),MATCH(AQ$1,'product-export-27-8-2026'!$1:$1,0)),IF(_xlpm.v="","",_xlpm.v)),"")</f>
        <v/>
      </c>
      <c r="AR80" s="12" t="str">
        <f>IFERROR(_xlfn.LET(_xlpm.v,INDEX('product-export-27-8-2026'!$A:$AJ,MATCH($A80,'product-export-27-8-2026'!$A:$A,0),MATCH(AR$1,'product-export-27-8-2026'!$1:$1,0)),IF(_xlpm.v="","",_xlpm.v)),"")</f>
        <v>Diaries, Dorchester Collection, Diaries &gt; Quarto Diary, Diaries &gt; Quarto Diary &gt; Quarto WTV</v>
      </c>
      <c r="AS80" s="12" t="str">
        <f>IFERROR(_xlfn.LET(_xlpm.v,INDEX('product-export-27-8-2026'!$A:$AJ,MATCH($A80,'product-export-27-8-2026'!$A:$A,0),MATCH(AS$1,'product-export-27-8-2026'!$1:$1,0)),IF(_xlpm.v="","",_xlpm.v)),"")</f>
        <v>Dorchester-Horizon-Quarto-Desk-Diary-Week-to-View</v>
      </c>
      <c r="BC80" s="15"/>
    </row>
    <row r="81" spans="1:55" s="14" customFormat="1" ht="27.6" customHeight="1" x14ac:dyDescent="0.3">
      <c r="A81" s="11">
        <v>1016</v>
      </c>
      <c r="B81" s="12" t="s">
        <v>428</v>
      </c>
      <c r="C81" s="12" t="s">
        <v>18</v>
      </c>
      <c r="D81" s="12" t="s">
        <v>132</v>
      </c>
      <c r="E81" s="13" t="s">
        <v>132</v>
      </c>
      <c r="F81" s="12" t="s">
        <v>128</v>
      </c>
      <c r="G81" s="12" t="s">
        <v>117</v>
      </c>
      <c r="H81" s="12" t="s">
        <v>1578</v>
      </c>
      <c r="I81" s="12" t="s">
        <v>20</v>
      </c>
      <c r="J81" s="12" t="s">
        <v>91</v>
      </c>
      <c r="K81" s="18" t="s">
        <v>1667</v>
      </c>
      <c r="L81" s="54">
        <v>0.48</v>
      </c>
      <c r="M81" s="11">
        <v>16.989999999999998</v>
      </c>
      <c r="N81" s="12" t="s">
        <v>129</v>
      </c>
      <c r="O81" s="56">
        <f t="shared" si="6"/>
        <v>16.79</v>
      </c>
      <c r="P81" s="56">
        <f t="shared" si="6"/>
        <v>16.09</v>
      </c>
      <c r="Q81" s="56">
        <f t="shared" si="6"/>
        <v>11.8</v>
      </c>
      <c r="R81" s="56">
        <f t="shared" si="6"/>
        <v>10.67</v>
      </c>
      <c r="S81" s="56">
        <f t="shared" si="6"/>
        <v>9.7100000000000009</v>
      </c>
      <c r="T81" s="56">
        <f t="shared" si="6"/>
        <v>9.64</v>
      </c>
      <c r="U81" s="56">
        <f t="shared" si="6"/>
        <v>8.5</v>
      </c>
      <c r="V81" s="56">
        <f t="shared" si="6"/>
        <v>7.95</v>
      </c>
      <c r="W81" s="56">
        <f t="shared" si="6"/>
        <v>7.36</v>
      </c>
      <c r="X81" s="30" t="str" cm="1">
        <f t="array" ref="X81">IF(Y81="","",_xlfn.TEXTJOIN(";",TRUE,SUBSTITUTE($Y$1:$AG$1,"Qty ","")&amp;":"&amp;TEXT(Y81:AG81,"0.00"))&amp;";")</f>
        <v>1:22.91;10:21.60;25:16.69;50:14.75;100:13.43;250:13.03;500:11.77;750:11.22;1000:10.54;</v>
      </c>
      <c r="Y81" s="56">
        <f>'Blocking Prices'!$C$16+O81</f>
        <v>22.91</v>
      </c>
      <c r="Z81" s="56">
        <f>'Blocking Prices'!$D$16+P81</f>
        <v>21.6</v>
      </c>
      <c r="AA81" s="56">
        <f>'Blocking Prices'!$E$16+Q81</f>
        <v>16.690000000000001</v>
      </c>
      <c r="AB81" s="56">
        <f>'Blocking Prices'!$F$16+R81</f>
        <v>14.75</v>
      </c>
      <c r="AC81" s="56">
        <f>'Blocking Prices'!$G$16+S81</f>
        <v>13.430000000000001</v>
      </c>
      <c r="AD81" s="56">
        <f>'Blocking Prices'!$H$16+T81</f>
        <v>13.030000000000001</v>
      </c>
      <c r="AE81" s="56">
        <f>'Blocking Prices'!$I$16+U81</f>
        <v>11.77</v>
      </c>
      <c r="AF81" s="56">
        <f>'Blocking Prices'!$J$16+V81</f>
        <v>11.22</v>
      </c>
      <c r="AG81" s="56">
        <f>'Blocking Prices'!$K$16+W81</f>
        <v>10.540000000000001</v>
      </c>
      <c r="AH81" s="11"/>
      <c r="AI81" s="11"/>
      <c r="AJ81" s="11"/>
      <c r="AK81" s="11"/>
      <c r="AL81" s="12" t="s">
        <v>936</v>
      </c>
      <c r="AM81" s="12" t="s">
        <v>937</v>
      </c>
      <c r="AN81" s="12" t="str">
        <f>IFERROR(_xlfn.LET(_xlpm.v,INDEX('product-export-27-8-2026'!$A:$AJ,MATCH($A81,'product-export-27-8-2026'!$A:$A,0),MATCH(AN$1,'product-export-27-8-2026'!$1:$1,0)),IF(_xlpm.v="","",_xlpm.v)),"")</f>
        <v/>
      </c>
      <c r="AO81" s="12" t="str">
        <f>IFERROR(_xlfn.LET(_xlpm.v,INDEX('product-export-27-8-2026'!$A:$AJ,MATCH($A81,'product-export-27-8-2026'!$A:$A,0),MATCH(AO$1,'product-export-27-8-2026'!$1:$1,0)),IF(_xlpm.v="","",_xlpm.v)),"")</f>
        <v/>
      </c>
      <c r="AP81" s="12" t="str">
        <f>IFERROR(_xlfn.LET(_xlpm.v,INDEX('product-export-27-8-2026'!$A:$AJ,MATCH($A81,'product-export-27-8-2026'!$A:$A,0),MATCH(AP$1,'product-export-27-8-2026'!$1:$1,0)),IF(_xlpm.v="","",_xlpm.v)),"")</f>
        <v/>
      </c>
      <c r="AQ81" s="12" t="str">
        <f>IFERROR(_xlfn.LET(_xlpm.v,INDEX('product-export-27-8-2026'!$A:$AJ,MATCH($A81,'product-export-27-8-2026'!$A:$A,0),MATCH(AQ$1,'product-export-27-8-2026'!$1:$1,0)),IF(_xlpm.v="","",_xlpm.v)),"")</f>
        <v/>
      </c>
      <c r="AR81" s="12" t="str">
        <f>IFERROR(_xlfn.LET(_xlpm.v,INDEX('product-export-27-8-2026'!$A:$AJ,MATCH($A81,'product-export-27-8-2026'!$A:$A,0),MATCH(AR$1,'product-export-27-8-2026'!$1:$1,0)),IF(_xlpm.v="","",_xlpm.v)),"")</f>
        <v>Diaries, Dorchester Collection, Diaries &gt; Quarto Diary, Diaries &gt; Quarto Diary &gt; Quarto WTV</v>
      </c>
      <c r="AS81" s="12" t="str">
        <f>IFERROR(_xlfn.LET(_xlpm.v,INDEX('product-export-27-8-2026'!$A:$AJ,MATCH($A81,'product-export-27-8-2026'!$A:$A,0),MATCH(AS$1,'product-export-27-8-2026'!$1:$1,0)),IF(_xlpm.v="","",_xlpm.v)),"")</f>
        <v>Dorchester-Horizon-Quarto-Desk-Diary-Week-to-View</v>
      </c>
      <c r="BC81" s="15"/>
    </row>
    <row r="82" spans="1:55" s="14" customFormat="1" ht="27.6" customHeight="1" x14ac:dyDescent="0.3">
      <c r="A82" s="11">
        <v>1018</v>
      </c>
      <c r="B82" s="12" t="s">
        <v>429</v>
      </c>
      <c r="C82" s="12" t="s">
        <v>18</v>
      </c>
      <c r="D82" s="12" t="s">
        <v>133</v>
      </c>
      <c r="E82" s="13" t="s">
        <v>133</v>
      </c>
      <c r="F82" s="12" t="s">
        <v>128</v>
      </c>
      <c r="G82" s="12" t="s">
        <v>117</v>
      </c>
      <c r="H82" s="12" t="s">
        <v>1576</v>
      </c>
      <c r="I82" s="12" t="s">
        <v>20</v>
      </c>
      <c r="J82" s="12" t="s">
        <v>91</v>
      </c>
      <c r="K82" s="18" t="s">
        <v>1667</v>
      </c>
      <c r="L82" s="54">
        <v>0.48</v>
      </c>
      <c r="M82" s="11">
        <v>16.989999999999998</v>
      </c>
      <c r="N82" s="12" t="s">
        <v>129</v>
      </c>
      <c r="O82" s="56">
        <f t="shared" ref="O82:W91" si="7">IFERROR(VALUE(_xlfn.TEXTBEFORE(_xlfn.TEXTAFTER(";"&amp;$N82,";"&amp;SUBSTITUTE(O$1,"Qty ","")&amp;":"),";")),"")</f>
        <v>16.79</v>
      </c>
      <c r="P82" s="56">
        <f t="shared" si="7"/>
        <v>16.09</v>
      </c>
      <c r="Q82" s="56">
        <f t="shared" si="7"/>
        <v>11.8</v>
      </c>
      <c r="R82" s="56">
        <f t="shared" si="7"/>
        <v>10.67</v>
      </c>
      <c r="S82" s="56">
        <f t="shared" si="7"/>
        <v>9.7100000000000009</v>
      </c>
      <c r="T82" s="56">
        <f t="shared" si="7"/>
        <v>9.64</v>
      </c>
      <c r="U82" s="56">
        <f t="shared" si="7"/>
        <v>8.5</v>
      </c>
      <c r="V82" s="56">
        <f t="shared" si="7"/>
        <v>7.95</v>
      </c>
      <c r="W82" s="56">
        <f t="shared" si="7"/>
        <v>7.36</v>
      </c>
      <c r="X82" s="30" t="str" cm="1">
        <f t="array" ref="X82">IF(Y82="","",_xlfn.TEXTJOIN(";",TRUE,SUBSTITUTE($Y$1:$AG$1,"Qty ","")&amp;":"&amp;TEXT(Y82:AG82,"0.00"))&amp;";")</f>
        <v>1:22.91;10:21.60;25:16.69;50:14.75;100:13.43;250:13.03;500:11.77;750:11.22;1000:10.54;</v>
      </c>
      <c r="Y82" s="56">
        <f>'Blocking Prices'!$C$16+O82</f>
        <v>22.91</v>
      </c>
      <c r="Z82" s="56">
        <f>'Blocking Prices'!$D$16+P82</f>
        <v>21.6</v>
      </c>
      <c r="AA82" s="56">
        <f>'Blocking Prices'!$E$16+Q82</f>
        <v>16.690000000000001</v>
      </c>
      <c r="AB82" s="56">
        <f>'Blocking Prices'!$F$16+R82</f>
        <v>14.75</v>
      </c>
      <c r="AC82" s="56">
        <f>'Blocking Prices'!$G$16+S82</f>
        <v>13.430000000000001</v>
      </c>
      <c r="AD82" s="56">
        <f>'Blocking Prices'!$H$16+T82</f>
        <v>13.030000000000001</v>
      </c>
      <c r="AE82" s="56">
        <f>'Blocking Prices'!$I$16+U82</f>
        <v>11.77</v>
      </c>
      <c r="AF82" s="56">
        <f>'Blocking Prices'!$J$16+V82</f>
        <v>11.22</v>
      </c>
      <c r="AG82" s="56">
        <f>'Blocking Prices'!$K$16+W82</f>
        <v>10.540000000000001</v>
      </c>
      <c r="AH82" s="11"/>
      <c r="AI82" s="11"/>
      <c r="AJ82" s="11"/>
      <c r="AK82" s="11"/>
      <c r="AL82" s="12" t="s">
        <v>944</v>
      </c>
      <c r="AM82" s="12" t="s">
        <v>937</v>
      </c>
      <c r="AN82" s="12" t="str">
        <f>IFERROR(_xlfn.LET(_xlpm.v,INDEX('product-export-27-8-2026'!$A:$AJ,MATCH($A82,'product-export-27-8-2026'!$A:$A,0),MATCH(AN$1,'product-export-27-8-2026'!$1:$1,0)),IF(_xlpm.v="","",_xlpm.v)),"")</f>
        <v/>
      </c>
      <c r="AO82" s="12" t="str">
        <f>IFERROR(_xlfn.LET(_xlpm.v,INDEX('product-export-27-8-2026'!$A:$AJ,MATCH($A82,'product-export-27-8-2026'!$A:$A,0),MATCH(AO$1,'product-export-27-8-2026'!$1:$1,0)),IF(_xlpm.v="","",_xlpm.v)),"")</f>
        <v/>
      </c>
      <c r="AP82" s="12" t="str">
        <f>IFERROR(_xlfn.LET(_xlpm.v,INDEX('product-export-27-8-2026'!$A:$AJ,MATCH($A82,'product-export-27-8-2026'!$A:$A,0),MATCH(AP$1,'product-export-27-8-2026'!$1:$1,0)),IF(_xlpm.v="","",_xlpm.v)),"")</f>
        <v/>
      </c>
      <c r="AQ82" s="12" t="str">
        <f>IFERROR(_xlfn.LET(_xlpm.v,INDEX('product-export-27-8-2026'!$A:$AJ,MATCH($A82,'product-export-27-8-2026'!$A:$A,0),MATCH(AQ$1,'product-export-27-8-2026'!$1:$1,0)),IF(_xlpm.v="","",_xlpm.v)),"")</f>
        <v/>
      </c>
      <c r="AR82" s="12" t="str">
        <f>IFERROR(_xlfn.LET(_xlpm.v,INDEX('product-export-27-8-2026'!$A:$AJ,MATCH($A82,'product-export-27-8-2026'!$A:$A,0),MATCH(AR$1,'product-export-27-8-2026'!$1:$1,0)),IF(_xlpm.v="","",_xlpm.v)),"")</f>
        <v>Diaries, Dorchester Collection, Diaries &gt; Quarto Diary, Diaries &gt; Quarto Diary &gt; Quarto WTV</v>
      </c>
      <c r="AS82" s="12" t="str">
        <f>IFERROR(_xlfn.LET(_xlpm.v,INDEX('product-export-27-8-2026'!$A:$AJ,MATCH($A82,'product-export-27-8-2026'!$A:$A,0),MATCH(AS$1,'product-export-27-8-2026'!$1:$1,0)),IF(_xlpm.v="","",_xlpm.v)),"")</f>
        <v>Dorchester-Horizon-Quarto-Desk-Diary-Week-to-View</v>
      </c>
      <c r="BC82" s="15"/>
    </row>
    <row r="83" spans="1:55" s="14" customFormat="1" ht="27.6" customHeight="1" x14ac:dyDescent="0.3">
      <c r="A83" s="11">
        <v>1020</v>
      </c>
      <c r="B83" s="12" t="s">
        <v>430</v>
      </c>
      <c r="C83" s="12" t="s">
        <v>18</v>
      </c>
      <c r="D83" s="12" t="s">
        <v>134</v>
      </c>
      <c r="E83" s="13" t="s">
        <v>134</v>
      </c>
      <c r="F83" s="12" t="s">
        <v>128</v>
      </c>
      <c r="G83" s="12" t="s">
        <v>117</v>
      </c>
      <c r="H83" s="12" t="s">
        <v>1577</v>
      </c>
      <c r="I83" s="12" t="s">
        <v>20</v>
      </c>
      <c r="J83" s="12" t="s">
        <v>91</v>
      </c>
      <c r="K83" s="18" t="s">
        <v>1667</v>
      </c>
      <c r="L83" s="54">
        <v>0.48</v>
      </c>
      <c r="M83" s="11">
        <v>16.989999999999998</v>
      </c>
      <c r="N83" s="12" t="s">
        <v>129</v>
      </c>
      <c r="O83" s="56">
        <f t="shared" si="7"/>
        <v>16.79</v>
      </c>
      <c r="P83" s="56">
        <f t="shared" si="7"/>
        <v>16.09</v>
      </c>
      <c r="Q83" s="56">
        <f t="shared" si="7"/>
        <v>11.8</v>
      </c>
      <c r="R83" s="56">
        <f t="shared" si="7"/>
        <v>10.67</v>
      </c>
      <c r="S83" s="56">
        <f t="shared" si="7"/>
        <v>9.7100000000000009</v>
      </c>
      <c r="T83" s="56">
        <f t="shared" si="7"/>
        <v>9.64</v>
      </c>
      <c r="U83" s="56">
        <f t="shared" si="7"/>
        <v>8.5</v>
      </c>
      <c r="V83" s="56">
        <f t="shared" si="7"/>
        <v>7.95</v>
      </c>
      <c r="W83" s="56">
        <f t="shared" si="7"/>
        <v>7.36</v>
      </c>
      <c r="X83" s="30" t="str" cm="1">
        <f t="array" ref="X83">IF(Y83="","",_xlfn.TEXTJOIN(";",TRUE,SUBSTITUTE($Y$1:$AG$1,"Qty ","")&amp;":"&amp;TEXT(Y83:AG83,"0.00"))&amp;";")</f>
        <v>1:22.91;10:21.60;25:16.69;50:14.75;100:13.43;250:13.03;500:11.77;750:11.22;1000:10.54;</v>
      </c>
      <c r="Y83" s="56">
        <f>'Blocking Prices'!$C$16+O83</f>
        <v>22.91</v>
      </c>
      <c r="Z83" s="56">
        <f>'Blocking Prices'!$D$16+P83</f>
        <v>21.6</v>
      </c>
      <c r="AA83" s="56">
        <f>'Blocking Prices'!$E$16+Q83</f>
        <v>16.690000000000001</v>
      </c>
      <c r="AB83" s="56">
        <f>'Blocking Prices'!$F$16+R83</f>
        <v>14.75</v>
      </c>
      <c r="AC83" s="56">
        <f>'Blocking Prices'!$G$16+S83</f>
        <v>13.430000000000001</v>
      </c>
      <c r="AD83" s="56">
        <f>'Blocking Prices'!$H$16+T83</f>
        <v>13.030000000000001</v>
      </c>
      <c r="AE83" s="56">
        <f>'Blocking Prices'!$I$16+U83</f>
        <v>11.77</v>
      </c>
      <c r="AF83" s="56">
        <f>'Blocking Prices'!$J$16+V83</f>
        <v>11.22</v>
      </c>
      <c r="AG83" s="56">
        <f>'Blocking Prices'!$K$16+W83</f>
        <v>10.540000000000001</v>
      </c>
      <c r="AH83" s="11"/>
      <c r="AI83" s="11"/>
      <c r="AJ83" s="11"/>
      <c r="AK83" s="11"/>
      <c r="AL83" s="12" t="s">
        <v>936</v>
      </c>
      <c r="AM83" s="12" t="s">
        <v>937</v>
      </c>
      <c r="AN83" s="12" t="str">
        <f>IFERROR(_xlfn.LET(_xlpm.v,INDEX('product-export-27-8-2026'!$A:$AJ,MATCH($A83,'product-export-27-8-2026'!$A:$A,0),MATCH(AN$1,'product-export-27-8-2026'!$1:$1,0)),IF(_xlpm.v="","",_xlpm.v)),"")</f>
        <v/>
      </c>
      <c r="AO83" s="12" t="str">
        <f>IFERROR(_xlfn.LET(_xlpm.v,INDEX('product-export-27-8-2026'!$A:$AJ,MATCH($A83,'product-export-27-8-2026'!$A:$A,0),MATCH(AO$1,'product-export-27-8-2026'!$1:$1,0)),IF(_xlpm.v="","",_xlpm.v)),"")</f>
        <v/>
      </c>
      <c r="AP83" s="12" t="str">
        <f>IFERROR(_xlfn.LET(_xlpm.v,INDEX('product-export-27-8-2026'!$A:$AJ,MATCH($A83,'product-export-27-8-2026'!$A:$A,0),MATCH(AP$1,'product-export-27-8-2026'!$1:$1,0)),IF(_xlpm.v="","",_xlpm.v)),"")</f>
        <v/>
      </c>
      <c r="AQ83" s="12" t="str">
        <f>IFERROR(_xlfn.LET(_xlpm.v,INDEX('product-export-27-8-2026'!$A:$AJ,MATCH($A83,'product-export-27-8-2026'!$A:$A,0),MATCH(AQ$1,'product-export-27-8-2026'!$1:$1,0)),IF(_xlpm.v="","",_xlpm.v)),"")</f>
        <v/>
      </c>
      <c r="AR83" s="12" t="str">
        <f>IFERROR(_xlfn.LET(_xlpm.v,INDEX('product-export-27-8-2026'!$A:$AJ,MATCH($A83,'product-export-27-8-2026'!$A:$A,0),MATCH(AR$1,'product-export-27-8-2026'!$1:$1,0)),IF(_xlpm.v="","",_xlpm.v)),"")</f>
        <v>Diaries, Dorchester Collection, Diaries &gt; Quarto Diary, Diaries &gt; Quarto Diary &gt; Quarto WTV</v>
      </c>
      <c r="AS83" s="12" t="str">
        <f>IFERROR(_xlfn.LET(_xlpm.v,INDEX('product-export-27-8-2026'!$A:$AJ,MATCH($A83,'product-export-27-8-2026'!$A:$A,0),MATCH(AS$1,'product-export-27-8-2026'!$1:$1,0)),IF(_xlpm.v="","",_xlpm.v)),"")</f>
        <v>Dorchester-Horizon-Quarto-Desk-Diary-Week-to-View</v>
      </c>
      <c r="BC83" s="15"/>
    </row>
    <row r="84" spans="1:55" s="66" customFormat="1" ht="27.6" customHeight="1" x14ac:dyDescent="0.3">
      <c r="A84" s="61">
        <v>1022</v>
      </c>
      <c r="B84" s="62" t="s">
        <v>431</v>
      </c>
      <c r="C84" s="62" t="s">
        <v>18</v>
      </c>
      <c r="D84" s="62" t="s">
        <v>135</v>
      </c>
      <c r="E84" s="63" t="s">
        <v>135</v>
      </c>
      <c r="F84" s="62" t="s">
        <v>1544</v>
      </c>
      <c r="G84" s="62" t="s">
        <v>117</v>
      </c>
      <c r="H84" s="62" t="s">
        <v>923</v>
      </c>
      <c r="I84" s="62" t="s">
        <v>41</v>
      </c>
      <c r="J84" s="62" t="s">
        <v>91</v>
      </c>
      <c r="K84" s="62" t="s">
        <v>1667</v>
      </c>
      <c r="L84" s="72">
        <v>0.48</v>
      </c>
      <c r="M84" s="61">
        <v>23.99</v>
      </c>
      <c r="N84" s="62" t="s">
        <v>136</v>
      </c>
      <c r="O84" s="64">
        <f t="shared" si="7"/>
        <v>22.08</v>
      </c>
      <c r="P84" s="64">
        <f t="shared" si="7"/>
        <v>21.08</v>
      </c>
      <c r="Q84" s="64">
        <f t="shared" si="7"/>
        <v>13.9</v>
      </c>
      <c r="R84" s="64">
        <f t="shared" si="7"/>
        <v>10.69</v>
      </c>
      <c r="S84" s="64">
        <f t="shared" si="7"/>
        <v>9.32</v>
      </c>
      <c r="T84" s="64">
        <f t="shared" si="7"/>
        <v>6.49</v>
      </c>
      <c r="U84" s="64">
        <f t="shared" si="7"/>
        <v>6.24</v>
      </c>
      <c r="V84" s="64">
        <f t="shared" si="7"/>
        <v>6.04</v>
      </c>
      <c r="W84" s="64">
        <f t="shared" si="7"/>
        <v>5.81</v>
      </c>
      <c r="X84" s="65" t="str" cm="1">
        <f t="array" ref="X84">IF(Y84="","",_xlfn.TEXTJOIN(";",TRUE,SUBSTITUTE($Y$1:$AG$1,"Qty ","")&amp;":"&amp;TEXT(Y84:AG84,"0.00"))&amp;";")</f>
        <v/>
      </c>
      <c r="Y84" s="64"/>
      <c r="Z84" s="64"/>
      <c r="AA84" s="64"/>
      <c r="AB84" s="64"/>
      <c r="AC84" s="64"/>
      <c r="AD84" s="64"/>
      <c r="AE84" s="64"/>
      <c r="AF84" s="64"/>
      <c r="AG84" s="64"/>
      <c r="AH84" s="61"/>
      <c r="AI84" s="61"/>
      <c r="AJ84" s="61"/>
      <c r="AK84" s="61"/>
      <c r="AL84" s="62" t="s">
        <v>957</v>
      </c>
      <c r="AM84" s="62" t="s">
        <v>958</v>
      </c>
      <c r="AN84" s="62" t="str">
        <f>IFERROR(_xlfn.LET(_xlpm.v,INDEX('product-export-27-8-2026'!$A:$AJ,MATCH($A84,'product-export-27-8-2026'!$A:$A,0),MATCH(AN$1,'product-export-27-8-2026'!$1:$1,0)),IF(_xlpm.v="","",_xlpm.v)),"")</f>
        <v/>
      </c>
      <c r="AO84" s="62" t="str">
        <f>IFERROR(_xlfn.LET(_xlpm.v,INDEX('product-export-27-8-2026'!$A:$AJ,MATCH($A84,'product-export-27-8-2026'!$A:$A,0),MATCH(AO$1,'product-export-27-8-2026'!$1:$1,0)),IF(_xlpm.v="","",_xlpm.v)),"")</f>
        <v/>
      </c>
      <c r="AP84" s="62" t="str">
        <f>IFERROR(_xlfn.LET(_xlpm.v,INDEX('product-export-27-8-2026'!$A:$AJ,MATCH($A84,'product-export-27-8-2026'!$A:$A,0),MATCH(AP$1,'product-export-27-8-2026'!$1:$1,0)),IF(_xlpm.v="","",_xlpm.v)),"")</f>
        <v/>
      </c>
      <c r="AQ84" s="62" t="str">
        <f>IFERROR(_xlfn.LET(_xlpm.v,INDEX('product-export-27-8-2026'!$A:$AJ,MATCH($A84,'product-export-27-8-2026'!$A:$A,0),MATCH(AQ$1,'product-export-27-8-2026'!$1:$1,0)),IF(_xlpm.v="","",_xlpm.v)),"")</f>
        <v/>
      </c>
      <c r="AR84" s="62" t="str">
        <f>IFERROR(_xlfn.LET(_xlpm.v,INDEX('product-export-27-8-2026'!$A:$AJ,MATCH($A84,'product-export-27-8-2026'!$A:$A,0),MATCH(AR$1,'product-export-27-8-2026'!$1:$1,0)),IF(_xlpm.v="","",_xlpm.v)),"")</f>
        <v>Diaries, Graphic Print Collection, Diaries &gt; Quarto Diary, Diaries &gt; Quarto Diary &gt; Quarto DPP</v>
      </c>
      <c r="AS84" s="62" t="str">
        <f>IFERROR(_xlfn.LET(_xlpm.v,INDEX('product-export-27-8-2026'!$A:$AJ,MATCH($A84,'product-export-27-8-2026'!$A:$A,0),MATCH(AS$1,'product-export-27-8-2026'!$1:$1,0)),IF(_xlpm.v="","",_xlpm.v)),"")</f>
        <v>Graphic-Prints-Quarto-Diary-Week-to-View</v>
      </c>
      <c r="BC84" s="67"/>
    </row>
    <row r="85" spans="1:55" s="66" customFormat="1" ht="27.6" customHeight="1" x14ac:dyDescent="0.3">
      <c r="A85" s="61">
        <v>1024</v>
      </c>
      <c r="B85" s="62" t="s">
        <v>432</v>
      </c>
      <c r="C85" s="62" t="s">
        <v>18</v>
      </c>
      <c r="D85" s="62" t="s">
        <v>137</v>
      </c>
      <c r="E85" s="63" t="s">
        <v>137</v>
      </c>
      <c r="F85" s="62" t="s">
        <v>1545</v>
      </c>
      <c r="G85" s="62" t="s">
        <v>117</v>
      </c>
      <c r="H85" s="62" t="s">
        <v>923</v>
      </c>
      <c r="I85" s="62" t="s">
        <v>20</v>
      </c>
      <c r="J85" s="62" t="s">
        <v>1541</v>
      </c>
      <c r="K85" s="62" t="s">
        <v>1667</v>
      </c>
      <c r="L85" s="72">
        <v>0.48</v>
      </c>
      <c r="M85" s="61">
        <v>23.99</v>
      </c>
      <c r="N85" s="62" t="s">
        <v>136</v>
      </c>
      <c r="O85" s="64">
        <f t="shared" si="7"/>
        <v>22.08</v>
      </c>
      <c r="P85" s="64">
        <f t="shared" si="7"/>
        <v>21.08</v>
      </c>
      <c r="Q85" s="64">
        <f t="shared" si="7"/>
        <v>13.9</v>
      </c>
      <c r="R85" s="64">
        <f t="shared" si="7"/>
        <v>10.69</v>
      </c>
      <c r="S85" s="64">
        <f t="shared" si="7"/>
        <v>9.32</v>
      </c>
      <c r="T85" s="64">
        <f t="shared" si="7"/>
        <v>6.49</v>
      </c>
      <c r="U85" s="64">
        <f t="shared" si="7"/>
        <v>6.24</v>
      </c>
      <c r="V85" s="64">
        <f t="shared" si="7"/>
        <v>6.04</v>
      </c>
      <c r="W85" s="64">
        <f t="shared" si="7"/>
        <v>5.81</v>
      </c>
      <c r="X85" s="65" t="str" cm="1">
        <f t="array" ref="X85">IF(Y85="","",_xlfn.TEXTJOIN(";",TRUE,SUBSTITUTE($Y$1:$AG$1,"Qty ","")&amp;":"&amp;TEXT(Y85:AG85,"0.00"))&amp;";")</f>
        <v/>
      </c>
      <c r="Y85" s="64"/>
      <c r="Z85" s="64"/>
      <c r="AA85" s="64"/>
      <c r="AB85" s="64"/>
      <c r="AC85" s="64"/>
      <c r="AD85" s="64"/>
      <c r="AE85" s="64"/>
      <c r="AF85" s="64"/>
      <c r="AG85" s="64"/>
      <c r="AH85" s="61"/>
      <c r="AI85" s="61"/>
      <c r="AJ85" s="61"/>
      <c r="AK85" s="61"/>
      <c r="AL85" s="62" t="s">
        <v>963</v>
      </c>
      <c r="AM85" s="62" t="s">
        <v>964</v>
      </c>
      <c r="AN85" s="62" t="str">
        <f>IFERROR(_xlfn.LET(_xlpm.v,INDEX('product-export-27-8-2026'!$A:$AJ,MATCH($A85,'product-export-27-8-2026'!$A:$A,0),MATCH(AN$1,'product-export-27-8-2026'!$1:$1,0)),IF(_xlpm.v="","",_xlpm.v)),"")</f>
        <v/>
      </c>
      <c r="AO85" s="62" t="str">
        <f>IFERROR(_xlfn.LET(_xlpm.v,INDEX('product-export-27-8-2026'!$A:$AJ,MATCH($A85,'product-export-27-8-2026'!$A:$A,0),MATCH(AO$1,'product-export-27-8-2026'!$1:$1,0)),IF(_xlpm.v="","",_xlpm.v)),"")</f>
        <v/>
      </c>
      <c r="AP85" s="62" t="str">
        <f>IFERROR(_xlfn.LET(_xlpm.v,INDEX('product-export-27-8-2026'!$A:$AJ,MATCH($A85,'product-export-27-8-2026'!$A:$A,0),MATCH(AP$1,'product-export-27-8-2026'!$1:$1,0)),IF(_xlpm.v="","",_xlpm.v)),"")</f>
        <v/>
      </c>
      <c r="AQ85" s="62" t="str">
        <f>IFERROR(_xlfn.LET(_xlpm.v,INDEX('product-export-27-8-2026'!$A:$AJ,MATCH($A85,'product-export-27-8-2026'!$A:$A,0),MATCH(AQ$1,'product-export-27-8-2026'!$1:$1,0)),IF(_xlpm.v="","",_xlpm.v)),"")</f>
        <v/>
      </c>
      <c r="AR85" s="62" t="str">
        <f>IFERROR(_xlfn.LET(_xlpm.v,INDEX('product-export-27-8-2026'!$A:$AJ,MATCH($A85,'product-export-27-8-2026'!$A:$A,0),MATCH(AR$1,'product-export-27-8-2026'!$1:$1,0)),IF(_xlpm.v="","",_xlpm.v)),"")</f>
        <v>Diaries, Graphic Print Collection, Diaries &gt; Quarto Diary, Diaries &gt; Quarto Diary &gt; Quarto WTV</v>
      </c>
      <c r="AS85" s="62" t="str">
        <f>IFERROR(_xlfn.LET(_xlpm.v,INDEX('product-export-27-8-2026'!$A:$AJ,MATCH($A85,'product-export-27-8-2026'!$A:$A,0),MATCH(AS$1,'product-export-27-8-2026'!$1:$1,0)),IF(_xlpm.v="","",_xlpm.v)),"")</f>
        <v>Graphic-Prints-Quarto-Diary-Week-to-View</v>
      </c>
      <c r="BC85" s="67"/>
    </row>
    <row r="86" spans="1:55" s="14" customFormat="1" ht="27.6" customHeight="1" x14ac:dyDescent="0.3">
      <c r="A86" s="11">
        <v>1025</v>
      </c>
      <c r="B86" s="12" t="s">
        <v>433</v>
      </c>
      <c r="C86" s="12" t="s">
        <v>18</v>
      </c>
      <c r="D86" s="12" t="s">
        <v>138</v>
      </c>
      <c r="E86" s="13" t="s">
        <v>138</v>
      </c>
      <c r="F86" s="12" t="s">
        <v>139</v>
      </c>
      <c r="G86" s="12" t="s">
        <v>117</v>
      </c>
      <c r="H86" s="12" t="s">
        <v>672</v>
      </c>
      <c r="I86" s="12" t="s">
        <v>20</v>
      </c>
      <c r="J86" s="12" t="s">
        <v>91</v>
      </c>
      <c r="K86" s="18" t="s">
        <v>1667</v>
      </c>
      <c r="L86" s="54">
        <v>0.48</v>
      </c>
      <c r="M86" s="11">
        <v>15.5</v>
      </c>
      <c r="N86" s="12" t="s">
        <v>140</v>
      </c>
      <c r="O86" s="56">
        <f t="shared" si="7"/>
        <v>15.67</v>
      </c>
      <c r="P86" s="56">
        <f t="shared" si="7"/>
        <v>15.02</v>
      </c>
      <c r="Q86" s="56">
        <f t="shared" si="7"/>
        <v>11.12</v>
      </c>
      <c r="R86" s="56">
        <f t="shared" si="7"/>
        <v>9.81</v>
      </c>
      <c r="S86" s="56">
        <f t="shared" si="7"/>
        <v>9.48</v>
      </c>
      <c r="T86" s="56">
        <f t="shared" si="7"/>
        <v>8.65</v>
      </c>
      <c r="U86" s="56">
        <f t="shared" si="7"/>
        <v>8.23</v>
      </c>
      <c r="V86" s="56">
        <f t="shared" si="7"/>
        <v>7.84</v>
      </c>
      <c r="W86" s="56">
        <f t="shared" si="7"/>
        <v>7.37</v>
      </c>
      <c r="X86" s="30" t="str" cm="1">
        <f t="array" ref="X86">IF(Y86="","",_xlfn.TEXTJOIN(";",TRUE,SUBSTITUTE($Y$1:$AG$1,"Qty ","")&amp;":"&amp;TEXT(Y86:AG86,"0.00"))&amp;";")</f>
        <v>1:21.79;10:20.53;25:16.01;50:13.89;100:13.20;250:12.04;500:11.50;750:11.11;1000:10.55;</v>
      </c>
      <c r="Y86" s="56">
        <f>'Blocking Prices'!$C$16+O86</f>
        <v>21.79</v>
      </c>
      <c r="Z86" s="56">
        <f>'Blocking Prices'!$D$16+P86</f>
        <v>20.53</v>
      </c>
      <c r="AA86" s="56">
        <f>'Blocking Prices'!$E$16+Q86</f>
        <v>16.009999999999998</v>
      </c>
      <c r="AB86" s="56">
        <f>'Blocking Prices'!$F$16+R86</f>
        <v>13.89</v>
      </c>
      <c r="AC86" s="56">
        <f>'Blocking Prices'!$G$16+S86</f>
        <v>13.200000000000001</v>
      </c>
      <c r="AD86" s="56">
        <f>'Blocking Prices'!$H$16+T86</f>
        <v>12.040000000000001</v>
      </c>
      <c r="AE86" s="56">
        <f>'Blocking Prices'!$I$16+U86</f>
        <v>11.5</v>
      </c>
      <c r="AF86" s="56">
        <f>'Blocking Prices'!$J$16+V86</f>
        <v>11.11</v>
      </c>
      <c r="AG86" s="56">
        <f>'Blocking Prices'!$K$16+W86</f>
        <v>10.55</v>
      </c>
      <c r="AH86" s="11"/>
      <c r="AI86" s="11"/>
      <c r="AJ86" s="11"/>
      <c r="AK86" s="11"/>
      <c r="AL86" s="12" t="s">
        <v>969</v>
      </c>
      <c r="AM86" s="12" t="s">
        <v>970</v>
      </c>
      <c r="AN86" s="12" t="str">
        <f>IFERROR(_xlfn.LET(_xlpm.v,INDEX('product-export-27-8-2026'!$A:$AJ,MATCH($A86,'product-export-27-8-2026'!$A:$A,0),MATCH(AN$1,'product-export-27-8-2026'!$1:$1,0)),IF(_xlpm.v="","",_xlpm.v)),"")</f>
        <v/>
      </c>
      <c r="AO86" s="12" t="str">
        <f>IFERROR(_xlfn.LET(_xlpm.v,INDEX('product-export-27-8-2026'!$A:$AJ,MATCH($A86,'product-export-27-8-2026'!$A:$A,0),MATCH(AO$1,'product-export-27-8-2026'!$1:$1,0)),IF(_xlpm.v="","",_xlpm.v)),"")</f>
        <v/>
      </c>
      <c r="AP86" s="12" t="str">
        <f>IFERROR(_xlfn.LET(_xlpm.v,INDEX('product-export-27-8-2026'!$A:$AJ,MATCH($A86,'product-export-27-8-2026'!$A:$A,0),MATCH(AP$1,'product-export-27-8-2026'!$1:$1,0)),IF(_xlpm.v="","",_xlpm.v)),"")</f>
        <v/>
      </c>
      <c r="AQ86" s="12" t="str">
        <f>IFERROR(_xlfn.LET(_xlpm.v,INDEX('product-export-27-8-2026'!$A:$AJ,MATCH($A86,'product-export-27-8-2026'!$A:$A,0),MATCH(AQ$1,'product-export-27-8-2026'!$1:$1,0)),IF(_xlpm.v="","",_xlpm.v)),"")</f>
        <v/>
      </c>
      <c r="AR86" s="12" t="str">
        <f>IFERROR(_xlfn.LET(_xlpm.v,INDEX('product-export-27-8-2026'!$A:$AJ,MATCH($A86,'product-export-27-8-2026'!$A:$A,0),MATCH(AR$1,'product-export-27-8-2026'!$1:$1,0)),IF(_xlpm.v="","",_xlpm.v)),"")</f>
        <v>Diaries, Harrogate Collection, Diaries &gt; Quarto Diary, Diaries &gt; Quarto Diary &gt; Quarto WTV</v>
      </c>
      <c r="AS86" s="12" t="str">
        <f>IFERROR(_xlfn.LET(_xlpm.v,INDEX('product-export-27-8-2026'!$A:$AJ,MATCH($A86,'product-export-27-8-2026'!$A:$A,0),MATCH(AS$1,'product-export-27-8-2026'!$1:$1,0)),IF(_xlpm.v="","",_xlpm.v)),"")</f>
        <v>Harrogate-SaharaHide-Faux-Leather-Quarto-Diary</v>
      </c>
      <c r="BC86" s="15"/>
    </row>
    <row r="87" spans="1:55" s="14" customFormat="1" ht="27.6" customHeight="1" x14ac:dyDescent="0.3">
      <c r="A87" s="11">
        <v>1028</v>
      </c>
      <c r="B87" s="12" t="s">
        <v>434</v>
      </c>
      <c r="C87" s="12" t="s">
        <v>18</v>
      </c>
      <c r="D87" s="12" t="s">
        <v>141</v>
      </c>
      <c r="E87" s="13" t="s">
        <v>141</v>
      </c>
      <c r="F87" s="12" t="s">
        <v>139</v>
      </c>
      <c r="G87" s="12" t="s">
        <v>117</v>
      </c>
      <c r="H87" s="12" t="s">
        <v>731</v>
      </c>
      <c r="I87" s="12" t="s">
        <v>20</v>
      </c>
      <c r="J87" s="12" t="s">
        <v>91</v>
      </c>
      <c r="K87" s="18" t="s">
        <v>1667</v>
      </c>
      <c r="L87" s="54">
        <v>0.48</v>
      </c>
      <c r="M87" s="11">
        <v>15.5</v>
      </c>
      <c r="N87" s="12" t="s">
        <v>140</v>
      </c>
      <c r="O87" s="56">
        <f t="shared" si="7"/>
        <v>15.67</v>
      </c>
      <c r="P87" s="56">
        <f t="shared" si="7"/>
        <v>15.02</v>
      </c>
      <c r="Q87" s="56">
        <f t="shared" si="7"/>
        <v>11.12</v>
      </c>
      <c r="R87" s="56">
        <f t="shared" si="7"/>
        <v>9.81</v>
      </c>
      <c r="S87" s="56">
        <f t="shared" si="7"/>
        <v>9.48</v>
      </c>
      <c r="T87" s="56">
        <f t="shared" si="7"/>
        <v>8.65</v>
      </c>
      <c r="U87" s="56">
        <f t="shared" si="7"/>
        <v>8.23</v>
      </c>
      <c r="V87" s="56">
        <f t="shared" si="7"/>
        <v>7.84</v>
      </c>
      <c r="W87" s="56">
        <f t="shared" si="7"/>
        <v>7.37</v>
      </c>
      <c r="X87" s="30" t="str" cm="1">
        <f t="array" ref="X87">IF(Y87="","",_xlfn.TEXTJOIN(";",TRUE,SUBSTITUTE($Y$1:$AG$1,"Qty ","")&amp;":"&amp;TEXT(Y87:AG87,"0.00"))&amp;";")</f>
        <v>1:21.79;10:20.53;25:16.01;50:13.89;100:13.20;250:12.04;500:11.50;750:11.11;1000:10.55;</v>
      </c>
      <c r="Y87" s="56">
        <f>'Blocking Prices'!$C$16+O87</f>
        <v>21.79</v>
      </c>
      <c r="Z87" s="56">
        <f>'Blocking Prices'!$D$16+P87</f>
        <v>20.53</v>
      </c>
      <c r="AA87" s="56">
        <f>'Blocking Prices'!$E$16+Q87</f>
        <v>16.009999999999998</v>
      </c>
      <c r="AB87" s="56">
        <f>'Blocking Prices'!$F$16+R87</f>
        <v>13.89</v>
      </c>
      <c r="AC87" s="56">
        <f>'Blocking Prices'!$G$16+S87</f>
        <v>13.200000000000001</v>
      </c>
      <c r="AD87" s="56">
        <f>'Blocking Prices'!$H$16+T87</f>
        <v>12.040000000000001</v>
      </c>
      <c r="AE87" s="56">
        <f>'Blocking Prices'!$I$16+U87</f>
        <v>11.5</v>
      </c>
      <c r="AF87" s="56">
        <f>'Blocking Prices'!$J$16+V87</f>
        <v>11.11</v>
      </c>
      <c r="AG87" s="56">
        <f>'Blocking Prices'!$K$16+W87</f>
        <v>10.55</v>
      </c>
      <c r="AH87" s="11"/>
      <c r="AI87" s="11"/>
      <c r="AJ87" s="11"/>
      <c r="AK87" s="11"/>
      <c r="AL87" s="12" t="s">
        <v>969</v>
      </c>
      <c r="AM87" s="12" t="s">
        <v>970</v>
      </c>
      <c r="AN87" s="12" t="str">
        <f>IFERROR(_xlfn.LET(_xlpm.v,INDEX('product-export-27-8-2026'!$A:$AJ,MATCH($A87,'product-export-27-8-2026'!$A:$A,0),MATCH(AN$1,'product-export-27-8-2026'!$1:$1,0)),IF(_xlpm.v="","",_xlpm.v)),"")</f>
        <v/>
      </c>
      <c r="AO87" s="12" t="str">
        <f>IFERROR(_xlfn.LET(_xlpm.v,INDEX('product-export-27-8-2026'!$A:$AJ,MATCH($A87,'product-export-27-8-2026'!$A:$A,0),MATCH(AO$1,'product-export-27-8-2026'!$1:$1,0)),IF(_xlpm.v="","",_xlpm.v)),"")</f>
        <v/>
      </c>
      <c r="AP87" s="12" t="str">
        <f>IFERROR(_xlfn.LET(_xlpm.v,INDEX('product-export-27-8-2026'!$A:$AJ,MATCH($A87,'product-export-27-8-2026'!$A:$A,0),MATCH(AP$1,'product-export-27-8-2026'!$1:$1,0)),IF(_xlpm.v="","",_xlpm.v)),"")</f>
        <v/>
      </c>
      <c r="AQ87" s="12" t="str">
        <f>IFERROR(_xlfn.LET(_xlpm.v,INDEX('product-export-27-8-2026'!$A:$AJ,MATCH($A87,'product-export-27-8-2026'!$A:$A,0),MATCH(AQ$1,'product-export-27-8-2026'!$1:$1,0)),IF(_xlpm.v="","",_xlpm.v)),"")</f>
        <v/>
      </c>
      <c r="AR87" s="12" t="str">
        <f>IFERROR(_xlfn.LET(_xlpm.v,INDEX('product-export-27-8-2026'!$A:$AJ,MATCH($A87,'product-export-27-8-2026'!$A:$A,0),MATCH(AR$1,'product-export-27-8-2026'!$1:$1,0)),IF(_xlpm.v="","",_xlpm.v)),"")</f>
        <v>Diaries, Harrogate Collection, Diaries &gt; Quarto Diary, Diaries &gt; Quarto Diary &gt; Quarto WTV</v>
      </c>
      <c r="AS87" s="12" t="str">
        <f>IFERROR(_xlfn.LET(_xlpm.v,INDEX('product-export-27-8-2026'!$A:$AJ,MATCH($A87,'product-export-27-8-2026'!$A:$A,0),MATCH(AS$1,'product-export-27-8-2026'!$1:$1,0)),IF(_xlpm.v="","",_xlpm.v)),"")</f>
        <v>Harrogate-SaharaHide-Faux-Leather-Quarto-Diary</v>
      </c>
      <c r="BC87" s="15"/>
    </row>
    <row r="88" spans="1:55" s="14" customFormat="1" ht="27.6" customHeight="1" x14ac:dyDescent="0.3">
      <c r="A88" s="11">
        <v>1030</v>
      </c>
      <c r="B88" s="12" t="s">
        <v>435</v>
      </c>
      <c r="C88" s="12" t="s">
        <v>18</v>
      </c>
      <c r="D88" s="12" t="s">
        <v>142</v>
      </c>
      <c r="E88" s="13" t="s">
        <v>142</v>
      </c>
      <c r="F88" s="12" t="s">
        <v>139</v>
      </c>
      <c r="G88" s="12" t="s">
        <v>117</v>
      </c>
      <c r="H88" s="12" t="s">
        <v>1585</v>
      </c>
      <c r="I88" s="12" t="s">
        <v>20</v>
      </c>
      <c r="J88" s="12" t="s">
        <v>91</v>
      </c>
      <c r="K88" s="18" t="s">
        <v>1667</v>
      </c>
      <c r="L88" s="54">
        <v>0.48</v>
      </c>
      <c r="M88" s="11">
        <v>15.5</v>
      </c>
      <c r="N88" s="12" t="s">
        <v>140</v>
      </c>
      <c r="O88" s="56">
        <f t="shared" si="7"/>
        <v>15.67</v>
      </c>
      <c r="P88" s="56">
        <f t="shared" si="7"/>
        <v>15.02</v>
      </c>
      <c r="Q88" s="56">
        <f t="shared" si="7"/>
        <v>11.12</v>
      </c>
      <c r="R88" s="56">
        <f t="shared" si="7"/>
        <v>9.81</v>
      </c>
      <c r="S88" s="56">
        <f t="shared" si="7"/>
        <v>9.48</v>
      </c>
      <c r="T88" s="56">
        <f t="shared" si="7"/>
        <v>8.65</v>
      </c>
      <c r="U88" s="56">
        <f t="shared" si="7"/>
        <v>8.23</v>
      </c>
      <c r="V88" s="56">
        <f t="shared" si="7"/>
        <v>7.84</v>
      </c>
      <c r="W88" s="56">
        <f t="shared" si="7"/>
        <v>7.37</v>
      </c>
      <c r="X88" s="30" t="str" cm="1">
        <f t="array" ref="X88">IF(Y88="","",_xlfn.TEXTJOIN(";",TRUE,SUBSTITUTE($Y$1:$AG$1,"Qty ","")&amp;":"&amp;TEXT(Y88:AG88,"0.00"))&amp;";")</f>
        <v>1:21.79;10:20.53;25:16.01;50:13.89;100:13.20;250:12.04;500:11.50;750:11.11;1000:10.55;</v>
      </c>
      <c r="Y88" s="56">
        <f>'Blocking Prices'!$C$16+O88</f>
        <v>21.79</v>
      </c>
      <c r="Z88" s="56">
        <f>'Blocking Prices'!$D$16+P88</f>
        <v>20.53</v>
      </c>
      <c r="AA88" s="56">
        <f>'Blocking Prices'!$E$16+Q88</f>
        <v>16.009999999999998</v>
      </c>
      <c r="AB88" s="56">
        <f>'Blocking Prices'!$F$16+R88</f>
        <v>13.89</v>
      </c>
      <c r="AC88" s="56">
        <f>'Blocking Prices'!$G$16+S88</f>
        <v>13.200000000000001</v>
      </c>
      <c r="AD88" s="56">
        <f>'Blocking Prices'!$H$16+T88</f>
        <v>12.040000000000001</v>
      </c>
      <c r="AE88" s="56">
        <f>'Blocking Prices'!$I$16+U88</f>
        <v>11.5</v>
      </c>
      <c r="AF88" s="56">
        <f>'Blocking Prices'!$J$16+V88</f>
        <v>11.11</v>
      </c>
      <c r="AG88" s="56">
        <f>'Blocking Prices'!$K$16+W88</f>
        <v>10.55</v>
      </c>
      <c r="AH88" s="11"/>
      <c r="AI88" s="11"/>
      <c r="AJ88" s="11"/>
      <c r="AK88" s="11"/>
      <c r="AL88" s="12" t="s">
        <v>969</v>
      </c>
      <c r="AM88" s="12" t="s">
        <v>970</v>
      </c>
      <c r="AN88" s="12" t="str">
        <f>IFERROR(_xlfn.LET(_xlpm.v,INDEX('product-export-27-8-2026'!$A:$AJ,MATCH($A88,'product-export-27-8-2026'!$A:$A,0),MATCH(AN$1,'product-export-27-8-2026'!$1:$1,0)),IF(_xlpm.v="","",_xlpm.v)),"")</f>
        <v/>
      </c>
      <c r="AO88" s="12" t="str">
        <f>IFERROR(_xlfn.LET(_xlpm.v,INDEX('product-export-27-8-2026'!$A:$AJ,MATCH($A88,'product-export-27-8-2026'!$A:$A,0),MATCH(AO$1,'product-export-27-8-2026'!$1:$1,0)),IF(_xlpm.v="","",_xlpm.v)),"")</f>
        <v/>
      </c>
      <c r="AP88" s="12" t="str">
        <f>IFERROR(_xlfn.LET(_xlpm.v,INDEX('product-export-27-8-2026'!$A:$AJ,MATCH($A88,'product-export-27-8-2026'!$A:$A,0),MATCH(AP$1,'product-export-27-8-2026'!$1:$1,0)),IF(_xlpm.v="","",_xlpm.v)),"")</f>
        <v/>
      </c>
      <c r="AQ88" s="12" t="str">
        <f>IFERROR(_xlfn.LET(_xlpm.v,INDEX('product-export-27-8-2026'!$A:$AJ,MATCH($A88,'product-export-27-8-2026'!$A:$A,0),MATCH(AQ$1,'product-export-27-8-2026'!$1:$1,0)),IF(_xlpm.v="","",_xlpm.v)),"")</f>
        <v/>
      </c>
      <c r="AR88" s="12" t="str">
        <f>IFERROR(_xlfn.LET(_xlpm.v,INDEX('product-export-27-8-2026'!$A:$AJ,MATCH($A88,'product-export-27-8-2026'!$A:$A,0),MATCH(AR$1,'product-export-27-8-2026'!$1:$1,0)),IF(_xlpm.v="","",_xlpm.v)),"")</f>
        <v>Diaries, Harrogate Collection, Diaries &gt; Quarto Diary, Diaries &gt; Quarto Diary &gt; Quarto WTV</v>
      </c>
      <c r="AS88" s="12" t="str">
        <f>IFERROR(_xlfn.LET(_xlpm.v,INDEX('product-export-27-8-2026'!$A:$AJ,MATCH($A88,'product-export-27-8-2026'!$A:$A,0),MATCH(AS$1,'product-export-27-8-2026'!$1:$1,0)),IF(_xlpm.v="","",_xlpm.v)),"")</f>
        <v>Harrogate-SaharaHide-Faux-Leather-Quarto-Diary</v>
      </c>
      <c r="BC88" s="15"/>
    </row>
    <row r="89" spans="1:55" s="14" customFormat="1" ht="27.6" customHeight="1" x14ac:dyDescent="0.3">
      <c r="A89" s="11">
        <v>1032</v>
      </c>
      <c r="B89" s="12" t="s">
        <v>436</v>
      </c>
      <c r="C89" s="12" t="s">
        <v>18</v>
      </c>
      <c r="D89" s="12" t="s">
        <v>143</v>
      </c>
      <c r="E89" s="13" t="s">
        <v>143</v>
      </c>
      <c r="F89" s="12" t="s">
        <v>139</v>
      </c>
      <c r="G89" s="12" t="s">
        <v>117</v>
      </c>
      <c r="H89" s="12" t="s">
        <v>696</v>
      </c>
      <c r="I89" s="12" t="s">
        <v>20</v>
      </c>
      <c r="J89" s="12" t="s">
        <v>91</v>
      </c>
      <c r="K89" s="18" t="s">
        <v>1667</v>
      </c>
      <c r="L89" s="54">
        <v>0.48</v>
      </c>
      <c r="M89" s="11">
        <v>15.5</v>
      </c>
      <c r="N89" s="12" t="s">
        <v>140</v>
      </c>
      <c r="O89" s="56">
        <f t="shared" si="7"/>
        <v>15.67</v>
      </c>
      <c r="P89" s="56">
        <f t="shared" si="7"/>
        <v>15.02</v>
      </c>
      <c r="Q89" s="56">
        <f t="shared" si="7"/>
        <v>11.12</v>
      </c>
      <c r="R89" s="56">
        <f t="shared" si="7"/>
        <v>9.81</v>
      </c>
      <c r="S89" s="56">
        <f t="shared" si="7"/>
        <v>9.48</v>
      </c>
      <c r="T89" s="56">
        <f t="shared" si="7"/>
        <v>8.65</v>
      </c>
      <c r="U89" s="56">
        <f t="shared" si="7"/>
        <v>8.23</v>
      </c>
      <c r="V89" s="56">
        <f t="shared" si="7"/>
        <v>7.84</v>
      </c>
      <c r="W89" s="56">
        <f t="shared" si="7"/>
        <v>7.37</v>
      </c>
      <c r="X89" s="30" t="str" cm="1">
        <f t="array" ref="X89">IF(Y89="","",_xlfn.TEXTJOIN(";",TRUE,SUBSTITUTE($Y$1:$AG$1,"Qty ","")&amp;":"&amp;TEXT(Y89:AG89,"0.00"))&amp;";")</f>
        <v>1:21.79;10:20.53;25:16.01;50:13.89;100:13.20;250:12.04;500:11.50;750:11.11;1000:10.55;</v>
      </c>
      <c r="Y89" s="56">
        <f>'Blocking Prices'!$C$16+O89</f>
        <v>21.79</v>
      </c>
      <c r="Z89" s="56">
        <f>'Blocking Prices'!$D$16+P89</f>
        <v>20.53</v>
      </c>
      <c r="AA89" s="56">
        <f>'Blocking Prices'!$E$16+Q89</f>
        <v>16.009999999999998</v>
      </c>
      <c r="AB89" s="56">
        <f>'Blocking Prices'!$F$16+R89</f>
        <v>13.89</v>
      </c>
      <c r="AC89" s="56">
        <f>'Blocking Prices'!$G$16+S89</f>
        <v>13.200000000000001</v>
      </c>
      <c r="AD89" s="56">
        <f>'Blocking Prices'!$H$16+T89</f>
        <v>12.040000000000001</v>
      </c>
      <c r="AE89" s="56">
        <f>'Blocking Prices'!$I$16+U89</f>
        <v>11.5</v>
      </c>
      <c r="AF89" s="56">
        <f>'Blocking Prices'!$J$16+V89</f>
        <v>11.11</v>
      </c>
      <c r="AG89" s="56">
        <f>'Blocking Prices'!$K$16+W89</f>
        <v>10.55</v>
      </c>
      <c r="AH89" s="11"/>
      <c r="AI89" s="11"/>
      <c r="AJ89" s="11"/>
      <c r="AK89" s="11"/>
      <c r="AL89" s="12" t="s">
        <v>969</v>
      </c>
      <c r="AM89" s="12" t="s">
        <v>981</v>
      </c>
      <c r="AN89" s="12" t="str">
        <f>IFERROR(_xlfn.LET(_xlpm.v,INDEX('product-export-27-8-2026'!$A:$AJ,MATCH($A89,'product-export-27-8-2026'!$A:$A,0),MATCH(AN$1,'product-export-27-8-2026'!$1:$1,0)),IF(_xlpm.v="","",_xlpm.v)),"")</f>
        <v/>
      </c>
      <c r="AO89" s="12" t="str">
        <f>IFERROR(_xlfn.LET(_xlpm.v,INDEX('product-export-27-8-2026'!$A:$AJ,MATCH($A89,'product-export-27-8-2026'!$A:$A,0),MATCH(AO$1,'product-export-27-8-2026'!$1:$1,0)),IF(_xlpm.v="","",_xlpm.v)),"")</f>
        <v/>
      </c>
      <c r="AP89" s="12" t="str">
        <f>IFERROR(_xlfn.LET(_xlpm.v,INDEX('product-export-27-8-2026'!$A:$AJ,MATCH($A89,'product-export-27-8-2026'!$A:$A,0),MATCH(AP$1,'product-export-27-8-2026'!$1:$1,0)),IF(_xlpm.v="","",_xlpm.v)),"")</f>
        <v/>
      </c>
      <c r="AQ89" s="12" t="str">
        <f>IFERROR(_xlfn.LET(_xlpm.v,INDEX('product-export-27-8-2026'!$A:$AJ,MATCH($A89,'product-export-27-8-2026'!$A:$A,0),MATCH(AQ$1,'product-export-27-8-2026'!$1:$1,0)),IF(_xlpm.v="","",_xlpm.v)),"")</f>
        <v/>
      </c>
      <c r="AR89" s="12" t="str">
        <f>IFERROR(_xlfn.LET(_xlpm.v,INDEX('product-export-27-8-2026'!$A:$AJ,MATCH($A89,'product-export-27-8-2026'!$A:$A,0),MATCH(AR$1,'product-export-27-8-2026'!$1:$1,0)),IF(_xlpm.v="","",_xlpm.v)),"")</f>
        <v>Diaries, Harrogate Collection, Diaries &gt; Quarto Diary, Diaries &gt; Quarto Diary &gt; Quarto WTV</v>
      </c>
      <c r="AS89" s="12" t="str">
        <f>IFERROR(_xlfn.LET(_xlpm.v,INDEX('product-export-27-8-2026'!$A:$AJ,MATCH($A89,'product-export-27-8-2026'!$A:$A,0),MATCH(AS$1,'product-export-27-8-2026'!$1:$1,0)),IF(_xlpm.v="","",_xlpm.v)),"")</f>
        <v>Harrogate-SaharaHide-Faux-Leather-Quarto-Diary</v>
      </c>
      <c r="BC89" s="15"/>
    </row>
    <row r="90" spans="1:55" s="14" customFormat="1" ht="27.6" customHeight="1" x14ac:dyDescent="0.3">
      <c r="A90" s="11">
        <v>1047</v>
      </c>
      <c r="B90" s="12" t="s">
        <v>437</v>
      </c>
      <c r="C90" s="12" t="s">
        <v>18</v>
      </c>
      <c r="D90" s="12" t="s">
        <v>144</v>
      </c>
      <c r="E90" s="13" t="s">
        <v>144</v>
      </c>
      <c r="F90" s="12" t="s">
        <v>145</v>
      </c>
      <c r="G90" s="12" t="s">
        <v>117</v>
      </c>
      <c r="H90" s="12" t="s">
        <v>672</v>
      </c>
      <c r="I90" s="12" t="s">
        <v>20</v>
      </c>
      <c r="J90" s="12" t="s">
        <v>87</v>
      </c>
      <c r="K90" s="18" t="s">
        <v>1667</v>
      </c>
      <c r="L90" s="54">
        <v>0.48</v>
      </c>
      <c r="M90" s="11">
        <v>14.5</v>
      </c>
      <c r="N90" s="12" t="s">
        <v>146</v>
      </c>
      <c r="O90" s="56">
        <f t="shared" si="7"/>
        <v>14.77</v>
      </c>
      <c r="P90" s="56">
        <f t="shared" si="7"/>
        <v>14.17</v>
      </c>
      <c r="Q90" s="56">
        <f t="shared" si="7"/>
        <v>8.07</v>
      </c>
      <c r="R90" s="56">
        <f t="shared" si="7"/>
        <v>7.24</v>
      </c>
      <c r="S90" s="56">
        <f t="shared" si="7"/>
        <v>6.11</v>
      </c>
      <c r="T90" s="56">
        <f t="shared" si="7"/>
        <v>5.68</v>
      </c>
      <c r="U90" s="56">
        <f t="shared" si="7"/>
        <v>5.41</v>
      </c>
      <c r="V90" s="56">
        <f t="shared" si="7"/>
        <v>5.19</v>
      </c>
      <c r="W90" s="56">
        <f t="shared" si="7"/>
        <v>4.9000000000000004</v>
      </c>
      <c r="X90" s="30" t="str" cm="1">
        <f t="array" ref="X90">IF(Y90="","",_xlfn.TEXTJOIN(";",TRUE,SUBSTITUTE($Y$1:$AG$1,"Qty ","")&amp;":"&amp;TEXT(Y90:AG90,"0.00"))&amp;";")</f>
        <v>1:20.89;10:19.68;25:12.96;50:11.32;100:9.83;250:9.07;500:8.68;750:8.46;1000:8.08;</v>
      </c>
      <c r="Y90" s="56">
        <f>'Blocking Prices'!$C$16+O90</f>
        <v>20.89</v>
      </c>
      <c r="Z90" s="56">
        <f>'Blocking Prices'!$D$16+P90</f>
        <v>19.68</v>
      </c>
      <c r="AA90" s="56">
        <f>'Blocking Prices'!$E$16+Q90</f>
        <v>12.96</v>
      </c>
      <c r="AB90" s="56">
        <f>'Blocking Prices'!$F$16+R90</f>
        <v>11.32</v>
      </c>
      <c r="AC90" s="56">
        <f>'Blocking Prices'!$G$16+S90</f>
        <v>9.83</v>
      </c>
      <c r="AD90" s="56">
        <f>'Blocking Prices'!$H$16+T90</f>
        <v>9.07</v>
      </c>
      <c r="AE90" s="56">
        <f>'Blocking Prices'!$I$16+U90</f>
        <v>8.68</v>
      </c>
      <c r="AF90" s="56">
        <f>'Blocking Prices'!$J$16+V90</f>
        <v>8.4600000000000009</v>
      </c>
      <c r="AG90" s="56">
        <f>'Blocking Prices'!$K$16+W90</f>
        <v>8.08</v>
      </c>
      <c r="AH90" s="11"/>
      <c r="AI90" s="11"/>
      <c r="AJ90" s="11"/>
      <c r="AK90" s="11"/>
      <c r="AL90" s="12" t="s">
        <v>1013</v>
      </c>
      <c r="AM90" s="12" t="s">
        <v>1014</v>
      </c>
      <c r="AN90" s="12" t="str">
        <f>IFERROR(_xlfn.LET(_xlpm.v,INDEX('product-export-27-8-2026'!$A:$AJ,MATCH($A90,'product-export-27-8-2026'!$A:$A,0),MATCH(AN$1,'product-export-27-8-2026'!$1:$1,0)),IF(_xlpm.v="","",_xlpm.v)),"")</f>
        <v/>
      </c>
      <c r="AO90" s="12" t="str">
        <f>IFERROR(_xlfn.LET(_xlpm.v,INDEX('product-export-27-8-2026'!$A:$AJ,MATCH($A90,'product-export-27-8-2026'!$A:$A,0),MATCH(AO$1,'product-export-27-8-2026'!$1:$1,0)),IF(_xlpm.v="","",_xlpm.v)),"")</f>
        <v/>
      </c>
      <c r="AP90" s="12" t="str">
        <f>IFERROR(_xlfn.LET(_xlpm.v,INDEX('product-export-27-8-2026'!$A:$AJ,MATCH($A90,'product-export-27-8-2026'!$A:$A,0),MATCH(AP$1,'product-export-27-8-2026'!$1:$1,0)),IF(_xlpm.v="","",_xlpm.v)),"")</f>
        <v/>
      </c>
      <c r="AQ90" s="12" t="str">
        <f>IFERROR(_xlfn.LET(_xlpm.v,INDEX('product-export-27-8-2026'!$A:$AJ,MATCH($A90,'product-export-27-8-2026'!$A:$A,0),MATCH(AQ$1,'product-export-27-8-2026'!$1:$1,0)),IF(_xlpm.v="","",_xlpm.v)),"")</f>
        <v/>
      </c>
      <c r="AR90" s="12" t="str">
        <f>IFERROR(_xlfn.LET(_xlpm.v,INDEX('product-export-27-8-2026'!$A:$AJ,MATCH($A90,'product-export-27-8-2026'!$A:$A,0),MATCH(AR$1,'product-export-27-8-2026'!$1:$1,0)),IF(_xlpm.v="","",_xlpm.v)),"")</f>
        <v>Diaries, Foil blocked, Diaries &gt; Quarto Diary, Diaries &gt; Quarto Diary &gt; Quarto WTV, Richmond Collection</v>
      </c>
      <c r="AS90" s="12" t="str">
        <f>IFERROR(_xlfn.LET(_xlpm.v,INDEX('product-export-27-8-2026'!$A:$AJ,MATCH($A90,'product-export-27-8-2026'!$A:$A,0),MATCH(AS$1,'product-export-27-8-2026'!$1:$1,0)),IF(_xlpm.v="","",_xlpm.v)),"")</f>
        <v>Richmond-FineGrain-Quarto-Desk-Diary-Week-to-View</v>
      </c>
      <c r="BC90" s="15"/>
    </row>
    <row r="91" spans="1:55" s="14" customFormat="1" ht="27.6" customHeight="1" x14ac:dyDescent="0.3">
      <c r="A91" s="11">
        <v>1048</v>
      </c>
      <c r="B91" s="12" t="s">
        <v>437</v>
      </c>
      <c r="C91" s="12" t="s">
        <v>18</v>
      </c>
      <c r="D91" s="12" t="s">
        <v>147</v>
      </c>
      <c r="E91" s="13" t="s">
        <v>147</v>
      </c>
      <c r="F91" s="12" t="s">
        <v>148</v>
      </c>
      <c r="G91" s="12" t="s">
        <v>117</v>
      </c>
      <c r="H91" s="12" t="s">
        <v>672</v>
      </c>
      <c r="I91" s="12" t="s">
        <v>20</v>
      </c>
      <c r="J91" s="12" t="s">
        <v>87</v>
      </c>
      <c r="K91" s="18" t="s">
        <v>1667</v>
      </c>
      <c r="L91" s="54">
        <v>0.48</v>
      </c>
      <c r="M91" s="11">
        <v>17.5</v>
      </c>
      <c r="N91" s="12" t="s">
        <v>149</v>
      </c>
      <c r="O91" s="56">
        <f t="shared" si="7"/>
        <v>17.21</v>
      </c>
      <c r="P91" s="56">
        <f t="shared" si="7"/>
        <v>16.48</v>
      </c>
      <c r="Q91" s="56">
        <f t="shared" si="7"/>
        <v>10.84</v>
      </c>
      <c r="R91" s="56">
        <f t="shared" si="7"/>
        <v>7.78</v>
      </c>
      <c r="S91" s="56">
        <f t="shared" si="7"/>
        <v>6.78</v>
      </c>
      <c r="T91" s="56">
        <f t="shared" si="7"/>
        <v>6.26</v>
      </c>
      <c r="U91" s="56">
        <f t="shared" si="7"/>
        <v>5.82</v>
      </c>
      <c r="V91" s="56">
        <f t="shared" si="7"/>
        <v>5.51</v>
      </c>
      <c r="W91" s="56">
        <f t="shared" si="7"/>
        <v>5.29</v>
      </c>
      <c r="X91" s="30" t="str" cm="1">
        <f t="array" ref="X91">IF(Y91="","",_xlfn.TEXTJOIN(";",TRUE,SUBSTITUTE($Y$1:$AG$1,"Qty ","")&amp;":"&amp;TEXT(Y91:AG91,"0.00"))&amp;";")</f>
        <v>1:23.33;10:21.99;25:15.73;50:11.86;100:10.50;250:9.65;500:9.09;750:8.78;1000:8.47;</v>
      </c>
      <c r="Y91" s="56">
        <f>'Blocking Prices'!$C$16+O91</f>
        <v>23.330000000000002</v>
      </c>
      <c r="Z91" s="56">
        <f>'Blocking Prices'!$D$16+P91</f>
        <v>21.990000000000002</v>
      </c>
      <c r="AA91" s="56">
        <f>'Blocking Prices'!$E$16+Q91</f>
        <v>15.73</v>
      </c>
      <c r="AB91" s="56">
        <f>'Blocking Prices'!$F$16+R91</f>
        <v>11.86</v>
      </c>
      <c r="AC91" s="56">
        <f>'Blocking Prices'!$G$16+S91</f>
        <v>10.5</v>
      </c>
      <c r="AD91" s="56">
        <f>'Blocking Prices'!$H$16+T91</f>
        <v>9.65</v>
      </c>
      <c r="AE91" s="56">
        <f>'Blocking Prices'!$I$16+U91</f>
        <v>9.09</v>
      </c>
      <c r="AF91" s="56">
        <f>'Blocking Prices'!$J$16+V91</f>
        <v>8.7799999999999994</v>
      </c>
      <c r="AG91" s="56">
        <f>'Blocking Prices'!$K$16+W91</f>
        <v>8.4700000000000006</v>
      </c>
      <c r="AH91" s="11"/>
      <c r="AI91" s="11"/>
      <c r="AJ91" s="11"/>
      <c r="AK91" s="11"/>
      <c r="AL91" s="12" t="s">
        <v>1013</v>
      </c>
      <c r="AM91" s="12" t="s">
        <v>1020</v>
      </c>
      <c r="AN91" s="12" t="str">
        <f>IFERROR(_xlfn.LET(_xlpm.v,INDEX('product-export-27-8-2026'!$A:$AJ,MATCH($A91,'product-export-27-8-2026'!$A:$A,0),MATCH(AN$1,'product-export-27-8-2026'!$1:$1,0)),IF(_xlpm.v="","",_xlpm.v)),"")</f>
        <v/>
      </c>
      <c r="AO91" s="12" t="str">
        <f>IFERROR(_xlfn.LET(_xlpm.v,INDEX('product-export-27-8-2026'!$A:$AJ,MATCH($A91,'product-export-27-8-2026'!$A:$A,0),MATCH(AO$1,'product-export-27-8-2026'!$1:$1,0)),IF(_xlpm.v="","",_xlpm.v)),"")</f>
        <v/>
      </c>
      <c r="AP91" s="12" t="str">
        <f>IFERROR(_xlfn.LET(_xlpm.v,INDEX('product-export-27-8-2026'!$A:$AJ,MATCH($A91,'product-export-27-8-2026'!$A:$A,0),MATCH(AP$1,'product-export-27-8-2026'!$1:$1,0)),IF(_xlpm.v="","",_xlpm.v)),"")</f>
        <v/>
      </c>
      <c r="AQ91" s="12" t="str">
        <f>IFERROR(_xlfn.LET(_xlpm.v,INDEX('product-export-27-8-2026'!$A:$AJ,MATCH($A91,'product-export-27-8-2026'!$A:$A,0),MATCH(AQ$1,'product-export-27-8-2026'!$1:$1,0)),IF(_xlpm.v="","",_xlpm.v)),"")</f>
        <v/>
      </c>
      <c r="AR91" s="12" t="str">
        <f>IFERROR(_xlfn.LET(_xlpm.v,INDEX('product-export-27-8-2026'!$A:$AJ,MATCH($A91,'product-export-27-8-2026'!$A:$A,0),MATCH(AR$1,'product-export-27-8-2026'!$1:$1,0)),IF(_xlpm.v="","",_xlpm.v)),"")</f>
        <v>Diaries, Foil blocked, Diaries &gt; Quarto Diary, Diaries &gt; Quarto Diary &gt; Quarto WTV, Richmond Collection</v>
      </c>
      <c r="AS91" s="12" t="str">
        <f>IFERROR(_xlfn.LET(_xlpm.v,INDEX('product-export-27-8-2026'!$A:$AJ,MATCH($A91,'product-export-27-8-2026'!$A:$A,0),MATCH(AS$1,'product-export-27-8-2026'!$1:$1,0)),IF(_xlpm.v="","",_xlpm.v)),"")</f>
        <v>Richmond-FineGrain-Quarto-Desk-Diary-Week-to-View</v>
      </c>
      <c r="BC91" s="15"/>
    </row>
    <row r="92" spans="1:55" s="14" customFormat="1" ht="27.6" customHeight="1" x14ac:dyDescent="0.3">
      <c r="A92" s="11">
        <v>1125</v>
      </c>
      <c r="B92" s="12" t="s">
        <v>394</v>
      </c>
      <c r="C92" s="12" t="s">
        <v>18</v>
      </c>
      <c r="D92" s="12" t="s">
        <v>150</v>
      </c>
      <c r="E92" s="13" t="s">
        <v>567</v>
      </c>
      <c r="F92" s="12" t="s">
        <v>152</v>
      </c>
      <c r="G92" s="12" t="s">
        <v>151</v>
      </c>
      <c r="H92" s="12" t="s">
        <v>672</v>
      </c>
      <c r="I92" s="12" t="s">
        <v>41</v>
      </c>
      <c r="J92" s="18" t="s">
        <v>1541</v>
      </c>
      <c r="K92" s="18" t="s">
        <v>1667</v>
      </c>
      <c r="L92" s="54">
        <v>0.48</v>
      </c>
      <c r="M92" s="11">
        <v>35.99</v>
      </c>
      <c r="N92" s="12" t="s">
        <v>153</v>
      </c>
      <c r="O92" s="56">
        <f t="shared" ref="O92:W101" si="8">IFERROR(VALUE(_xlfn.TEXTBEFORE(_xlfn.TEXTAFTER(";"&amp;$N92,";"&amp;SUBSTITUTE(O$1,"Qty ","")&amp;":"),";")),"")</f>
        <v>32.28</v>
      </c>
      <c r="P92" s="56">
        <f t="shared" si="8"/>
        <v>30.78</v>
      </c>
      <c r="Q92" s="56">
        <f t="shared" si="8"/>
        <v>25.68</v>
      </c>
      <c r="R92" s="56">
        <f t="shared" si="8"/>
        <v>23.88</v>
      </c>
      <c r="S92" s="56">
        <f t="shared" si="8"/>
        <v>20.76</v>
      </c>
      <c r="T92" s="56">
        <f t="shared" si="8"/>
        <v>19.14</v>
      </c>
      <c r="U92" s="56">
        <f t="shared" si="8"/>
        <v>17.61</v>
      </c>
      <c r="V92" s="56">
        <f t="shared" si="8"/>
        <v>16.079999999999998</v>
      </c>
      <c r="W92" s="56">
        <f t="shared" si="8"/>
        <v>8.58</v>
      </c>
      <c r="X92" s="30" t="str" cm="1">
        <f t="array" ref="X92">IF(Y92="","",_xlfn.TEXTJOIN(";",TRUE,SUBSTITUTE($Y$1:$AG$1,"Qty ","")&amp;":"&amp;TEXT(Y92:AG92,"0.00"))&amp;";")</f>
        <v>1:38.40;10:36.29;25:30.57;50:27.96;100:24.48;250:22.53;500:20.88;750:19.35;1000:11.76;</v>
      </c>
      <c r="Y92" s="56">
        <f>'Blocking Prices'!$C$16+O92</f>
        <v>38.4</v>
      </c>
      <c r="Z92" s="56">
        <f>'Blocking Prices'!$D$16+P92</f>
        <v>36.29</v>
      </c>
      <c r="AA92" s="56">
        <f>'Blocking Prices'!$E$16+Q92</f>
        <v>30.57</v>
      </c>
      <c r="AB92" s="56">
        <f>'Blocking Prices'!$F$16+R92</f>
        <v>27.96</v>
      </c>
      <c r="AC92" s="56">
        <f>'Blocking Prices'!$G$16+S92</f>
        <v>24.48</v>
      </c>
      <c r="AD92" s="56">
        <f>'Blocking Prices'!$H$16+T92</f>
        <v>22.53</v>
      </c>
      <c r="AE92" s="56">
        <f>'Blocking Prices'!$I$16+U92</f>
        <v>20.88</v>
      </c>
      <c r="AF92" s="56">
        <f>'Blocking Prices'!$J$16+V92</f>
        <v>19.349999999999998</v>
      </c>
      <c r="AG92" s="56">
        <f>'Blocking Prices'!$K$16+W92</f>
        <v>11.76</v>
      </c>
      <c r="AH92" s="11"/>
      <c r="AI92" s="11"/>
      <c r="AJ92" s="11"/>
      <c r="AK92" s="11"/>
      <c r="AL92" s="12" t="s">
        <v>1023</v>
      </c>
      <c r="AM92" s="12" t="s">
        <v>664</v>
      </c>
      <c r="AN92" s="12" t="str">
        <f>IFERROR(_xlfn.LET(_xlpm.v,INDEX('product-export-27-8-2026'!$A:$AJ,MATCH($A92,'product-export-27-8-2026'!$A:$A,0),MATCH(AN$1,'product-export-27-8-2026'!$1:$1,0)),IF(_xlpm.v="","",_xlpm.v)),"")</f>
        <v/>
      </c>
      <c r="AO92" s="12" t="str">
        <f>IFERROR(_xlfn.LET(_xlpm.v,INDEX('product-export-27-8-2026'!$A:$AJ,MATCH($A92,'product-export-27-8-2026'!$A:$A,0),MATCH(AO$1,'product-export-27-8-2026'!$1:$1,0)),IF(_xlpm.v="","",_xlpm.v)),"")</f>
        <v/>
      </c>
      <c r="AP92" s="12" t="str">
        <f>IFERROR(_xlfn.LET(_xlpm.v,INDEX('product-export-27-8-2026'!$A:$AJ,MATCH($A92,'product-export-27-8-2026'!$A:$A,0),MATCH(AP$1,'product-export-27-8-2026'!$1:$1,0)),IF(_xlpm.v="","",_xlpm.v)),"")</f>
        <v/>
      </c>
      <c r="AQ92" s="12" t="str">
        <f>IFERROR(_xlfn.LET(_xlpm.v,INDEX('product-export-27-8-2026'!$A:$AJ,MATCH($A92,'product-export-27-8-2026'!$A:$A,0),MATCH(AQ$1,'product-export-27-8-2026'!$1:$1,0)),IF(_xlpm.v="","",_xlpm.v)),"")</f>
        <v/>
      </c>
      <c r="AR92" s="12" t="str">
        <f>IFERROR(_xlfn.LET(_xlpm.v,INDEX('product-export-27-8-2026'!$A:$AJ,MATCH($A92,'product-export-27-8-2026'!$A:$A,0),MATCH(AR$1,'product-export-27-8-2026'!$1:$1,0)),IF(_xlpm.v="","",_xlpm.v)),"")</f>
        <v>Diaries &gt; A4 Diary, Chelsea Collection, Diaries, Foil blocked</v>
      </c>
      <c r="AS92" s="12" t="str">
        <f>IFERROR(_xlfn.LET(_xlpm.v,INDEX('product-export-27-8-2026'!$A:$AJ,MATCH($A92,'product-export-27-8-2026'!$A:$A,0),MATCH(AS$1,'product-export-27-8-2026'!$1:$1,0)),IF(_xlpm.v="","",_xlpm.v)),"")</f>
        <v>Chelsea-Leather-A4-Desk-Diary-Day-Per-Page</v>
      </c>
      <c r="BC92" s="15"/>
    </row>
    <row r="93" spans="1:55" s="14" customFormat="1" ht="27.6" customHeight="1" x14ac:dyDescent="0.3">
      <c r="A93" s="11">
        <v>1130</v>
      </c>
      <c r="B93" s="12" t="s">
        <v>395</v>
      </c>
      <c r="C93" s="12" t="s">
        <v>18</v>
      </c>
      <c r="D93" s="12" t="s">
        <v>154</v>
      </c>
      <c r="E93" s="13" t="s">
        <v>154</v>
      </c>
      <c r="F93" s="12" t="s">
        <v>152</v>
      </c>
      <c r="G93" s="12" t="s">
        <v>151</v>
      </c>
      <c r="H93" s="12" t="s">
        <v>728</v>
      </c>
      <c r="I93" s="12" t="s">
        <v>41</v>
      </c>
      <c r="J93" s="18" t="s">
        <v>1541</v>
      </c>
      <c r="K93" s="18" t="s">
        <v>1667</v>
      </c>
      <c r="L93" s="54">
        <v>0.48</v>
      </c>
      <c r="M93" s="11">
        <v>35.99</v>
      </c>
      <c r="N93" s="12" t="s">
        <v>153</v>
      </c>
      <c r="O93" s="56">
        <f t="shared" si="8"/>
        <v>32.28</v>
      </c>
      <c r="P93" s="56">
        <f t="shared" si="8"/>
        <v>30.78</v>
      </c>
      <c r="Q93" s="56">
        <f t="shared" si="8"/>
        <v>25.68</v>
      </c>
      <c r="R93" s="56">
        <f t="shared" si="8"/>
        <v>23.88</v>
      </c>
      <c r="S93" s="56">
        <f t="shared" si="8"/>
        <v>20.76</v>
      </c>
      <c r="T93" s="56">
        <f t="shared" si="8"/>
        <v>19.14</v>
      </c>
      <c r="U93" s="56">
        <f t="shared" si="8"/>
        <v>17.61</v>
      </c>
      <c r="V93" s="56">
        <f t="shared" si="8"/>
        <v>16.079999999999998</v>
      </c>
      <c r="W93" s="56">
        <f t="shared" si="8"/>
        <v>8.58</v>
      </c>
      <c r="X93" s="30" t="str" cm="1">
        <f t="array" ref="X93">IF(Y93="","",_xlfn.TEXTJOIN(";",TRUE,SUBSTITUTE($Y$1:$AG$1,"Qty ","")&amp;":"&amp;TEXT(Y93:AG93,"0.00"))&amp;";")</f>
        <v>1:38.40;10:36.29;25:30.57;50:27.96;100:24.48;250:22.53;500:20.88;750:19.35;1000:11.76;</v>
      </c>
      <c r="Y93" s="56">
        <f>'Blocking Prices'!$C$16+O93</f>
        <v>38.4</v>
      </c>
      <c r="Z93" s="56">
        <f>'Blocking Prices'!$D$16+P93</f>
        <v>36.29</v>
      </c>
      <c r="AA93" s="56">
        <f>'Blocking Prices'!$E$16+Q93</f>
        <v>30.57</v>
      </c>
      <c r="AB93" s="56">
        <f>'Blocking Prices'!$F$16+R93</f>
        <v>27.96</v>
      </c>
      <c r="AC93" s="56">
        <f>'Blocking Prices'!$G$16+S93</f>
        <v>24.48</v>
      </c>
      <c r="AD93" s="56">
        <f>'Blocking Prices'!$H$16+T93</f>
        <v>22.53</v>
      </c>
      <c r="AE93" s="56">
        <f>'Blocking Prices'!$I$16+U93</f>
        <v>20.88</v>
      </c>
      <c r="AF93" s="56">
        <f>'Blocking Prices'!$J$16+V93</f>
        <v>19.349999999999998</v>
      </c>
      <c r="AG93" s="56">
        <f>'Blocking Prices'!$K$16+W93</f>
        <v>11.76</v>
      </c>
      <c r="AH93" s="11"/>
      <c r="AI93" s="11"/>
      <c r="AJ93" s="11"/>
      <c r="AK93" s="11"/>
      <c r="AL93" s="12" t="s">
        <v>1023</v>
      </c>
      <c r="AM93" s="12" t="s">
        <v>664</v>
      </c>
      <c r="AN93" s="12" t="str">
        <f>IFERROR(_xlfn.LET(_xlpm.v,INDEX('product-export-27-8-2026'!$A:$AJ,MATCH($A93,'product-export-27-8-2026'!$A:$A,0),MATCH(AN$1,'product-export-27-8-2026'!$1:$1,0)),IF(_xlpm.v="","",_xlpm.v)),"")</f>
        <v/>
      </c>
      <c r="AO93" s="12" t="str">
        <f>IFERROR(_xlfn.LET(_xlpm.v,INDEX('product-export-27-8-2026'!$A:$AJ,MATCH($A93,'product-export-27-8-2026'!$A:$A,0),MATCH(AO$1,'product-export-27-8-2026'!$1:$1,0)),IF(_xlpm.v="","",_xlpm.v)),"")</f>
        <v/>
      </c>
      <c r="AP93" s="12" t="str">
        <f>IFERROR(_xlfn.LET(_xlpm.v,INDEX('product-export-27-8-2026'!$A:$AJ,MATCH($A93,'product-export-27-8-2026'!$A:$A,0),MATCH(AP$1,'product-export-27-8-2026'!$1:$1,0)),IF(_xlpm.v="","",_xlpm.v)),"")</f>
        <v/>
      </c>
      <c r="AQ93" s="12" t="str">
        <f>IFERROR(_xlfn.LET(_xlpm.v,INDEX('product-export-27-8-2026'!$A:$AJ,MATCH($A93,'product-export-27-8-2026'!$A:$A,0),MATCH(AQ$1,'product-export-27-8-2026'!$1:$1,0)),IF(_xlpm.v="","",_xlpm.v)),"")</f>
        <v/>
      </c>
      <c r="AR93" s="12" t="str">
        <f>IFERROR(_xlfn.LET(_xlpm.v,INDEX('product-export-27-8-2026'!$A:$AJ,MATCH($A93,'product-export-27-8-2026'!$A:$A,0),MATCH(AR$1,'product-export-27-8-2026'!$1:$1,0)),IF(_xlpm.v="","",_xlpm.v)),"")</f>
        <v>Diaries &gt; A4 Diary, Chelsea Collection, Diaries, Foil blocked</v>
      </c>
      <c r="AS93" s="12" t="str">
        <f>IFERROR(_xlfn.LET(_xlpm.v,INDEX('product-export-27-8-2026'!$A:$AJ,MATCH($A93,'product-export-27-8-2026'!$A:$A,0),MATCH(AS$1,'product-export-27-8-2026'!$1:$1,0)),IF(_xlpm.v="","",_xlpm.v)),"")</f>
        <v>Chelsea-Leather-A4-Desk-Diary-Day-Per-Page</v>
      </c>
      <c r="BC93" s="15"/>
    </row>
    <row r="94" spans="1:55" s="14" customFormat="1" ht="27.6" customHeight="1" x14ac:dyDescent="0.3">
      <c r="A94" s="11">
        <v>1135</v>
      </c>
      <c r="B94" s="12" t="s">
        <v>396</v>
      </c>
      <c r="C94" s="12" t="s">
        <v>18</v>
      </c>
      <c r="D94" s="12" t="s">
        <v>155</v>
      </c>
      <c r="E94" s="13" t="s">
        <v>155</v>
      </c>
      <c r="F94" s="12" t="s">
        <v>156</v>
      </c>
      <c r="G94" s="12" t="s">
        <v>151</v>
      </c>
      <c r="H94" s="12" t="s">
        <v>672</v>
      </c>
      <c r="I94" s="12" t="s">
        <v>41</v>
      </c>
      <c r="J94" s="12" t="s">
        <v>87</v>
      </c>
      <c r="K94" s="18" t="s">
        <v>1667</v>
      </c>
      <c r="L94" s="54">
        <v>0.48</v>
      </c>
      <c r="M94" s="11">
        <v>17.5</v>
      </c>
      <c r="N94" s="12" t="s">
        <v>157</v>
      </c>
      <c r="O94" s="56">
        <f t="shared" si="8"/>
        <v>18.48</v>
      </c>
      <c r="P94" s="56">
        <f t="shared" si="8"/>
        <v>17.75</v>
      </c>
      <c r="Q94" s="56">
        <f t="shared" si="8"/>
        <v>13.19</v>
      </c>
      <c r="R94" s="56">
        <f t="shared" si="8"/>
        <v>9.89</v>
      </c>
      <c r="S94" s="56">
        <f t="shared" si="8"/>
        <v>9.2200000000000006</v>
      </c>
      <c r="T94" s="56">
        <f t="shared" si="8"/>
        <v>8.35</v>
      </c>
      <c r="U94" s="56">
        <f t="shared" si="8"/>
        <v>7.67</v>
      </c>
      <c r="V94" s="56">
        <f t="shared" si="8"/>
        <v>7.28</v>
      </c>
      <c r="W94" s="56">
        <f t="shared" si="8"/>
        <v>6.97</v>
      </c>
      <c r="X94" s="30" t="str" cm="1">
        <f t="array" ref="X94">IF(Y94="","",_xlfn.TEXTJOIN(";",TRUE,SUBSTITUTE($Y$1:$AG$1,"Qty ","")&amp;":"&amp;TEXT(Y94:AG94,"0.00"))&amp;";")</f>
        <v>1:24.60;10:23.26;25:18.08;50:13.97;100:12.94;250:11.74;500:10.94;750:10.55;1000:10.15;</v>
      </c>
      <c r="Y94" s="56">
        <f>'Blocking Prices'!$C$16+O94</f>
        <v>24.6</v>
      </c>
      <c r="Z94" s="56">
        <f>'Blocking Prices'!$D$16+P94</f>
        <v>23.259999999999998</v>
      </c>
      <c r="AA94" s="56">
        <f>'Blocking Prices'!$E$16+Q94</f>
        <v>18.079999999999998</v>
      </c>
      <c r="AB94" s="56">
        <f>'Blocking Prices'!$F$16+R94</f>
        <v>13.97</v>
      </c>
      <c r="AC94" s="56">
        <f>'Blocking Prices'!$G$16+S94</f>
        <v>12.940000000000001</v>
      </c>
      <c r="AD94" s="56">
        <f>'Blocking Prices'!$H$16+T94</f>
        <v>11.74</v>
      </c>
      <c r="AE94" s="56">
        <f>'Blocking Prices'!$I$16+U94</f>
        <v>10.94</v>
      </c>
      <c r="AF94" s="56">
        <f>'Blocking Prices'!$J$16+V94</f>
        <v>10.55</v>
      </c>
      <c r="AG94" s="56">
        <f>'Blocking Prices'!$K$16+W94</f>
        <v>10.15</v>
      </c>
      <c r="AH94" s="11"/>
      <c r="AI94" s="11"/>
      <c r="AJ94" s="11"/>
      <c r="AK94" s="11"/>
      <c r="AL94" s="12" t="s">
        <v>1031</v>
      </c>
      <c r="AM94" s="12" t="s">
        <v>1032</v>
      </c>
      <c r="AN94" s="12" t="str">
        <f>IFERROR(_xlfn.LET(_xlpm.v,INDEX('product-export-27-8-2026'!$A:$AJ,MATCH($A94,'product-export-27-8-2026'!$A:$A,0),MATCH(AN$1,'product-export-27-8-2026'!$1:$1,0)),IF(_xlpm.v="","",_xlpm.v)),"")</f>
        <v/>
      </c>
      <c r="AO94" s="12" t="str">
        <f>IFERROR(_xlfn.LET(_xlpm.v,INDEX('product-export-27-8-2026'!$A:$AJ,MATCH($A94,'product-export-27-8-2026'!$A:$A,0),MATCH(AO$1,'product-export-27-8-2026'!$1:$1,0)),IF(_xlpm.v="","",_xlpm.v)),"")</f>
        <v/>
      </c>
      <c r="AP94" s="12" t="str">
        <f>IFERROR(_xlfn.LET(_xlpm.v,INDEX('product-export-27-8-2026'!$A:$AJ,MATCH($A94,'product-export-27-8-2026'!$A:$A,0),MATCH(AP$1,'product-export-27-8-2026'!$1:$1,0)),IF(_xlpm.v="","",_xlpm.v)),"")</f>
        <v/>
      </c>
      <c r="AQ94" s="12" t="str">
        <f>IFERROR(_xlfn.LET(_xlpm.v,INDEX('product-export-27-8-2026'!$A:$AJ,MATCH($A94,'product-export-27-8-2026'!$A:$A,0),MATCH(AQ$1,'product-export-27-8-2026'!$1:$1,0)),IF(_xlpm.v="","",_xlpm.v)),"")</f>
        <v/>
      </c>
      <c r="AR94" s="12" t="str">
        <f>IFERROR(_xlfn.LET(_xlpm.v,INDEX('product-export-27-8-2026'!$A:$AJ,MATCH($A94,'product-export-27-8-2026'!$A:$A,0),MATCH(AR$1,'product-export-27-8-2026'!$1:$1,0)),IF(_xlpm.v="","",_xlpm.v)),"")</f>
        <v>Diaries &gt; A4 Diary, Diaries, Lewes Collection</v>
      </c>
      <c r="AS94" s="12" t="str">
        <f>IFERROR(_xlfn.LET(_xlpm.v,INDEX('product-export-27-8-2026'!$A:$AJ,MATCH($A94,'product-export-27-8-2026'!$A:$A,0),MATCH(AS$1,'product-export-27-8-2026'!$1:$1,0)),IF(_xlpm.v="","",_xlpm.v)),"")</f>
        <v>Lewes-SmoothGrain-A4-Desk-Diary-Day-Per-Page</v>
      </c>
      <c r="BC94" s="15"/>
    </row>
    <row r="95" spans="1:55" s="14" customFormat="1" ht="27.6" customHeight="1" x14ac:dyDescent="0.3">
      <c r="A95" s="11">
        <v>1141</v>
      </c>
      <c r="B95" s="12" t="s">
        <v>397</v>
      </c>
      <c r="C95" s="12" t="s">
        <v>18</v>
      </c>
      <c r="D95" s="12" t="s">
        <v>158</v>
      </c>
      <c r="E95" s="13" t="s">
        <v>155</v>
      </c>
      <c r="F95" s="12" t="s">
        <v>156</v>
      </c>
      <c r="G95" s="12" t="s">
        <v>151</v>
      </c>
      <c r="H95" s="12" t="s">
        <v>728</v>
      </c>
      <c r="I95" s="12" t="s">
        <v>41</v>
      </c>
      <c r="J95" s="12" t="s">
        <v>87</v>
      </c>
      <c r="K95" s="18" t="s">
        <v>1667</v>
      </c>
      <c r="L95" s="54">
        <v>0.48</v>
      </c>
      <c r="M95" s="11">
        <v>17.5</v>
      </c>
      <c r="N95" s="12" t="s">
        <v>157</v>
      </c>
      <c r="O95" s="56">
        <f t="shared" si="8"/>
        <v>18.48</v>
      </c>
      <c r="P95" s="56">
        <f t="shared" si="8"/>
        <v>17.75</v>
      </c>
      <c r="Q95" s="56">
        <f t="shared" si="8"/>
        <v>13.19</v>
      </c>
      <c r="R95" s="56">
        <f t="shared" si="8"/>
        <v>9.89</v>
      </c>
      <c r="S95" s="56">
        <f t="shared" si="8"/>
        <v>9.2200000000000006</v>
      </c>
      <c r="T95" s="56">
        <f t="shared" si="8"/>
        <v>8.35</v>
      </c>
      <c r="U95" s="56">
        <f t="shared" si="8"/>
        <v>7.67</v>
      </c>
      <c r="V95" s="56">
        <f t="shared" si="8"/>
        <v>7.28</v>
      </c>
      <c r="W95" s="56">
        <f t="shared" si="8"/>
        <v>6.97</v>
      </c>
      <c r="X95" s="30" t="str" cm="1">
        <f t="array" ref="X95">IF(Y95="","",_xlfn.TEXTJOIN(";",TRUE,SUBSTITUTE($Y$1:$AG$1,"Qty ","")&amp;":"&amp;TEXT(Y95:AG95,"0.00"))&amp;";")</f>
        <v>1:24.60;10:23.26;25:18.08;50:13.97;100:12.94;250:11.74;500:10.94;750:10.55;1000:10.15;</v>
      </c>
      <c r="Y95" s="56">
        <f>'Blocking Prices'!$C$16+O95</f>
        <v>24.6</v>
      </c>
      <c r="Z95" s="56">
        <f>'Blocking Prices'!$D$16+P95</f>
        <v>23.259999999999998</v>
      </c>
      <c r="AA95" s="56">
        <f>'Blocking Prices'!$E$16+Q95</f>
        <v>18.079999999999998</v>
      </c>
      <c r="AB95" s="56">
        <f>'Blocking Prices'!$F$16+R95</f>
        <v>13.97</v>
      </c>
      <c r="AC95" s="56">
        <f>'Blocking Prices'!$G$16+S95</f>
        <v>12.940000000000001</v>
      </c>
      <c r="AD95" s="56">
        <f>'Blocking Prices'!$H$16+T95</f>
        <v>11.74</v>
      </c>
      <c r="AE95" s="56">
        <f>'Blocking Prices'!$I$16+U95</f>
        <v>10.94</v>
      </c>
      <c r="AF95" s="56">
        <f>'Blocking Prices'!$J$16+V95</f>
        <v>10.55</v>
      </c>
      <c r="AG95" s="56">
        <f>'Blocking Prices'!$K$16+W95</f>
        <v>10.15</v>
      </c>
      <c r="AH95" s="11"/>
      <c r="AI95" s="11"/>
      <c r="AJ95" s="11"/>
      <c r="AK95" s="11"/>
      <c r="AL95" s="12" t="s">
        <v>1031</v>
      </c>
      <c r="AM95" s="12" t="s">
        <v>1032</v>
      </c>
      <c r="AN95" s="12" t="str">
        <f>IFERROR(_xlfn.LET(_xlpm.v,INDEX('product-export-27-8-2026'!$A:$AJ,MATCH($A95,'product-export-27-8-2026'!$A:$A,0),MATCH(AN$1,'product-export-27-8-2026'!$1:$1,0)),IF(_xlpm.v="","",_xlpm.v)),"")</f>
        <v/>
      </c>
      <c r="AO95" s="12" t="str">
        <f>IFERROR(_xlfn.LET(_xlpm.v,INDEX('product-export-27-8-2026'!$A:$AJ,MATCH($A95,'product-export-27-8-2026'!$A:$A,0),MATCH(AO$1,'product-export-27-8-2026'!$1:$1,0)),IF(_xlpm.v="","",_xlpm.v)),"")</f>
        <v/>
      </c>
      <c r="AP95" s="12" t="str">
        <f>IFERROR(_xlfn.LET(_xlpm.v,INDEX('product-export-27-8-2026'!$A:$AJ,MATCH($A95,'product-export-27-8-2026'!$A:$A,0),MATCH(AP$1,'product-export-27-8-2026'!$1:$1,0)),IF(_xlpm.v="","",_xlpm.v)),"")</f>
        <v/>
      </c>
      <c r="AQ95" s="12" t="str">
        <f>IFERROR(_xlfn.LET(_xlpm.v,INDEX('product-export-27-8-2026'!$A:$AJ,MATCH($A95,'product-export-27-8-2026'!$A:$A,0),MATCH(AQ$1,'product-export-27-8-2026'!$1:$1,0)),IF(_xlpm.v="","",_xlpm.v)),"")</f>
        <v/>
      </c>
      <c r="AR95" s="12" t="str">
        <f>IFERROR(_xlfn.LET(_xlpm.v,INDEX('product-export-27-8-2026'!$A:$AJ,MATCH($A95,'product-export-27-8-2026'!$A:$A,0),MATCH(AR$1,'product-export-27-8-2026'!$1:$1,0)),IF(_xlpm.v="","",_xlpm.v)),"")</f>
        <v>Diaries &gt; A4 Diary, Diaries, Lewes Collection</v>
      </c>
      <c r="AS95" s="12" t="str">
        <f>IFERROR(_xlfn.LET(_xlpm.v,INDEX('product-export-27-8-2026'!$A:$AJ,MATCH($A95,'product-export-27-8-2026'!$A:$A,0),MATCH(AS$1,'product-export-27-8-2026'!$1:$1,0)),IF(_xlpm.v="","",_xlpm.v)),"")</f>
        <v>Lewes-SmoothGrain-A4-Desk-Diary-Day-Per-Page</v>
      </c>
      <c r="BC95" s="15"/>
    </row>
    <row r="96" spans="1:55" s="14" customFormat="1" ht="27.6" customHeight="1" x14ac:dyDescent="0.3">
      <c r="A96" s="11">
        <v>1145</v>
      </c>
      <c r="B96" s="12" t="s">
        <v>398</v>
      </c>
      <c r="C96" s="12" t="s">
        <v>18</v>
      </c>
      <c r="D96" s="12" t="s">
        <v>159</v>
      </c>
      <c r="E96" s="13" t="s">
        <v>155</v>
      </c>
      <c r="F96" s="12" t="s">
        <v>156</v>
      </c>
      <c r="G96" s="12" t="s">
        <v>151</v>
      </c>
      <c r="H96" s="12" t="s">
        <v>789</v>
      </c>
      <c r="I96" s="12" t="s">
        <v>41</v>
      </c>
      <c r="J96" s="12" t="s">
        <v>87</v>
      </c>
      <c r="K96" s="18" t="s">
        <v>1667</v>
      </c>
      <c r="L96" s="54">
        <v>0.48</v>
      </c>
      <c r="M96" s="11">
        <v>17.5</v>
      </c>
      <c r="N96" s="12" t="s">
        <v>157</v>
      </c>
      <c r="O96" s="56">
        <f t="shared" si="8"/>
        <v>18.48</v>
      </c>
      <c r="P96" s="56">
        <f t="shared" si="8"/>
        <v>17.75</v>
      </c>
      <c r="Q96" s="56">
        <f t="shared" si="8"/>
        <v>13.19</v>
      </c>
      <c r="R96" s="56">
        <f t="shared" si="8"/>
        <v>9.89</v>
      </c>
      <c r="S96" s="56">
        <f t="shared" si="8"/>
        <v>9.2200000000000006</v>
      </c>
      <c r="T96" s="56">
        <f t="shared" si="8"/>
        <v>8.35</v>
      </c>
      <c r="U96" s="56">
        <f t="shared" si="8"/>
        <v>7.67</v>
      </c>
      <c r="V96" s="56">
        <f t="shared" si="8"/>
        <v>7.28</v>
      </c>
      <c r="W96" s="56">
        <f t="shared" si="8"/>
        <v>6.97</v>
      </c>
      <c r="X96" s="30" t="str" cm="1">
        <f t="array" ref="X96">IF(Y96="","",_xlfn.TEXTJOIN(";",TRUE,SUBSTITUTE($Y$1:$AG$1,"Qty ","")&amp;":"&amp;TEXT(Y96:AG96,"0.00"))&amp;";")</f>
        <v>1:24.60;10:23.26;25:18.08;50:13.97;100:12.94;250:11.74;500:10.94;750:10.55;1000:10.15;</v>
      </c>
      <c r="Y96" s="56">
        <f>'Blocking Prices'!$C$16+O96</f>
        <v>24.6</v>
      </c>
      <c r="Z96" s="56">
        <f>'Blocking Prices'!$D$16+P96</f>
        <v>23.259999999999998</v>
      </c>
      <c r="AA96" s="56">
        <f>'Blocking Prices'!$E$16+Q96</f>
        <v>18.079999999999998</v>
      </c>
      <c r="AB96" s="56">
        <f>'Blocking Prices'!$F$16+R96</f>
        <v>13.97</v>
      </c>
      <c r="AC96" s="56">
        <f>'Blocking Prices'!$G$16+S96</f>
        <v>12.940000000000001</v>
      </c>
      <c r="AD96" s="56">
        <f>'Blocking Prices'!$H$16+T96</f>
        <v>11.74</v>
      </c>
      <c r="AE96" s="56">
        <f>'Blocking Prices'!$I$16+U96</f>
        <v>10.94</v>
      </c>
      <c r="AF96" s="56">
        <f>'Blocking Prices'!$J$16+V96</f>
        <v>10.55</v>
      </c>
      <c r="AG96" s="56">
        <f>'Blocking Prices'!$K$16+W96</f>
        <v>10.15</v>
      </c>
      <c r="AH96" s="11"/>
      <c r="AI96" s="11"/>
      <c r="AJ96" s="11"/>
      <c r="AK96" s="11"/>
      <c r="AL96" s="12" t="s">
        <v>1031</v>
      </c>
      <c r="AM96" s="12" t="s">
        <v>1032</v>
      </c>
      <c r="AN96" s="12" t="str">
        <f>IFERROR(_xlfn.LET(_xlpm.v,INDEX('product-export-27-8-2026'!$A:$AJ,MATCH($A96,'product-export-27-8-2026'!$A:$A,0),MATCH(AN$1,'product-export-27-8-2026'!$1:$1,0)),IF(_xlpm.v="","",_xlpm.v)),"")</f>
        <v/>
      </c>
      <c r="AO96" s="12" t="str">
        <f>IFERROR(_xlfn.LET(_xlpm.v,INDEX('product-export-27-8-2026'!$A:$AJ,MATCH($A96,'product-export-27-8-2026'!$A:$A,0),MATCH(AO$1,'product-export-27-8-2026'!$1:$1,0)),IF(_xlpm.v="","",_xlpm.v)),"")</f>
        <v/>
      </c>
      <c r="AP96" s="12" t="str">
        <f>IFERROR(_xlfn.LET(_xlpm.v,INDEX('product-export-27-8-2026'!$A:$AJ,MATCH($A96,'product-export-27-8-2026'!$A:$A,0),MATCH(AP$1,'product-export-27-8-2026'!$1:$1,0)),IF(_xlpm.v="","",_xlpm.v)),"")</f>
        <v/>
      </c>
      <c r="AQ96" s="12" t="str">
        <f>IFERROR(_xlfn.LET(_xlpm.v,INDEX('product-export-27-8-2026'!$A:$AJ,MATCH($A96,'product-export-27-8-2026'!$A:$A,0),MATCH(AQ$1,'product-export-27-8-2026'!$1:$1,0)),IF(_xlpm.v="","",_xlpm.v)),"")</f>
        <v/>
      </c>
      <c r="AR96" s="12" t="str">
        <f>IFERROR(_xlfn.LET(_xlpm.v,INDEX('product-export-27-8-2026'!$A:$AJ,MATCH($A96,'product-export-27-8-2026'!$A:$A,0),MATCH(AR$1,'product-export-27-8-2026'!$1:$1,0)),IF(_xlpm.v="","",_xlpm.v)),"")</f>
        <v>Diaries &gt; A4 Diary, Diaries, Lewes Collection</v>
      </c>
      <c r="AS96" s="12" t="str">
        <f>IFERROR(_xlfn.LET(_xlpm.v,INDEX('product-export-27-8-2026'!$A:$AJ,MATCH($A96,'product-export-27-8-2026'!$A:$A,0),MATCH(AS$1,'product-export-27-8-2026'!$1:$1,0)),IF(_xlpm.v="","",_xlpm.v)),"")</f>
        <v>Lewes-SmoothGrain-A4-Desk-Diary-Day-Per-Page</v>
      </c>
      <c r="BC96" s="15"/>
    </row>
    <row r="97" spans="1:55" s="14" customFormat="1" ht="27.6" customHeight="1" x14ac:dyDescent="0.3">
      <c r="A97" s="11">
        <v>1149</v>
      </c>
      <c r="B97" s="12" t="s">
        <v>399</v>
      </c>
      <c r="C97" s="12" t="s">
        <v>18</v>
      </c>
      <c r="D97" s="12" t="s">
        <v>160</v>
      </c>
      <c r="E97" s="13" t="s">
        <v>155</v>
      </c>
      <c r="F97" s="12" t="s">
        <v>156</v>
      </c>
      <c r="G97" s="12" t="s">
        <v>151</v>
      </c>
      <c r="H97" s="12" t="s">
        <v>1587</v>
      </c>
      <c r="I97" s="12" t="s">
        <v>41</v>
      </c>
      <c r="J97" s="12" t="s">
        <v>87</v>
      </c>
      <c r="K97" s="18" t="s">
        <v>1667</v>
      </c>
      <c r="L97" s="54">
        <v>0.48</v>
      </c>
      <c r="M97" s="11">
        <v>17.5</v>
      </c>
      <c r="N97" s="12" t="s">
        <v>157</v>
      </c>
      <c r="O97" s="56">
        <f t="shared" si="8"/>
        <v>18.48</v>
      </c>
      <c r="P97" s="56">
        <f t="shared" si="8"/>
        <v>17.75</v>
      </c>
      <c r="Q97" s="56">
        <f t="shared" si="8"/>
        <v>13.19</v>
      </c>
      <c r="R97" s="56">
        <f t="shared" si="8"/>
        <v>9.89</v>
      </c>
      <c r="S97" s="56">
        <f t="shared" si="8"/>
        <v>9.2200000000000006</v>
      </c>
      <c r="T97" s="56">
        <f t="shared" si="8"/>
        <v>8.35</v>
      </c>
      <c r="U97" s="56">
        <f t="shared" si="8"/>
        <v>7.67</v>
      </c>
      <c r="V97" s="56">
        <f t="shared" si="8"/>
        <v>7.28</v>
      </c>
      <c r="W97" s="56">
        <f t="shared" si="8"/>
        <v>6.97</v>
      </c>
      <c r="X97" s="30" t="str" cm="1">
        <f t="array" ref="X97">IF(Y97="","",_xlfn.TEXTJOIN(";",TRUE,SUBSTITUTE($Y$1:$AG$1,"Qty ","")&amp;":"&amp;TEXT(Y97:AG97,"0.00"))&amp;";")</f>
        <v>1:24.60;10:23.26;25:18.08;50:13.97;100:12.94;250:11.74;500:10.94;750:10.55;1000:10.15;</v>
      </c>
      <c r="Y97" s="56">
        <f>'Blocking Prices'!$C$16+O97</f>
        <v>24.6</v>
      </c>
      <c r="Z97" s="56">
        <f>'Blocking Prices'!$D$16+P97</f>
        <v>23.259999999999998</v>
      </c>
      <c r="AA97" s="56">
        <f>'Blocking Prices'!$E$16+Q97</f>
        <v>18.079999999999998</v>
      </c>
      <c r="AB97" s="56">
        <f>'Blocking Prices'!$F$16+R97</f>
        <v>13.97</v>
      </c>
      <c r="AC97" s="56">
        <f>'Blocking Prices'!$G$16+S97</f>
        <v>12.940000000000001</v>
      </c>
      <c r="AD97" s="56">
        <f>'Blocking Prices'!$H$16+T97</f>
        <v>11.74</v>
      </c>
      <c r="AE97" s="56">
        <f>'Blocking Prices'!$I$16+U97</f>
        <v>10.94</v>
      </c>
      <c r="AF97" s="56">
        <f>'Blocking Prices'!$J$16+V97</f>
        <v>10.55</v>
      </c>
      <c r="AG97" s="56">
        <f>'Blocking Prices'!$K$16+W97</f>
        <v>10.15</v>
      </c>
      <c r="AH97" s="11"/>
      <c r="AI97" s="11"/>
      <c r="AJ97" s="11"/>
      <c r="AK97" s="11"/>
      <c r="AL97" s="12" t="s">
        <v>1031</v>
      </c>
      <c r="AM97" s="12" t="s">
        <v>1032</v>
      </c>
      <c r="AN97" s="12" t="str">
        <f>IFERROR(_xlfn.LET(_xlpm.v,INDEX('product-export-27-8-2026'!$A:$AJ,MATCH($A97,'product-export-27-8-2026'!$A:$A,0),MATCH(AN$1,'product-export-27-8-2026'!$1:$1,0)),IF(_xlpm.v="","",_xlpm.v)),"")</f>
        <v/>
      </c>
      <c r="AO97" s="12" t="str">
        <f>IFERROR(_xlfn.LET(_xlpm.v,INDEX('product-export-27-8-2026'!$A:$AJ,MATCH($A97,'product-export-27-8-2026'!$A:$A,0),MATCH(AO$1,'product-export-27-8-2026'!$1:$1,0)),IF(_xlpm.v="","",_xlpm.v)),"")</f>
        <v/>
      </c>
      <c r="AP97" s="12" t="str">
        <f>IFERROR(_xlfn.LET(_xlpm.v,INDEX('product-export-27-8-2026'!$A:$AJ,MATCH($A97,'product-export-27-8-2026'!$A:$A,0),MATCH(AP$1,'product-export-27-8-2026'!$1:$1,0)),IF(_xlpm.v="","",_xlpm.v)),"")</f>
        <v/>
      </c>
      <c r="AQ97" s="12" t="str">
        <f>IFERROR(_xlfn.LET(_xlpm.v,INDEX('product-export-27-8-2026'!$A:$AJ,MATCH($A97,'product-export-27-8-2026'!$A:$A,0),MATCH(AQ$1,'product-export-27-8-2026'!$1:$1,0)),IF(_xlpm.v="","",_xlpm.v)),"")</f>
        <v/>
      </c>
      <c r="AR97" s="12" t="str">
        <f>IFERROR(_xlfn.LET(_xlpm.v,INDEX('product-export-27-8-2026'!$A:$AJ,MATCH($A97,'product-export-27-8-2026'!$A:$A,0),MATCH(AR$1,'product-export-27-8-2026'!$1:$1,0)),IF(_xlpm.v="","",_xlpm.v)),"")</f>
        <v>Diaries &gt; A4 Diary, Diaries, Lewes Collection</v>
      </c>
      <c r="AS97" s="12" t="str">
        <f>IFERROR(_xlfn.LET(_xlpm.v,INDEX('product-export-27-8-2026'!$A:$AJ,MATCH($A97,'product-export-27-8-2026'!$A:$A,0),MATCH(AS$1,'product-export-27-8-2026'!$1:$1,0)),IF(_xlpm.v="","",_xlpm.v)),"")</f>
        <v>Lewes-SmoothGrain-A4-Desk-Diary-Day-Per-Page</v>
      </c>
      <c r="BC97" s="15"/>
    </row>
    <row r="98" spans="1:55" s="14" customFormat="1" ht="27.6" customHeight="1" x14ac:dyDescent="0.3">
      <c r="A98" s="11">
        <v>1157</v>
      </c>
      <c r="B98" s="12" t="s">
        <v>400</v>
      </c>
      <c r="C98" s="12" t="s">
        <v>18</v>
      </c>
      <c r="D98" s="12" t="s">
        <v>161</v>
      </c>
      <c r="E98" s="13" t="s">
        <v>155</v>
      </c>
      <c r="F98" s="12" t="s">
        <v>156</v>
      </c>
      <c r="G98" s="12" t="s">
        <v>151</v>
      </c>
      <c r="H98" s="12" t="s">
        <v>1588</v>
      </c>
      <c r="I98" s="12" t="s">
        <v>41</v>
      </c>
      <c r="J98" s="12" t="s">
        <v>87</v>
      </c>
      <c r="K98" s="18" t="s">
        <v>1667</v>
      </c>
      <c r="L98" s="54">
        <v>0.48</v>
      </c>
      <c r="M98" s="11">
        <v>17.5</v>
      </c>
      <c r="N98" s="12" t="s">
        <v>157</v>
      </c>
      <c r="O98" s="56">
        <f t="shared" si="8"/>
        <v>18.48</v>
      </c>
      <c r="P98" s="56">
        <f t="shared" si="8"/>
        <v>17.75</v>
      </c>
      <c r="Q98" s="56">
        <f t="shared" si="8"/>
        <v>13.19</v>
      </c>
      <c r="R98" s="56">
        <f t="shared" si="8"/>
        <v>9.89</v>
      </c>
      <c r="S98" s="56">
        <f t="shared" si="8"/>
        <v>9.2200000000000006</v>
      </c>
      <c r="T98" s="56">
        <f t="shared" si="8"/>
        <v>8.35</v>
      </c>
      <c r="U98" s="56">
        <f t="shared" si="8"/>
        <v>7.67</v>
      </c>
      <c r="V98" s="56">
        <f t="shared" si="8"/>
        <v>7.28</v>
      </c>
      <c r="W98" s="56">
        <f t="shared" si="8"/>
        <v>6.97</v>
      </c>
      <c r="X98" s="30" t="str" cm="1">
        <f t="array" ref="X98">IF(Y98="","",_xlfn.TEXTJOIN(";",TRUE,SUBSTITUTE($Y$1:$AG$1,"Qty ","")&amp;":"&amp;TEXT(Y98:AG98,"0.00"))&amp;";")</f>
        <v>1:24.60;10:23.26;25:18.08;50:13.97;100:12.94;250:11.74;500:10.94;750:10.55;1000:10.15;</v>
      </c>
      <c r="Y98" s="56">
        <f>'Blocking Prices'!$C$16+O98</f>
        <v>24.6</v>
      </c>
      <c r="Z98" s="56">
        <f>'Blocking Prices'!$D$16+P98</f>
        <v>23.259999999999998</v>
      </c>
      <c r="AA98" s="56">
        <f>'Blocking Prices'!$E$16+Q98</f>
        <v>18.079999999999998</v>
      </c>
      <c r="AB98" s="56">
        <f>'Blocking Prices'!$F$16+R98</f>
        <v>13.97</v>
      </c>
      <c r="AC98" s="56">
        <f>'Blocking Prices'!$G$16+S98</f>
        <v>12.940000000000001</v>
      </c>
      <c r="AD98" s="56">
        <f>'Blocking Prices'!$H$16+T98</f>
        <v>11.74</v>
      </c>
      <c r="AE98" s="56">
        <f>'Blocking Prices'!$I$16+U98</f>
        <v>10.94</v>
      </c>
      <c r="AF98" s="56">
        <f>'Blocking Prices'!$J$16+V98</f>
        <v>10.55</v>
      </c>
      <c r="AG98" s="56">
        <f>'Blocking Prices'!$K$16+W98</f>
        <v>10.15</v>
      </c>
      <c r="AH98" s="11"/>
      <c r="AI98" s="11"/>
      <c r="AJ98" s="11"/>
      <c r="AK98" s="11"/>
      <c r="AL98" s="12" t="s">
        <v>1031</v>
      </c>
      <c r="AM98" s="12" t="s">
        <v>1032</v>
      </c>
      <c r="AN98" s="12" t="str">
        <f>IFERROR(_xlfn.LET(_xlpm.v,INDEX('product-export-27-8-2026'!$A:$AJ,MATCH($A98,'product-export-27-8-2026'!$A:$A,0),MATCH(AN$1,'product-export-27-8-2026'!$1:$1,0)),IF(_xlpm.v="","",_xlpm.v)),"")</f>
        <v/>
      </c>
      <c r="AO98" s="12" t="str">
        <f>IFERROR(_xlfn.LET(_xlpm.v,INDEX('product-export-27-8-2026'!$A:$AJ,MATCH($A98,'product-export-27-8-2026'!$A:$A,0),MATCH(AO$1,'product-export-27-8-2026'!$1:$1,0)),IF(_xlpm.v="","",_xlpm.v)),"")</f>
        <v/>
      </c>
      <c r="AP98" s="12" t="str">
        <f>IFERROR(_xlfn.LET(_xlpm.v,INDEX('product-export-27-8-2026'!$A:$AJ,MATCH($A98,'product-export-27-8-2026'!$A:$A,0),MATCH(AP$1,'product-export-27-8-2026'!$1:$1,0)),IF(_xlpm.v="","",_xlpm.v)),"")</f>
        <v/>
      </c>
      <c r="AQ98" s="12" t="str">
        <f>IFERROR(_xlfn.LET(_xlpm.v,INDEX('product-export-27-8-2026'!$A:$AJ,MATCH($A98,'product-export-27-8-2026'!$A:$A,0),MATCH(AQ$1,'product-export-27-8-2026'!$1:$1,0)),IF(_xlpm.v="","",_xlpm.v)),"")</f>
        <v/>
      </c>
      <c r="AR98" s="12" t="str">
        <f>IFERROR(_xlfn.LET(_xlpm.v,INDEX('product-export-27-8-2026'!$A:$AJ,MATCH($A98,'product-export-27-8-2026'!$A:$A,0),MATCH(AR$1,'product-export-27-8-2026'!$1:$1,0)),IF(_xlpm.v="","",_xlpm.v)),"")</f>
        <v>Diaries &gt; A4 Diary, Diaries, Lewes Collection</v>
      </c>
      <c r="AS98" s="12" t="str">
        <f>IFERROR(_xlfn.LET(_xlpm.v,INDEX('product-export-27-8-2026'!$A:$AJ,MATCH($A98,'product-export-27-8-2026'!$A:$A,0),MATCH(AS$1,'product-export-27-8-2026'!$1:$1,0)),IF(_xlpm.v="","",_xlpm.v)),"")</f>
        <v>Lewes-SmoothGrain-A4-Desk-Diary-Day-Per-Page</v>
      </c>
      <c r="BC98" s="15"/>
    </row>
    <row r="99" spans="1:55" s="14" customFormat="1" ht="27.6" customHeight="1" x14ac:dyDescent="0.3">
      <c r="A99" s="11">
        <v>1161</v>
      </c>
      <c r="B99" s="12" t="s">
        <v>401</v>
      </c>
      <c r="C99" s="12" t="s">
        <v>18</v>
      </c>
      <c r="D99" s="12" t="s">
        <v>162</v>
      </c>
      <c r="E99" s="13" t="s">
        <v>155</v>
      </c>
      <c r="F99" s="12" t="s">
        <v>156</v>
      </c>
      <c r="G99" s="12" t="s">
        <v>151</v>
      </c>
      <c r="H99" s="12" t="s">
        <v>1589</v>
      </c>
      <c r="I99" s="12" t="s">
        <v>41</v>
      </c>
      <c r="J99" s="12" t="s">
        <v>87</v>
      </c>
      <c r="K99" s="18" t="s">
        <v>1667</v>
      </c>
      <c r="L99" s="54">
        <v>0.48</v>
      </c>
      <c r="M99" s="11">
        <v>17.5</v>
      </c>
      <c r="N99" s="12" t="s">
        <v>157</v>
      </c>
      <c r="O99" s="56">
        <f t="shared" si="8"/>
        <v>18.48</v>
      </c>
      <c r="P99" s="56">
        <f t="shared" si="8"/>
        <v>17.75</v>
      </c>
      <c r="Q99" s="56">
        <f t="shared" si="8"/>
        <v>13.19</v>
      </c>
      <c r="R99" s="56">
        <f t="shared" si="8"/>
        <v>9.89</v>
      </c>
      <c r="S99" s="56">
        <f t="shared" si="8"/>
        <v>9.2200000000000006</v>
      </c>
      <c r="T99" s="56">
        <f t="shared" si="8"/>
        <v>8.35</v>
      </c>
      <c r="U99" s="56">
        <f t="shared" si="8"/>
        <v>7.67</v>
      </c>
      <c r="V99" s="56">
        <f t="shared" si="8"/>
        <v>7.28</v>
      </c>
      <c r="W99" s="56">
        <f t="shared" si="8"/>
        <v>6.97</v>
      </c>
      <c r="X99" s="30" t="str" cm="1">
        <f t="array" ref="X99">IF(Y99="","",_xlfn.TEXTJOIN(";",TRUE,SUBSTITUTE($Y$1:$AG$1,"Qty ","")&amp;":"&amp;TEXT(Y99:AG99,"0.00"))&amp;";")</f>
        <v>1:24.60;10:23.26;25:18.08;50:13.97;100:12.94;250:11.74;500:10.94;750:10.55;1000:10.15;</v>
      </c>
      <c r="Y99" s="56">
        <f>'Blocking Prices'!$C$16+O99</f>
        <v>24.6</v>
      </c>
      <c r="Z99" s="56">
        <f>'Blocking Prices'!$D$16+P99</f>
        <v>23.259999999999998</v>
      </c>
      <c r="AA99" s="56">
        <f>'Blocking Prices'!$E$16+Q99</f>
        <v>18.079999999999998</v>
      </c>
      <c r="AB99" s="56">
        <f>'Blocking Prices'!$F$16+R99</f>
        <v>13.97</v>
      </c>
      <c r="AC99" s="56">
        <f>'Blocking Prices'!$G$16+S99</f>
        <v>12.940000000000001</v>
      </c>
      <c r="AD99" s="56">
        <f>'Blocking Prices'!$H$16+T99</f>
        <v>11.74</v>
      </c>
      <c r="AE99" s="56">
        <f>'Blocking Prices'!$I$16+U99</f>
        <v>10.94</v>
      </c>
      <c r="AF99" s="56">
        <f>'Blocking Prices'!$J$16+V99</f>
        <v>10.55</v>
      </c>
      <c r="AG99" s="56">
        <f>'Blocking Prices'!$K$16+W99</f>
        <v>10.15</v>
      </c>
      <c r="AH99" s="11"/>
      <c r="AI99" s="11"/>
      <c r="AJ99" s="11"/>
      <c r="AK99" s="11"/>
      <c r="AL99" s="12" t="s">
        <v>1031</v>
      </c>
      <c r="AM99" s="12" t="s">
        <v>1032</v>
      </c>
      <c r="AN99" s="12" t="str">
        <f>IFERROR(_xlfn.LET(_xlpm.v,INDEX('product-export-27-8-2026'!$A:$AJ,MATCH($A99,'product-export-27-8-2026'!$A:$A,0),MATCH(AN$1,'product-export-27-8-2026'!$1:$1,0)),IF(_xlpm.v="","",_xlpm.v)),"")</f>
        <v/>
      </c>
      <c r="AO99" s="12" t="str">
        <f>IFERROR(_xlfn.LET(_xlpm.v,INDEX('product-export-27-8-2026'!$A:$AJ,MATCH($A99,'product-export-27-8-2026'!$A:$A,0),MATCH(AO$1,'product-export-27-8-2026'!$1:$1,0)),IF(_xlpm.v="","",_xlpm.v)),"")</f>
        <v/>
      </c>
      <c r="AP99" s="12" t="str">
        <f>IFERROR(_xlfn.LET(_xlpm.v,INDEX('product-export-27-8-2026'!$A:$AJ,MATCH($A99,'product-export-27-8-2026'!$A:$A,0),MATCH(AP$1,'product-export-27-8-2026'!$1:$1,0)),IF(_xlpm.v="","",_xlpm.v)),"")</f>
        <v/>
      </c>
      <c r="AQ99" s="12" t="str">
        <f>IFERROR(_xlfn.LET(_xlpm.v,INDEX('product-export-27-8-2026'!$A:$AJ,MATCH($A99,'product-export-27-8-2026'!$A:$A,0),MATCH(AQ$1,'product-export-27-8-2026'!$1:$1,0)),IF(_xlpm.v="","",_xlpm.v)),"")</f>
        <v/>
      </c>
      <c r="AR99" s="12" t="str">
        <f>IFERROR(_xlfn.LET(_xlpm.v,INDEX('product-export-27-8-2026'!$A:$AJ,MATCH($A99,'product-export-27-8-2026'!$A:$A,0),MATCH(AR$1,'product-export-27-8-2026'!$1:$1,0)),IF(_xlpm.v="","",_xlpm.v)),"")</f>
        <v>Diaries &gt; A4 Diary, Diaries, Lewes Collection</v>
      </c>
      <c r="AS99" s="12" t="str">
        <f>IFERROR(_xlfn.LET(_xlpm.v,INDEX('product-export-27-8-2026'!$A:$AJ,MATCH($A99,'product-export-27-8-2026'!$A:$A,0),MATCH(AS$1,'product-export-27-8-2026'!$1:$1,0)),IF(_xlpm.v="","",_xlpm.v)),"")</f>
        <v>Lewes-SmoothGrain-A4-Desk-Diary-Day-Per-Page</v>
      </c>
      <c r="BC99" s="15"/>
    </row>
    <row r="100" spans="1:55" s="14" customFormat="1" ht="27.6" customHeight="1" x14ac:dyDescent="0.3">
      <c r="A100" s="11">
        <v>1165</v>
      </c>
      <c r="B100" s="12" t="s">
        <v>402</v>
      </c>
      <c r="C100" s="12" t="s">
        <v>18</v>
      </c>
      <c r="D100" s="12" t="s">
        <v>163</v>
      </c>
      <c r="E100" s="13" t="s">
        <v>163</v>
      </c>
      <c r="F100" s="12" t="s">
        <v>156</v>
      </c>
      <c r="G100" s="12" t="s">
        <v>151</v>
      </c>
      <c r="H100" s="12" t="s">
        <v>1051</v>
      </c>
      <c r="I100" s="12" t="s">
        <v>41</v>
      </c>
      <c r="J100" s="12" t="s">
        <v>87</v>
      </c>
      <c r="K100" s="18" t="s">
        <v>1667</v>
      </c>
      <c r="L100" s="54">
        <v>0.48</v>
      </c>
      <c r="M100" s="11">
        <v>17.5</v>
      </c>
      <c r="N100" s="12" t="s">
        <v>157</v>
      </c>
      <c r="O100" s="56">
        <f t="shared" si="8"/>
        <v>18.48</v>
      </c>
      <c r="P100" s="56">
        <f t="shared" si="8"/>
        <v>17.75</v>
      </c>
      <c r="Q100" s="56">
        <f t="shared" si="8"/>
        <v>13.19</v>
      </c>
      <c r="R100" s="56">
        <f t="shared" si="8"/>
        <v>9.89</v>
      </c>
      <c r="S100" s="56">
        <f t="shared" si="8"/>
        <v>9.2200000000000006</v>
      </c>
      <c r="T100" s="56">
        <f t="shared" si="8"/>
        <v>8.35</v>
      </c>
      <c r="U100" s="56">
        <f t="shared" si="8"/>
        <v>7.67</v>
      </c>
      <c r="V100" s="56">
        <f t="shared" si="8"/>
        <v>7.28</v>
      </c>
      <c r="W100" s="56">
        <f t="shared" si="8"/>
        <v>6.97</v>
      </c>
      <c r="X100" s="30" t="str" cm="1">
        <f t="array" ref="X100">IF(Y100="","",_xlfn.TEXTJOIN(";",TRUE,SUBSTITUTE($Y$1:$AG$1,"Qty ","")&amp;":"&amp;TEXT(Y100:AG100,"0.00"))&amp;";")</f>
        <v>1:24.60;10:23.26;25:18.08;50:13.97;100:12.94;250:11.74;500:10.94;750:10.55;1000:10.15;</v>
      </c>
      <c r="Y100" s="56">
        <f>'Blocking Prices'!$C$16+O100</f>
        <v>24.6</v>
      </c>
      <c r="Z100" s="56">
        <f>'Blocking Prices'!$D$16+P100</f>
        <v>23.259999999999998</v>
      </c>
      <c r="AA100" s="56">
        <f>'Blocking Prices'!$E$16+Q100</f>
        <v>18.079999999999998</v>
      </c>
      <c r="AB100" s="56">
        <f>'Blocking Prices'!$F$16+R100</f>
        <v>13.97</v>
      </c>
      <c r="AC100" s="56">
        <f>'Blocking Prices'!$G$16+S100</f>
        <v>12.940000000000001</v>
      </c>
      <c r="AD100" s="56">
        <f>'Blocking Prices'!$H$16+T100</f>
        <v>11.74</v>
      </c>
      <c r="AE100" s="56">
        <f>'Blocking Prices'!$I$16+U100</f>
        <v>10.94</v>
      </c>
      <c r="AF100" s="56">
        <f>'Blocking Prices'!$J$16+V100</f>
        <v>10.55</v>
      </c>
      <c r="AG100" s="56">
        <f>'Blocking Prices'!$K$16+W100</f>
        <v>10.15</v>
      </c>
      <c r="AH100" s="11"/>
      <c r="AI100" s="11"/>
      <c r="AJ100" s="11"/>
      <c r="AK100" s="11"/>
      <c r="AL100" s="12" t="s">
        <v>1031</v>
      </c>
      <c r="AM100" s="12" t="s">
        <v>1049</v>
      </c>
      <c r="AN100" s="12" t="str">
        <f>IFERROR(_xlfn.LET(_xlpm.v,INDEX('product-export-27-8-2026'!$A:$AJ,MATCH($A100,'product-export-27-8-2026'!$A:$A,0),MATCH(AN$1,'product-export-27-8-2026'!$1:$1,0)),IF(_xlpm.v="","",_xlpm.v)),"")</f>
        <v/>
      </c>
      <c r="AO100" s="12" t="str">
        <f>IFERROR(_xlfn.LET(_xlpm.v,INDEX('product-export-27-8-2026'!$A:$AJ,MATCH($A100,'product-export-27-8-2026'!$A:$A,0),MATCH(AO$1,'product-export-27-8-2026'!$1:$1,0)),IF(_xlpm.v="","",_xlpm.v)),"")</f>
        <v/>
      </c>
      <c r="AP100" s="12" t="str">
        <f>IFERROR(_xlfn.LET(_xlpm.v,INDEX('product-export-27-8-2026'!$A:$AJ,MATCH($A100,'product-export-27-8-2026'!$A:$A,0),MATCH(AP$1,'product-export-27-8-2026'!$1:$1,0)),IF(_xlpm.v="","",_xlpm.v)),"")</f>
        <v/>
      </c>
      <c r="AQ100" s="12" t="str">
        <f>IFERROR(_xlfn.LET(_xlpm.v,INDEX('product-export-27-8-2026'!$A:$AJ,MATCH($A100,'product-export-27-8-2026'!$A:$A,0),MATCH(AQ$1,'product-export-27-8-2026'!$1:$1,0)),IF(_xlpm.v="","",_xlpm.v)),"")</f>
        <v/>
      </c>
      <c r="AR100" s="12" t="str">
        <f>IFERROR(_xlfn.LET(_xlpm.v,INDEX('product-export-27-8-2026'!$A:$AJ,MATCH($A100,'product-export-27-8-2026'!$A:$A,0),MATCH(AR$1,'product-export-27-8-2026'!$1:$1,0)),IF(_xlpm.v="","",_xlpm.v)),"")</f>
        <v>Diaries &gt; A4 Diary, Diaries, Lewes Collection</v>
      </c>
      <c r="AS100" s="12" t="str">
        <f>IFERROR(_xlfn.LET(_xlpm.v,INDEX('product-export-27-8-2026'!$A:$AJ,MATCH($A100,'product-export-27-8-2026'!$A:$A,0),MATCH(AS$1,'product-export-27-8-2026'!$1:$1,0)),IF(_xlpm.v="","",_xlpm.v)),"")</f>
        <v>Lewes-SmoothGrain-A4-Desk-Diary-Day-Per-Page</v>
      </c>
      <c r="BC100" s="15"/>
    </row>
    <row r="101" spans="1:55" s="14" customFormat="1" ht="27.6" customHeight="1" x14ac:dyDescent="0.3">
      <c r="A101" s="11">
        <v>1169</v>
      </c>
      <c r="B101" s="12" t="s">
        <v>403</v>
      </c>
      <c r="C101" s="12" t="s">
        <v>18</v>
      </c>
      <c r="D101" s="12" t="s">
        <v>164</v>
      </c>
      <c r="E101" s="13" t="s">
        <v>164</v>
      </c>
      <c r="F101" s="12" t="s">
        <v>156</v>
      </c>
      <c r="G101" s="12" t="s">
        <v>151</v>
      </c>
      <c r="H101" s="12" t="s">
        <v>792</v>
      </c>
      <c r="I101" s="12" t="s">
        <v>41</v>
      </c>
      <c r="J101" s="12" t="s">
        <v>87</v>
      </c>
      <c r="K101" s="18" t="s">
        <v>1667</v>
      </c>
      <c r="L101" s="54">
        <v>0.48</v>
      </c>
      <c r="M101" s="11">
        <v>17.5</v>
      </c>
      <c r="N101" s="12" t="s">
        <v>157</v>
      </c>
      <c r="O101" s="56">
        <f t="shared" si="8"/>
        <v>18.48</v>
      </c>
      <c r="P101" s="56">
        <f t="shared" si="8"/>
        <v>17.75</v>
      </c>
      <c r="Q101" s="56">
        <f t="shared" si="8"/>
        <v>13.19</v>
      </c>
      <c r="R101" s="56">
        <f t="shared" si="8"/>
        <v>9.89</v>
      </c>
      <c r="S101" s="56">
        <f t="shared" si="8"/>
        <v>9.2200000000000006</v>
      </c>
      <c r="T101" s="56">
        <f t="shared" si="8"/>
        <v>8.35</v>
      </c>
      <c r="U101" s="56">
        <f t="shared" si="8"/>
        <v>7.67</v>
      </c>
      <c r="V101" s="56">
        <f t="shared" si="8"/>
        <v>7.28</v>
      </c>
      <c r="W101" s="56">
        <f t="shared" si="8"/>
        <v>6.97</v>
      </c>
      <c r="X101" s="30" t="str" cm="1">
        <f t="array" ref="X101">IF(Y101="","",_xlfn.TEXTJOIN(";",TRUE,SUBSTITUTE($Y$1:$AG$1,"Qty ","")&amp;":"&amp;TEXT(Y101:AG101,"0.00"))&amp;";")</f>
        <v>1:24.60;10:23.26;25:18.08;50:13.97;100:12.94;250:11.74;500:10.94;750:10.55;1000:10.15;</v>
      </c>
      <c r="Y101" s="56">
        <f>'Blocking Prices'!$C$16+O101</f>
        <v>24.6</v>
      </c>
      <c r="Z101" s="56">
        <f>'Blocking Prices'!$D$16+P101</f>
        <v>23.259999999999998</v>
      </c>
      <c r="AA101" s="56">
        <f>'Blocking Prices'!$E$16+Q101</f>
        <v>18.079999999999998</v>
      </c>
      <c r="AB101" s="56">
        <f>'Blocking Prices'!$F$16+R101</f>
        <v>13.97</v>
      </c>
      <c r="AC101" s="56">
        <f>'Blocking Prices'!$G$16+S101</f>
        <v>12.940000000000001</v>
      </c>
      <c r="AD101" s="56">
        <f>'Blocking Prices'!$H$16+T101</f>
        <v>11.74</v>
      </c>
      <c r="AE101" s="56">
        <f>'Blocking Prices'!$I$16+U101</f>
        <v>10.94</v>
      </c>
      <c r="AF101" s="56">
        <f>'Blocking Prices'!$J$16+V101</f>
        <v>10.55</v>
      </c>
      <c r="AG101" s="56">
        <f>'Blocking Prices'!$K$16+W101</f>
        <v>10.15</v>
      </c>
      <c r="AH101" s="11"/>
      <c r="AI101" s="11"/>
      <c r="AJ101" s="11"/>
      <c r="AK101" s="11"/>
      <c r="AL101" s="12" t="s">
        <v>1031</v>
      </c>
      <c r="AM101" s="12" t="s">
        <v>1049</v>
      </c>
      <c r="AN101" s="12" t="str">
        <f>IFERROR(_xlfn.LET(_xlpm.v,INDEX('product-export-27-8-2026'!$A:$AJ,MATCH($A101,'product-export-27-8-2026'!$A:$A,0),MATCH(AN$1,'product-export-27-8-2026'!$1:$1,0)),IF(_xlpm.v="","",_xlpm.v)),"")</f>
        <v/>
      </c>
      <c r="AO101" s="12" t="str">
        <f>IFERROR(_xlfn.LET(_xlpm.v,INDEX('product-export-27-8-2026'!$A:$AJ,MATCH($A101,'product-export-27-8-2026'!$A:$A,0),MATCH(AO$1,'product-export-27-8-2026'!$1:$1,0)),IF(_xlpm.v="","",_xlpm.v)),"")</f>
        <v/>
      </c>
      <c r="AP101" s="12" t="str">
        <f>IFERROR(_xlfn.LET(_xlpm.v,INDEX('product-export-27-8-2026'!$A:$AJ,MATCH($A101,'product-export-27-8-2026'!$A:$A,0),MATCH(AP$1,'product-export-27-8-2026'!$1:$1,0)),IF(_xlpm.v="","",_xlpm.v)),"")</f>
        <v/>
      </c>
      <c r="AQ101" s="12" t="str">
        <f>IFERROR(_xlfn.LET(_xlpm.v,INDEX('product-export-27-8-2026'!$A:$AJ,MATCH($A101,'product-export-27-8-2026'!$A:$A,0),MATCH(AQ$1,'product-export-27-8-2026'!$1:$1,0)),IF(_xlpm.v="","",_xlpm.v)),"")</f>
        <v/>
      </c>
      <c r="AR101" s="12" t="str">
        <f>IFERROR(_xlfn.LET(_xlpm.v,INDEX('product-export-27-8-2026'!$A:$AJ,MATCH($A101,'product-export-27-8-2026'!$A:$A,0),MATCH(AR$1,'product-export-27-8-2026'!$1:$1,0)),IF(_xlpm.v="","",_xlpm.v)),"")</f>
        <v>Diaries &gt; A4 Diary, Diaries, Lewes Collection</v>
      </c>
      <c r="AS101" s="12" t="str">
        <f>IFERROR(_xlfn.LET(_xlpm.v,INDEX('product-export-27-8-2026'!$A:$AJ,MATCH($A101,'product-export-27-8-2026'!$A:$A,0),MATCH(AS$1,'product-export-27-8-2026'!$1:$1,0)),IF(_xlpm.v="","",_xlpm.v)),"")</f>
        <v>Lewes-SmoothGrain-A4-Desk-Diary-Day-Per-Page</v>
      </c>
      <c r="BC101" s="15"/>
    </row>
    <row r="102" spans="1:55" s="14" customFormat="1" ht="27.6" customHeight="1" x14ac:dyDescent="0.3">
      <c r="A102" s="11">
        <v>1179</v>
      </c>
      <c r="B102" s="12" t="s">
        <v>404</v>
      </c>
      <c r="C102" s="12" t="s">
        <v>18</v>
      </c>
      <c r="D102" s="12" t="s">
        <v>165</v>
      </c>
      <c r="E102" s="13" t="s">
        <v>165</v>
      </c>
      <c r="F102" s="12" t="s">
        <v>166</v>
      </c>
      <c r="G102" s="12" t="s">
        <v>151</v>
      </c>
      <c r="H102" s="12" t="s">
        <v>672</v>
      </c>
      <c r="I102" s="12" t="s">
        <v>41</v>
      </c>
      <c r="J102" s="12" t="s">
        <v>87</v>
      </c>
      <c r="K102" s="18" t="s">
        <v>1667</v>
      </c>
      <c r="L102" s="54">
        <v>0.48</v>
      </c>
      <c r="M102" s="11">
        <v>17.5</v>
      </c>
      <c r="N102" s="12" t="s">
        <v>157</v>
      </c>
      <c r="O102" s="56">
        <f t="shared" ref="O102:W111" si="9">IFERROR(VALUE(_xlfn.TEXTBEFORE(_xlfn.TEXTAFTER(";"&amp;$N102,";"&amp;SUBSTITUTE(O$1,"Qty ","")&amp;":"),";")),"")</f>
        <v>18.48</v>
      </c>
      <c r="P102" s="56">
        <f t="shared" si="9"/>
        <v>17.75</v>
      </c>
      <c r="Q102" s="56">
        <f t="shared" si="9"/>
        <v>13.19</v>
      </c>
      <c r="R102" s="56">
        <f t="shared" si="9"/>
        <v>9.89</v>
      </c>
      <c r="S102" s="56">
        <f t="shared" si="9"/>
        <v>9.2200000000000006</v>
      </c>
      <c r="T102" s="56">
        <f t="shared" si="9"/>
        <v>8.35</v>
      </c>
      <c r="U102" s="56">
        <f t="shared" si="9"/>
        <v>7.67</v>
      </c>
      <c r="V102" s="56">
        <f t="shared" si="9"/>
        <v>7.28</v>
      </c>
      <c r="W102" s="56">
        <f t="shared" si="9"/>
        <v>6.97</v>
      </c>
      <c r="X102" s="30" t="str" cm="1">
        <f t="array" ref="X102">IF(Y102="","",_xlfn.TEXTJOIN(";",TRUE,SUBSTITUTE($Y$1:$AG$1,"Qty ","")&amp;":"&amp;TEXT(Y102:AG102,"0.00"))&amp;";")</f>
        <v>1:24.60;10:23.26;25:18.08;50:13.97;100:12.94;250:11.74;500:10.94;750:10.55;1000:10.15;</v>
      </c>
      <c r="Y102" s="56">
        <f>'Blocking Prices'!$C$16+O102</f>
        <v>24.6</v>
      </c>
      <c r="Z102" s="56">
        <f>'Blocking Prices'!$D$16+P102</f>
        <v>23.259999999999998</v>
      </c>
      <c r="AA102" s="56">
        <f>'Blocking Prices'!$E$16+Q102</f>
        <v>18.079999999999998</v>
      </c>
      <c r="AB102" s="56">
        <f>'Blocking Prices'!$F$16+R102</f>
        <v>13.97</v>
      </c>
      <c r="AC102" s="56">
        <f>'Blocking Prices'!$G$16+S102</f>
        <v>12.940000000000001</v>
      </c>
      <c r="AD102" s="56">
        <f>'Blocking Prices'!$H$16+T102</f>
        <v>11.74</v>
      </c>
      <c r="AE102" s="56">
        <f>'Blocking Prices'!$I$16+U102</f>
        <v>10.94</v>
      </c>
      <c r="AF102" s="56">
        <f>'Blocking Prices'!$J$16+V102</f>
        <v>10.55</v>
      </c>
      <c r="AG102" s="56">
        <f>'Blocking Prices'!$K$16+W102</f>
        <v>10.15</v>
      </c>
      <c r="AH102" s="11"/>
      <c r="AI102" s="11"/>
      <c r="AJ102" s="11"/>
      <c r="AK102" s="11"/>
      <c r="AL102" s="12" t="s">
        <v>1073</v>
      </c>
      <c r="AM102" s="12" t="s">
        <v>1074</v>
      </c>
      <c r="AN102" s="12" t="str">
        <f>IFERROR(_xlfn.LET(_xlpm.v,INDEX('product-export-27-8-2026'!$A:$AJ,MATCH($A102,'product-export-27-8-2026'!$A:$A,0),MATCH(AN$1,'product-export-27-8-2026'!$1:$1,0)),IF(_xlpm.v="","",_xlpm.v)),"")</f>
        <v/>
      </c>
      <c r="AO102" s="12" t="str">
        <f>IFERROR(_xlfn.LET(_xlpm.v,INDEX('product-export-27-8-2026'!$A:$AJ,MATCH($A102,'product-export-27-8-2026'!$A:$A,0),MATCH(AO$1,'product-export-27-8-2026'!$1:$1,0)),IF(_xlpm.v="","",_xlpm.v)),"")</f>
        <v/>
      </c>
      <c r="AP102" s="12" t="str">
        <f>IFERROR(_xlfn.LET(_xlpm.v,INDEX('product-export-27-8-2026'!$A:$AJ,MATCH($A102,'product-export-27-8-2026'!$A:$A,0),MATCH(AP$1,'product-export-27-8-2026'!$1:$1,0)),IF(_xlpm.v="","",_xlpm.v)),"")</f>
        <v/>
      </c>
      <c r="AQ102" s="12" t="str">
        <f>IFERROR(_xlfn.LET(_xlpm.v,INDEX('product-export-27-8-2026'!$A:$AJ,MATCH($A102,'product-export-27-8-2026'!$A:$A,0),MATCH(AQ$1,'product-export-27-8-2026'!$1:$1,0)),IF(_xlpm.v="","",_xlpm.v)),"")</f>
        <v/>
      </c>
      <c r="AR102" s="12" t="str">
        <f>IFERROR(_xlfn.LET(_xlpm.v,INDEX('product-export-27-8-2026'!$A:$AJ,MATCH($A102,'product-export-27-8-2026'!$A:$A,0),MATCH(AR$1,'product-export-27-8-2026'!$1:$1,0)),IF(_xlpm.v="","",_xlpm.v)),"")</f>
        <v>Diaries &gt; A4 Diary, Diaries, Foil blocked, Richmond Collection</v>
      </c>
      <c r="AS102" s="12" t="str">
        <f>IFERROR(_xlfn.LET(_xlpm.v,INDEX('product-export-27-8-2026'!$A:$AJ,MATCH($A102,'product-export-27-8-2026'!$A:$A,0),MATCH(AS$1,'product-export-27-8-2026'!$1:$1,0)),IF(_xlpm.v="","",_xlpm.v)),"")</f>
        <v>Richmond-FineGrain-A4-Desk-Diary</v>
      </c>
      <c r="BC102" s="15"/>
    </row>
    <row r="103" spans="1:55" s="14" customFormat="1" ht="27.6" customHeight="1" x14ac:dyDescent="0.3">
      <c r="A103" s="11">
        <v>1183</v>
      </c>
      <c r="B103" s="12" t="s">
        <v>405</v>
      </c>
      <c r="C103" s="12" t="s">
        <v>18</v>
      </c>
      <c r="D103" s="12" t="s">
        <v>167</v>
      </c>
      <c r="E103" s="13" t="s">
        <v>167</v>
      </c>
      <c r="F103" s="12" t="s">
        <v>166</v>
      </c>
      <c r="G103" s="12" t="s">
        <v>151</v>
      </c>
      <c r="H103" s="12" t="s">
        <v>728</v>
      </c>
      <c r="I103" s="12" t="s">
        <v>41</v>
      </c>
      <c r="J103" s="12" t="s">
        <v>87</v>
      </c>
      <c r="K103" s="18" t="s">
        <v>1667</v>
      </c>
      <c r="L103" s="54">
        <v>0.48</v>
      </c>
      <c r="M103" s="11">
        <v>17.5</v>
      </c>
      <c r="N103" s="12" t="s">
        <v>157</v>
      </c>
      <c r="O103" s="56">
        <f t="shared" si="9"/>
        <v>18.48</v>
      </c>
      <c r="P103" s="56">
        <f t="shared" si="9"/>
        <v>17.75</v>
      </c>
      <c r="Q103" s="56">
        <f t="shared" si="9"/>
        <v>13.19</v>
      </c>
      <c r="R103" s="56">
        <f t="shared" si="9"/>
        <v>9.89</v>
      </c>
      <c r="S103" s="56">
        <f t="shared" si="9"/>
        <v>9.2200000000000006</v>
      </c>
      <c r="T103" s="56">
        <f t="shared" si="9"/>
        <v>8.35</v>
      </c>
      <c r="U103" s="56">
        <f t="shared" si="9"/>
        <v>7.67</v>
      </c>
      <c r="V103" s="56">
        <f t="shared" si="9"/>
        <v>7.28</v>
      </c>
      <c r="W103" s="56">
        <f t="shared" si="9"/>
        <v>6.97</v>
      </c>
      <c r="X103" s="30" t="str" cm="1">
        <f t="array" ref="X103">IF(Y103="","",_xlfn.TEXTJOIN(";",TRUE,SUBSTITUTE($Y$1:$AG$1,"Qty ","")&amp;":"&amp;TEXT(Y103:AG103,"0.00"))&amp;";")</f>
        <v>1:24.60;10:23.26;25:18.08;50:13.97;100:12.94;250:11.74;500:10.94;750:10.55;1000:10.15;</v>
      </c>
      <c r="Y103" s="56">
        <f>'Blocking Prices'!$C$16+O103</f>
        <v>24.6</v>
      </c>
      <c r="Z103" s="56">
        <f>'Blocking Prices'!$D$16+P103</f>
        <v>23.259999999999998</v>
      </c>
      <c r="AA103" s="56">
        <f>'Blocking Prices'!$E$16+Q103</f>
        <v>18.079999999999998</v>
      </c>
      <c r="AB103" s="56">
        <f>'Blocking Prices'!$F$16+R103</f>
        <v>13.97</v>
      </c>
      <c r="AC103" s="56">
        <f>'Blocking Prices'!$G$16+S103</f>
        <v>12.940000000000001</v>
      </c>
      <c r="AD103" s="56">
        <f>'Blocking Prices'!$H$16+T103</f>
        <v>11.74</v>
      </c>
      <c r="AE103" s="56">
        <f>'Blocking Prices'!$I$16+U103</f>
        <v>10.94</v>
      </c>
      <c r="AF103" s="56">
        <f>'Blocking Prices'!$J$16+V103</f>
        <v>10.55</v>
      </c>
      <c r="AG103" s="56">
        <f>'Blocking Prices'!$K$16+W103</f>
        <v>10.15</v>
      </c>
      <c r="AH103" s="11"/>
      <c r="AI103" s="11"/>
      <c r="AJ103" s="11"/>
      <c r="AK103" s="11"/>
      <c r="AL103" s="12" t="s">
        <v>1073</v>
      </c>
      <c r="AM103" s="12" t="s">
        <v>1074</v>
      </c>
      <c r="AN103" s="12" t="str">
        <f>IFERROR(_xlfn.LET(_xlpm.v,INDEX('product-export-27-8-2026'!$A:$AJ,MATCH($A103,'product-export-27-8-2026'!$A:$A,0),MATCH(AN$1,'product-export-27-8-2026'!$1:$1,0)),IF(_xlpm.v="","",_xlpm.v)),"")</f>
        <v/>
      </c>
      <c r="AO103" s="12" t="str">
        <f>IFERROR(_xlfn.LET(_xlpm.v,INDEX('product-export-27-8-2026'!$A:$AJ,MATCH($A103,'product-export-27-8-2026'!$A:$A,0),MATCH(AO$1,'product-export-27-8-2026'!$1:$1,0)),IF(_xlpm.v="","",_xlpm.v)),"")</f>
        <v/>
      </c>
      <c r="AP103" s="12" t="str">
        <f>IFERROR(_xlfn.LET(_xlpm.v,INDEX('product-export-27-8-2026'!$A:$AJ,MATCH($A103,'product-export-27-8-2026'!$A:$A,0),MATCH(AP$1,'product-export-27-8-2026'!$1:$1,0)),IF(_xlpm.v="","",_xlpm.v)),"")</f>
        <v/>
      </c>
      <c r="AQ103" s="12" t="str">
        <f>IFERROR(_xlfn.LET(_xlpm.v,INDEX('product-export-27-8-2026'!$A:$AJ,MATCH($A103,'product-export-27-8-2026'!$A:$A,0),MATCH(AQ$1,'product-export-27-8-2026'!$1:$1,0)),IF(_xlpm.v="","",_xlpm.v)),"")</f>
        <v/>
      </c>
      <c r="AR103" s="12" t="str">
        <f>IFERROR(_xlfn.LET(_xlpm.v,INDEX('product-export-27-8-2026'!$A:$AJ,MATCH($A103,'product-export-27-8-2026'!$A:$A,0),MATCH(AR$1,'product-export-27-8-2026'!$1:$1,0)),IF(_xlpm.v="","",_xlpm.v)),"")</f>
        <v>Diaries &gt; A4 Diary, Diaries, Foil blocked, Richmond Collection</v>
      </c>
      <c r="AS103" s="12" t="str">
        <f>IFERROR(_xlfn.LET(_xlpm.v,INDEX('product-export-27-8-2026'!$A:$AJ,MATCH($A103,'product-export-27-8-2026'!$A:$A,0),MATCH(AS$1,'product-export-27-8-2026'!$1:$1,0)),IF(_xlpm.v="","",_xlpm.v)),"")</f>
        <v>Richmond-FineGrain-A4-Desk-Diary</v>
      </c>
      <c r="BC103" s="15"/>
    </row>
    <row r="104" spans="1:55" s="14" customFormat="1" ht="27.6" customHeight="1" x14ac:dyDescent="0.3">
      <c r="A104" s="11">
        <v>1184</v>
      </c>
      <c r="B104" s="12" t="s">
        <v>406</v>
      </c>
      <c r="C104" s="12" t="s">
        <v>18</v>
      </c>
      <c r="D104" s="12" t="s">
        <v>168</v>
      </c>
      <c r="E104" s="13" t="s">
        <v>168</v>
      </c>
      <c r="F104" s="12" t="s">
        <v>166</v>
      </c>
      <c r="G104" s="12" t="s">
        <v>151</v>
      </c>
      <c r="H104" s="12" t="s">
        <v>731</v>
      </c>
      <c r="I104" s="12" t="s">
        <v>41</v>
      </c>
      <c r="J104" s="12" t="s">
        <v>87</v>
      </c>
      <c r="K104" s="18" t="s">
        <v>1667</v>
      </c>
      <c r="L104" s="54">
        <v>0.48</v>
      </c>
      <c r="M104" s="11">
        <v>17.5</v>
      </c>
      <c r="N104" s="12" t="s">
        <v>157</v>
      </c>
      <c r="O104" s="56">
        <f t="shared" si="9"/>
        <v>18.48</v>
      </c>
      <c r="P104" s="56">
        <f t="shared" si="9"/>
        <v>17.75</v>
      </c>
      <c r="Q104" s="56">
        <f t="shared" si="9"/>
        <v>13.19</v>
      </c>
      <c r="R104" s="56">
        <f t="shared" si="9"/>
        <v>9.89</v>
      </c>
      <c r="S104" s="56">
        <f t="shared" si="9"/>
        <v>9.2200000000000006</v>
      </c>
      <c r="T104" s="56">
        <f t="shared" si="9"/>
        <v>8.35</v>
      </c>
      <c r="U104" s="56">
        <f t="shared" si="9"/>
        <v>7.67</v>
      </c>
      <c r="V104" s="56">
        <f t="shared" si="9"/>
        <v>7.28</v>
      </c>
      <c r="W104" s="56">
        <f t="shared" si="9"/>
        <v>6.97</v>
      </c>
      <c r="X104" s="30" t="str" cm="1">
        <f t="array" ref="X104">IF(Y104="","",_xlfn.TEXTJOIN(";",TRUE,SUBSTITUTE($Y$1:$AG$1,"Qty ","")&amp;":"&amp;TEXT(Y104:AG104,"0.00"))&amp;";")</f>
        <v>1:24.60;10:23.26;25:18.08;50:13.97;100:12.94;250:11.74;500:10.94;750:10.55;1000:10.15;</v>
      </c>
      <c r="Y104" s="56">
        <f>'Blocking Prices'!$C$16+O104</f>
        <v>24.6</v>
      </c>
      <c r="Z104" s="56">
        <f>'Blocking Prices'!$D$16+P104</f>
        <v>23.259999999999998</v>
      </c>
      <c r="AA104" s="56">
        <f>'Blocking Prices'!$E$16+Q104</f>
        <v>18.079999999999998</v>
      </c>
      <c r="AB104" s="56">
        <f>'Blocking Prices'!$F$16+R104</f>
        <v>13.97</v>
      </c>
      <c r="AC104" s="56">
        <f>'Blocking Prices'!$G$16+S104</f>
        <v>12.940000000000001</v>
      </c>
      <c r="AD104" s="56">
        <f>'Blocking Prices'!$H$16+T104</f>
        <v>11.74</v>
      </c>
      <c r="AE104" s="56">
        <f>'Blocking Prices'!$I$16+U104</f>
        <v>10.94</v>
      </c>
      <c r="AF104" s="56">
        <f>'Blocking Prices'!$J$16+V104</f>
        <v>10.55</v>
      </c>
      <c r="AG104" s="56">
        <f>'Blocking Prices'!$K$16+W104</f>
        <v>10.15</v>
      </c>
      <c r="AH104" s="11"/>
      <c r="AI104" s="11"/>
      <c r="AJ104" s="11"/>
      <c r="AK104" s="11"/>
      <c r="AL104" s="12" t="s">
        <v>1073</v>
      </c>
      <c r="AM104" s="12" t="s">
        <v>1074</v>
      </c>
      <c r="AN104" s="12" t="str">
        <f>IFERROR(_xlfn.LET(_xlpm.v,INDEX('product-export-27-8-2026'!$A:$AJ,MATCH($A104,'product-export-27-8-2026'!$A:$A,0),MATCH(AN$1,'product-export-27-8-2026'!$1:$1,0)),IF(_xlpm.v="","",_xlpm.v)),"")</f>
        <v/>
      </c>
      <c r="AO104" s="12" t="str">
        <f>IFERROR(_xlfn.LET(_xlpm.v,INDEX('product-export-27-8-2026'!$A:$AJ,MATCH($A104,'product-export-27-8-2026'!$A:$A,0),MATCH(AO$1,'product-export-27-8-2026'!$1:$1,0)),IF(_xlpm.v="","",_xlpm.v)),"")</f>
        <v/>
      </c>
      <c r="AP104" s="12" t="str">
        <f>IFERROR(_xlfn.LET(_xlpm.v,INDEX('product-export-27-8-2026'!$A:$AJ,MATCH($A104,'product-export-27-8-2026'!$A:$A,0),MATCH(AP$1,'product-export-27-8-2026'!$1:$1,0)),IF(_xlpm.v="","",_xlpm.v)),"")</f>
        <v/>
      </c>
      <c r="AQ104" s="12" t="str">
        <f>IFERROR(_xlfn.LET(_xlpm.v,INDEX('product-export-27-8-2026'!$A:$AJ,MATCH($A104,'product-export-27-8-2026'!$A:$A,0),MATCH(AQ$1,'product-export-27-8-2026'!$1:$1,0)),IF(_xlpm.v="","",_xlpm.v)),"")</f>
        <v/>
      </c>
      <c r="AR104" s="12" t="str">
        <f>IFERROR(_xlfn.LET(_xlpm.v,INDEX('product-export-27-8-2026'!$A:$AJ,MATCH($A104,'product-export-27-8-2026'!$A:$A,0),MATCH(AR$1,'product-export-27-8-2026'!$1:$1,0)),IF(_xlpm.v="","",_xlpm.v)),"")</f>
        <v>Diaries &gt; A4 Diary, Diaries, Foil blocked, Richmond Collection</v>
      </c>
      <c r="AS104" s="12" t="str">
        <f>IFERROR(_xlfn.LET(_xlpm.v,INDEX('product-export-27-8-2026'!$A:$AJ,MATCH($A104,'product-export-27-8-2026'!$A:$A,0),MATCH(AS$1,'product-export-27-8-2026'!$1:$1,0)),IF(_xlpm.v="","",_xlpm.v)),"")</f>
        <v>Richmond-FineGrain-A4-Desk-Diary</v>
      </c>
      <c r="BC104" s="15"/>
    </row>
    <row r="105" spans="1:55" s="14" customFormat="1" ht="27.6" customHeight="1" x14ac:dyDescent="0.3">
      <c r="A105" s="11">
        <v>1185</v>
      </c>
      <c r="B105" s="12" t="s">
        <v>407</v>
      </c>
      <c r="C105" s="12" t="s">
        <v>18</v>
      </c>
      <c r="D105" s="12" t="s">
        <v>169</v>
      </c>
      <c r="E105" s="13" t="s">
        <v>169</v>
      </c>
      <c r="F105" s="12" t="s">
        <v>166</v>
      </c>
      <c r="G105" s="12" t="s">
        <v>151</v>
      </c>
      <c r="H105" s="12" t="s">
        <v>696</v>
      </c>
      <c r="I105" s="12" t="s">
        <v>41</v>
      </c>
      <c r="J105" s="12" t="s">
        <v>87</v>
      </c>
      <c r="K105" s="18" t="s">
        <v>1667</v>
      </c>
      <c r="L105" s="54">
        <v>0.48</v>
      </c>
      <c r="M105" s="11">
        <v>17.5</v>
      </c>
      <c r="N105" s="12" t="s">
        <v>157</v>
      </c>
      <c r="O105" s="56">
        <f t="shared" si="9"/>
        <v>18.48</v>
      </c>
      <c r="P105" s="56">
        <f t="shared" si="9"/>
        <v>17.75</v>
      </c>
      <c r="Q105" s="56">
        <f t="shared" si="9"/>
        <v>13.19</v>
      </c>
      <c r="R105" s="56">
        <f t="shared" si="9"/>
        <v>9.89</v>
      </c>
      <c r="S105" s="56">
        <f t="shared" si="9"/>
        <v>9.2200000000000006</v>
      </c>
      <c r="T105" s="56">
        <f t="shared" si="9"/>
        <v>8.35</v>
      </c>
      <c r="U105" s="56">
        <f t="shared" si="9"/>
        <v>7.67</v>
      </c>
      <c r="V105" s="56">
        <f t="shared" si="9"/>
        <v>7.28</v>
      </c>
      <c r="W105" s="56">
        <f t="shared" si="9"/>
        <v>6.97</v>
      </c>
      <c r="X105" s="30" t="str" cm="1">
        <f t="array" ref="X105">IF(Y105="","",_xlfn.TEXTJOIN(";",TRUE,SUBSTITUTE($Y$1:$AG$1,"Qty ","")&amp;":"&amp;TEXT(Y105:AG105,"0.00"))&amp;";")</f>
        <v>1:24.60;10:23.26;25:18.08;50:13.97;100:12.94;250:11.74;500:10.94;750:10.55;1000:10.15;</v>
      </c>
      <c r="Y105" s="56">
        <f>'Blocking Prices'!$C$16+O105</f>
        <v>24.6</v>
      </c>
      <c r="Z105" s="56">
        <f>'Blocking Prices'!$D$16+P105</f>
        <v>23.259999999999998</v>
      </c>
      <c r="AA105" s="56">
        <f>'Blocking Prices'!$E$16+Q105</f>
        <v>18.079999999999998</v>
      </c>
      <c r="AB105" s="56">
        <f>'Blocking Prices'!$F$16+R105</f>
        <v>13.97</v>
      </c>
      <c r="AC105" s="56">
        <f>'Blocking Prices'!$G$16+S105</f>
        <v>12.940000000000001</v>
      </c>
      <c r="AD105" s="56">
        <f>'Blocking Prices'!$H$16+T105</f>
        <v>11.74</v>
      </c>
      <c r="AE105" s="56">
        <f>'Blocking Prices'!$I$16+U105</f>
        <v>10.94</v>
      </c>
      <c r="AF105" s="56">
        <f>'Blocking Prices'!$J$16+V105</f>
        <v>10.55</v>
      </c>
      <c r="AG105" s="56">
        <f>'Blocking Prices'!$K$16+W105</f>
        <v>10.15</v>
      </c>
      <c r="AH105" s="11"/>
      <c r="AI105" s="11"/>
      <c r="AJ105" s="11"/>
      <c r="AK105" s="11"/>
      <c r="AL105" s="12" t="s">
        <v>1073</v>
      </c>
      <c r="AM105" s="12" t="s">
        <v>1074</v>
      </c>
      <c r="AN105" s="12" t="str">
        <f>IFERROR(_xlfn.LET(_xlpm.v,INDEX('product-export-27-8-2026'!$A:$AJ,MATCH($A105,'product-export-27-8-2026'!$A:$A,0),MATCH(AN$1,'product-export-27-8-2026'!$1:$1,0)),IF(_xlpm.v="","",_xlpm.v)),"")</f>
        <v/>
      </c>
      <c r="AO105" s="12" t="str">
        <f>IFERROR(_xlfn.LET(_xlpm.v,INDEX('product-export-27-8-2026'!$A:$AJ,MATCH($A105,'product-export-27-8-2026'!$A:$A,0),MATCH(AO$1,'product-export-27-8-2026'!$1:$1,0)),IF(_xlpm.v="","",_xlpm.v)),"")</f>
        <v/>
      </c>
      <c r="AP105" s="12" t="str">
        <f>IFERROR(_xlfn.LET(_xlpm.v,INDEX('product-export-27-8-2026'!$A:$AJ,MATCH($A105,'product-export-27-8-2026'!$A:$A,0),MATCH(AP$1,'product-export-27-8-2026'!$1:$1,0)),IF(_xlpm.v="","",_xlpm.v)),"")</f>
        <v/>
      </c>
      <c r="AQ105" s="12" t="str">
        <f>IFERROR(_xlfn.LET(_xlpm.v,INDEX('product-export-27-8-2026'!$A:$AJ,MATCH($A105,'product-export-27-8-2026'!$A:$A,0),MATCH(AQ$1,'product-export-27-8-2026'!$1:$1,0)),IF(_xlpm.v="","",_xlpm.v)),"")</f>
        <v/>
      </c>
      <c r="AR105" s="12" t="str">
        <f>IFERROR(_xlfn.LET(_xlpm.v,INDEX('product-export-27-8-2026'!$A:$AJ,MATCH($A105,'product-export-27-8-2026'!$A:$A,0),MATCH(AR$1,'product-export-27-8-2026'!$1:$1,0)),IF(_xlpm.v="","",_xlpm.v)),"")</f>
        <v>Diaries &gt; A4 Diary, Diaries, Foil blocked, Richmond Collection</v>
      </c>
      <c r="AS105" s="12" t="str">
        <f>IFERROR(_xlfn.LET(_xlpm.v,INDEX('product-export-27-8-2026'!$A:$AJ,MATCH($A105,'product-export-27-8-2026'!$A:$A,0),MATCH(AS$1,'product-export-27-8-2026'!$1:$1,0)),IF(_xlpm.v="","",_xlpm.v)),"")</f>
        <v>Richmond-FineGrain-A4-Desk-Diary</v>
      </c>
      <c r="BC105" s="15"/>
    </row>
    <row r="106" spans="1:55" s="14" customFormat="1" ht="27.6" customHeight="1" x14ac:dyDescent="0.3">
      <c r="A106" s="11">
        <v>1186</v>
      </c>
      <c r="B106" s="12" t="s">
        <v>408</v>
      </c>
      <c r="C106" s="12" t="s">
        <v>18</v>
      </c>
      <c r="D106" s="12" t="s">
        <v>170</v>
      </c>
      <c r="E106" s="13" t="s">
        <v>170</v>
      </c>
      <c r="F106" s="12" t="s">
        <v>166</v>
      </c>
      <c r="G106" s="12" t="s">
        <v>151</v>
      </c>
      <c r="H106" s="12" t="s">
        <v>893</v>
      </c>
      <c r="I106" s="12" t="s">
        <v>41</v>
      </c>
      <c r="J106" s="12" t="s">
        <v>87</v>
      </c>
      <c r="K106" s="18" t="s">
        <v>1667</v>
      </c>
      <c r="L106" s="54">
        <v>0.48</v>
      </c>
      <c r="M106" s="11">
        <v>17.5</v>
      </c>
      <c r="N106" s="12" t="s">
        <v>157</v>
      </c>
      <c r="O106" s="56">
        <f t="shared" si="9"/>
        <v>18.48</v>
      </c>
      <c r="P106" s="56">
        <f t="shared" si="9"/>
        <v>17.75</v>
      </c>
      <c r="Q106" s="56">
        <f t="shared" si="9"/>
        <v>13.19</v>
      </c>
      <c r="R106" s="56">
        <f t="shared" si="9"/>
        <v>9.89</v>
      </c>
      <c r="S106" s="56">
        <f t="shared" si="9"/>
        <v>9.2200000000000006</v>
      </c>
      <c r="T106" s="56">
        <f t="shared" si="9"/>
        <v>8.35</v>
      </c>
      <c r="U106" s="56">
        <f t="shared" si="9"/>
        <v>7.67</v>
      </c>
      <c r="V106" s="56">
        <f t="shared" si="9"/>
        <v>7.28</v>
      </c>
      <c r="W106" s="56">
        <f t="shared" si="9"/>
        <v>6.97</v>
      </c>
      <c r="X106" s="30" t="str" cm="1">
        <f t="array" ref="X106">IF(Y106="","",_xlfn.TEXTJOIN(";",TRUE,SUBSTITUTE($Y$1:$AG$1,"Qty ","")&amp;":"&amp;TEXT(Y106:AG106,"0.00"))&amp;";")</f>
        <v>1:24.60;10:23.26;25:18.08;50:13.97;100:12.94;250:11.74;500:10.94;750:10.55;1000:10.15;</v>
      </c>
      <c r="Y106" s="56">
        <f>'Blocking Prices'!$C$16+O106</f>
        <v>24.6</v>
      </c>
      <c r="Z106" s="56">
        <f>'Blocking Prices'!$D$16+P106</f>
        <v>23.259999999999998</v>
      </c>
      <c r="AA106" s="56">
        <f>'Blocking Prices'!$E$16+Q106</f>
        <v>18.079999999999998</v>
      </c>
      <c r="AB106" s="56">
        <f>'Blocking Prices'!$F$16+R106</f>
        <v>13.97</v>
      </c>
      <c r="AC106" s="56">
        <f>'Blocking Prices'!$G$16+S106</f>
        <v>12.940000000000001</v>
      </c>
      <c r="AD106" s="56">
        <f>'Blocking Prices'!$H$16+T106</f>
        <v>11.74</v>
      </c>
      <c r="AE106" s="56">
        <f>'Blocking Prices'!$I$16+U106</f>
        <v>10.94</v>
      </c>
      <c r="AF106" s="56">
        <f>'Blocking Prices'!$J$16+V106</f>
        <v>10.55</v>
      </c>
      <c r="AG106" s="56">
        <f>'Blocking Prices'!$K$16+W106</f>
        <v>10.15</v>
      </c>
      <c r="AH106" s="11"/>
      <c r="AI106" s="11"/>
      <c r="AJ106" s="11"/>
      <c r="AK106" s="11"/>
      <c r="AL106" s="12" t="s">
        <v>1073</v>
      </c>
      <c r="AM106" s="12" t="s">
        <v>1087</v>
      </c>
      <c r="AN106" s="12" t="str">
        <f>IFERROR(_xlfn.LET(_xlpm.v,INDEX('product-export-27-8-2026'!$A:$AJ,MATCH($A106,'product-export-27-8-2026'!$A:$A,0),MATCH(AN$1,'product-export-27-8-2026'!$1:$1,0)),IF(_xlpm.v="","",_xlpm.v)),"")</f>
        <v/>
      </c>
      <c r="AO106" s="12" t="str">
        <f>IFERROR(_xlfn.LET(_xlpm.v,INDEX('product-export-27-8-2026'!$A:$AJ,MATCH($A106,'product-export-27-8-2026'!$A:$A,0),MATCH(AO$1,'product-export-27-8-2026'!$1:$1,0)),IF(_xlpm.v="","",_xlpm.v)),"")</f>
        <v/>
      </c>
      <c r="AP106" s="12" t="str">
        <f>IFERROR(_xlfn.LET(_xlpm.v,INDEX('product-export-27-8-2026'!$A:$AJ,MATCH($A106,'product-export-27-8-2026'!$A:$A,0),MATCH(AP$1,'product-export-27-8-2026'!$1:$1,0)),IF(_xlpm.v="","",_xlpm.v)),"")</f>
        <v/>
      </c>
      <c r="AQ106" s="12" t="str">
        <f>IFERROR(_xlfn.LET(_xlpm.v,INDEX('product-export-27-8-2026'!$A:$AJ,MATCH($A106,'product-export-27-8-2026'!$A:$A,0),MATCH(AQ$1,'product-export-27-8-2026'!$1:$1,0)),IF(_xlpm.v="","",_xlpm.v)),"")</f>
        <v/>
      </c>
      <c r="AR106" s="12" t="str">
        <f>IFERROR(_xlfn.LET(_xlpm.v,INDEX('product-export-27-8-2026'!$A:$AJ,MATCH($A106,'product-export-27-8-2026'!$A:$A,0),MATCH(AR$1,'product-export-27-8-2026'!$1:$1,0)),IF(_xlpm.v="","",_xlpm.v)),"")</f>
        <v>Diaries &gt; A4 Diary, Diaries, Foil blocked, Richmond Collection</v>
      </c>
      <c r="AS106" s="12" t="str">
        <f>IFERROR(_xlfn.LET(_xlpm.v,INDEX('product-export-27-8-2026'!$A:$AJ,MATCH($A106,'product-export-27-8-2026'!$A:$A,0),MATCH(AS$1,'product-export-27-8-2026'!$1:$1,0)),IF(_xlpm.v="","",_xlpm.v)),"")</f>
        <v>Richmond-FineGrain-A4-Desk-Diary</v>
      </c>
      <c r="BC106" s="15"/>
    </row>
    <row r="107" spans="1:55" s="14" customFormat="1" ht="27.6" customHeight="1" x14ac:dyDescent="0.3">
      <c r="A107" s="11">
        <v>1211</v>
      </c>
      <c r="B107" s="12" t="s">
        <v>438</v>
      </c>
      <c r="C107" s="12" t="s">
        <v>13</v>
      </c>
      <c r="D107" s="12" t="s">
        <v>171</v>
      </c>
      <c r="E107" s="13" t="s">
        <v>171</v>
      </c>
      <c r="F107" s="12" t="s">
        <v>172</v>
      </c>
      <c r="G107" s="12" t="s">
        <v>14</v>
      </c>
      <c r="H107" s="12" t="s">
        <v>672</v>
      </c>
      <c r="I107" s="12"/>
      <c r="J107" s="12" t="s">
        <v>87</v>
      </c>
      <c r="K107" s="12" t="s">
        <v>1665</v>
      </c>
      <c r="L107" s="60">
        <v>0.48</v>
      </c>
      <c r="M107" s="11">
        <v>8.5</v>
      </c>
      <c r="N107" s="12" t="s">
        <v>173</v>
      </c>
      <c r="O107" s="56">
        <f t="shared" si="9"/>
        <v>9.86</v>
      </c>
      <c r="P107" s="56">
        <f t="shared" si="9"/>
        <v>9.15</v>
      </c>
      <c r="Q107" s="56">
        <f t="shared" si="9"/>
        <v>5.51</v>
      </c>
      <c r="R107" s="56">
        <f t="shared" si="9"/>
        <v>4.5599999999999996</v>
      </c>
      <c r="S107" s="56">
        <f t="shared" si="9"/>
        <v>3.86</v>
      </c>
      <c r="T107" s="56">
        <f t="shared" si="9"/>
        <v>3.24</v>
      </c>
      <c r="U107" s="56">
        <f t="shared" si="9"/>
        <v>2.8</v>
      </c>
      <c r="V107" s="56">
        <f t="shared" si="9"/>
        <v>2.76</v>
      </c>
      <c r="W107" s="56">
        <f t="shared" si="9"/>
        <v>2.5499999999999998</v>
      </c>
      <c r="X107" s="30" t="str" cm="1">
        <f t="array" ref="X107">IF(Y107="","",_xlfn.TEXTJOIN(";",TRUE,SUBSTITUTE($Y$1:$AG$1,"Qty ","")&amp;":"&amp;TEXT(Y107:AG107,"0.00"))&amp;";")</f>
        <v>1:15.08;10:13.55;25:9.08;50:7.53;100:6.59;250:5.62;500:5.17;750:5.07;1000:4.80;</v>
      </c>
      <c r="Y107" s="56">
        <f>'Blocking Prices'!$C$15+O107</f>
        <v>15.079999999999998</v>
      </c>
      <c r="Z107" s="56">
        <f>'Blocking Prices'!$D$15+P107</f>
        <v>13.55</v>
      </c>
      <c r="AA107" s="56">
        <f>'Blocking Prices'!$E$15+Q107</f>
        <v>9.08</v>
      </c>
      <c r="AB107" s="56">
        <f>'Blocking Prices'!$F$15+R107</f>
        <v>7.5299999999999994</v>
      </c>
      <c r="AC107" s="56">
        <f>'Blocking Prices'!$G$15+S107</f>
        <v>6.59</v>
      </c>
      <c r="AD107" s="56">
        <f>'Blocking Prices'!$H$15+T107</f>
        <v>5.62</v>
      </c>
      <c r="AE107" s="56">
        <f>'Blocking Prices'!$I$15+U107</f>
        <v>5.17</v>
      </c>
      <c r="AF107" s="56">
        <f>'Blocking Prices'!$J$15+V107</f>
        <v>5.07</v>
      </c>
      <c r="AG107" s="56">
        <f>'Blocking Prices'!$K$15+W107</f>
        <v>4.8</v>
      </c>
      <c r="AH107" s="11"/>
      <c r="AI107" s="11"/>
      <c r="AJ107" s="11"/>
      <c r="AK107" s="11"/>
      <c r="AL107" s="12" t="s">
        <v>1129</v>
      </c>
      <c r="AM107" s="12" t="s">
        <v>1130</v>
      </c>
      <c r="AN107" s="12" t="str">
        <f>IFERROR(_xlfn.LET(_xlpm.v,INDEX('product-export-27-8-2026'!$A:$AJ,MATCH($A107,'product-export-27-8-2026'!$A:$A,0),MATCH(AN$1,'product-export-27-8-2026'!$1:$1,0)),IF(_xlpm.v="","",_xlpm.v)),"")</f>
        <v/>
      </c>
      <c r="AO107" s="12" t="str">
        <f>IFERROR(_xlfn.LET(_xlpm.v,INDEX('product-export-27-8-2026'!$A:$AJ,MATCH($A107,'product-export-27-8-2026'!$A:$A,0),MATCH(AO$1,'product-export-27-8-2026'!$1:$1,0)),IF(_xlpm.v="","",_xlpm.v)),"")</f>
        <v/>
      </c>
      <c r="AP107" s="12" t="str">
        <f>IFERROR(_xlfn.LET(_xlpm.v,INDEX('product-export-27-8-2026'!$A:$AJ,MATCH($A107,'product-export-27-8-2026'!$A:$A,0),MATCH(AP$1,'product-export-27-8-2026'!$1:$1,0)),IF(_xlpm.v="","",_xlpm.v)),"")</f>
        <v/>
      </c>
      <c r="AQ107" s="12" t="str">
        <f>IFERROR(_xlfn.LET(_xlpm.v,INDEX('product-export-27-8-2026'!$A:$AJ,MATCH($A107,'product-export-27-8-2026'!$A:$A,0),MATCH(AQ$1,'product-export-27-8-2026'!$1:$1,0)),IF(_xlpm.v="","",_xlpm.v)),"")</f>
        <v/>
      </c>
      <c r="AR107" s="12" t="str">
        <f>IFERROR(_xlfn.LET(_xlpm.v,INDEX('product-export-27-8-2026'!$A:$AJ,MATCH($A107,'product-export-27-8-2026'!$A:$A,0),MATCH(AR$1,'product-export-27-8-2026'!$1:$1,0)),IF(_xlpm.v="","",_xlpm.v)),"")</f>
        <v>Notebooks &gt; A5 Notebooks, Dorchester Collection, Notebooks &gt; Faux Leather Notebooks, Notebooks</v>
      </c>
      <c r="AS107" s="12" t="str">
        <f>IFERROR(_xlfn.LET(_xlpm.v,INDEX('product-export-27-8-2026'!$A:$AJ,MATCH($A107,'product-export-27-8-2026'!$A:$A,0),MATCH(AS$1,'product-export-27-8-2026'!$1:$1,0)),IF(_xlpm.v="","",_xlpm.v)),"")</f>
        <v>Dorchester-NewHide-A5-Notebook-Feint-Ruled</v>
      </c>
      <c r="BC107" s="15"/>
    </row>
    <row r="108" spans="1:55" s="14" customFormat="1" ht="27.6" customHeight="1" x14ac:dyDescent="0.3">
      <c r="A108" s="11">
        <v>1241</v>
      </c>
      <c r="B108" s="12" t="s">
        <v>439</v>
      </c>
      <c r="C108" s="12" t="s">
        <v>13</v>
      </c>
      <c r="D108" s="12" t="s">
        <v>174</v>
      </c>
      <c r="E108" s="13" t="s">
        <v>174</v>
      </c>
      <c r="F108" s="12" t="s">
        <v>172</v>
      </c>
      <c r="G108" s="12" t="s">
        <v>14</v>
      </c>
      <c r="H108" s="12" t="s">
        <v>728</v>
      </c>
      <c r="I108" s="12"/>
      <c r="J108" s="12" t="s">
        <v>87</v>
      </c>
      <c r="K108" s="12" t="s">
        <v>1665</v>
      </c>
      <c r="L108" s="60">
        <v>0.48</v>
      </c>
      <c r="M108" s="11">
        <v>8.5</v>
      </c>
      <c r="N108" s="12" t="s">
        <v>173</v>
      </c>
      <c r="O108" s="56">
        <f t="shared" si="9"/>
        <v>9.86</v>
      </c>
      <c r="P108" s="56">
        <f t="shared" si="9"/>
        <v>9.15</v>
      </c>
      <c r="Q108" s="56">
        <f t="shared" si="9"/>
        <v>5.51</v>
      </c>
      <c r="R108" s="56">
        <f t="shared" si="9"/>
        <v>4.5599999999999996</v>
      </c>
      <c r="S108" s="56">
        <f t="shared" si="9"/>
        <v>3.86</v>
      </c>
      <c r="T108" s="56">
        <f t="shared" si="9"/>
        <v>3.24</v>
      </c>
      <c r="U108" s="56">
        <f t="shared" si="9"/>
        <v>2.8</v>
      </c>
      <c r="V108" s="56">
        <f t="shared" si="9"/>
        <v>2.76</v>
      </c>
      <c r="W108" s="56">
        <f t="shared" si="9"/>
        <v>2.5499999999999998</v>
      </c>
      <c r="X108" s="30" t="str" cm="1">
        <f t="array" ref="X108">IF(Y108="","",_xlfn.TEXTJOIN(";",TRUE,SUBSTITUTE($Y$1:$AG$1,"Qty ","")&amp;":"&amp;TEXT(Y108:AG108,"0.00"))&amp;";")</f>
        <v>1:15.08;10:13.55;25:9.08;50:7.53;100:6.59;250:5.62;500:5.17;750:5.07;1000:4.80;</v>
      </c>
      <c r="Y108" s="56">
        <f>'Blocking Prices'!$C$15+O108</f>
        <v>15.079999999999998</v>
      </c>
      <c r="Z108" s="56">
        <f>'Blocking Prices'!$D$15+P108</f>
        <v>13.55</v>
      </c>
      <c r="AA108" s="56">
        <f>'Blocking Prices'!$E$15+Q108</f>
        <v>9.08</v>
      </c>
      <c r="AB108" s="56">
        <f>'Blocking Prices'!$F$15+R108</f>
        <v>7.5299999999999994</v>
      </c>
      <c r="AC108" s="56">
        <f>'Blocking Prices'!$G$15+S108</f>
        <v>6.59</v>
      </c>
      <c r="AD108" s="56">
        <f>'Blocking Prices'!$H$15+T108</f>
        <v>5.62</v>
      </c>
      <c r="AE108" s="56">
        <f>'Blocking Prices'!$I$15+U108</f>
        <v>5.17</v>
      </c>
      <c r="AF108" s="56">
        <f>'Blocking Prices'!$J$15+V108</f>
        <v>5.07</v>
      </c>
      <c r="AG108" s="56">
        <f>'Blocking Prices'!$K$15+W108</f>
        <v>4.8</v>
      </c>
      <c r="AH108" s="11"/>
      <c r="AI108" s="11"/>
      <c r="AJ108" s="11"/>
      <c r="AK108" s="11"/>
      <c r="AL108" s="12" t="s">
        <v>1137</v>
      </c>
      <c r="AM108" s="12" t="s">
        <v>1130</v>
      </c>
      <c r="AN108" s="12" t="str">
        <f>IFERROR(_xlfn.LET(_xlpm.v,INDEX('product-export-27-8-2026'!$A:$AJ,MATCH($A108,'product-export-27-8-2026'!$A:$A,0),MATCH(AN$1,'product-export-27-8-2026'!$1:$1,0)),IF(_xlpm.v="","",_xlpm.v)),"")</f>
        <v/>
      </c>
      <c r="AO108" s="12" t="str">
        <f>IFERROR(_xlfn.LET(_xlpm.v,INDEX('product-export-27-8-2026'!$A:$AJ,MATCH($A108,'product-export-27-8-2026'!$A:$A,0),MATCH(AO$1,'product-export-27-8-2026'!$1:$1,0)),IF(_xlpm.v="","",_xlpm.v)),"")</f>
        <v/>
      </c>
      <c r="AP108" s="12" t="str">
        <f>IFERROR(_xlfn.LET(_xlpm.v,INDEX('product-export-27-8-2026'!$A:$AJ,MATCH($A108,'product-export-27-8-2026'!$A:$A,0),MATCH(AP$1,'product-export-27-8-2026'!$1:$1,0)),IF(_xlpm.v="","",_xlpm.v)),"")</f>
        <v/>
      </c>
      <c r="AQ108" s="12" t="str">
        <f>IFERROR(_xlfn.LET(_xlpm.v,INDEX('product-export-27-8-2026'!$A:$AJ,MATCH($A108,'product-export-27-8-2026'!$A:$A,0),MATCH(AQ$1,'product-export-27-8-2026'!$1:$1,0)),IF(_xlpm.v="","",_xlpm.v)),"")</f>
        <v/>
      </c>
      <c r="AR108" s="12" t="str">
        <f>IFERROR(_xlfn.LET(_xlpm.v,INDEX('product-export-27-8-2026'!$A:$AJ,MATCH($A108,'product-export-27-8-2026'!$A:$A,0),MATCH(AR$1,'product-export-27-8-2026'!$1:$1,0)),IF(_xlpm.v="","",_xlpm.v)),"")</f>
        <v>Notebooks &gt; A5 Notebooks, Dorchester Collection, Notebooks</v>
      </c>
      <c r="AS108" s="12" t="str">
        <f>IFERROR(_xlfn.LET(_xlpm.v,INDEX('product-export-27-8-2026'!$A:$AJ,MATCH($A108,'product-export-27-8-2026'!$A:$A,0),MATCH(AS$1,'product-export-27-8-2026'!$1:$1,0)),IF(_xlpm.v="","",_xlpm.v)),"")</f>
        <v>Dorchester-NewHide-A5-Notebook-Feint-Ruled</v>
      </c>
      <c r="BC108" s="15"/>
    </row>
    <row r="109" spans="1:55" s="14" customFormat="1" ht="27.6" customHeight="1" x14ac:dyDescent="0.3">
      <c r="A109" s="11">
        <v>1243</v>
      </c>
      <c r="B109" s="12" t="s">
        <v>440</v>
      </c>
      <c r="C109" s="12" t="s">
        <v>13</v>
      </c>
      <c r="D109" s="12" t="s">
        <v>175</v>
      </c>
      <c r="E109" s="13" t="s">
        <v>175</v>
      </c>
      <c r="F109" s="12" t="s">
        <v>172</v>
      </c>
      <c r="G109" s="12" t="s">
        <v>14</v>
      </c>
      <c r="H109" s="12" t="s">
        <v>789</v>
      </c>
      <c r="I109" s="12"/>
      <c r="J109" s="12" t="s">
        <v>87</v>
      </c>
      <c r="K109" s="12" t="s">
        <v>1665</v>
      </c>
      <c r="L109" s="60">
        <v>0.48</v>
      </c>
      <c r="M109" s="11">
        <v>8.5</v>
      </c>
      <c r="N109" s="12" t="s">
        <v>173</v>
      </c>
      <c r="O109" s="56">
        <f t="shared" si="9"/>
        <v>9.86</v>
      </c>
      <c r="P109" s="56">
        <f t="shared" si="9"/>
        <v>9.15</v>
      </c>
      <c r="Q109" s="56">
        <f t="shared" si="9"/>
        <v>5.51</v>
      </c>
      <c r="R109" s="56">
        <f t="shared" si="9"/>
        <v>4.5599999999999996</v>
      </c>
      <c r="S109" s="56">
        <f t="shared" si="9"/>
        <v>3.86</v>
      </c>
      <c r="T109" s="56">
        <f t="shared" si="9"/>
        <v>3.24</v>
      </c>
      <c r="U109" s="56">
        <f t="shared" si="9"/>
        <v>2.8</v>
      </c>
      <c r="V109" s="56">
        <f t="shared" si="9"/>
        <v>2.76</v>
      </c>
      <c r="W109" s="56">
        <f t="shared" si="9"/>
        <v>2.5499999999999998</v>
      </c>
      <c r="X109" s="30" t="str" cm="1">
        <f t="array" ref="X109">IF(Y109="","",_xlfn.TEXTJOIN(";",TRUE,SUBSTITUTE($Y$1:$AG$1,"Qty ","")&amp;":"&amp;TEXT(Y109:AG109,"0.00"))&amp;";")</f>
        <v>1:15.08;10:13.55;25:9.08;50:7.53;100:6.59;250:5.62;500:5.17;750:5.07;1000:4.80;</v>
      </c>
      <c r="Y109" s="56">
        <f>'Blocking Prices'!$C$15+O109</f>
        <v>15.079999999999998</v>
      </c>
      <c r="Z109" s="56">
        <f>'Blocking Prices'!$D$15+P109</f>
        <v>13.55</v>
      </c>
      <c r="AA109" s="56">
        <f>'Blocking Prices'!$E$15+Q109</f>
        <v>9.08</v>
      </c>
      <c r="AB109" s="56">
        <f>'Blocking Prices'!$F$15+R109</f>
        <v>7.5299999999999994</v>
      </c>
      <c r="AC109" s="56">
        <f>'Blocking Prices'!$G$15+S109</f>
        <v>6.59</v>
      </c>
      <c r="AD109" s="56">
        <f>'Blocking Prices'!$H$15+T109</f>
        <v>5.62</v>
      </c>
      <c r="AE109" s="56">
        <f>'Blocking Prices'!$I$15+U109</f>
        <v>5.17</v>
      </c>
      <c r="AF109" s="56">
        <f>'Blocking Prices'!$J$15+V109</f>
        <v>5.07</v>
      </c>
      <c r="AG109" s="56">
        <f>'Blocking Prices'!$K$15+W109</f>
        <v>4.8</v>
      </c>
      <c r="AH109" s="11"/>
      <c r="AI109" s="11"/>
      <c r="AJ109" s="11"/>
      <c r="AK109" s="11"/>
      <c r="AL109" s="12" t="s">
        <v>1137</v>
      </c>
      <c r="AM109" s="12" t="s">
        <v>1130</v>
      </c>
      <c r="AN109" s="12" t="str">
        <f>IFERROR(_xlfn.LET(_xlpm.v,INDEX('product-export-27-8-2026'!$A:$AJ,MATCH($A109,'product-export-27-8-2026'!$A:$A,0),MATCH(AN$1,'product-export-27-8-2026'!$1:$1,0)),IF(_xlpm.v="","",_xlpm.v)),"")</f>
        <v/>
      </c>
      <c r="AO109" s="12" t="str">
        <f>IFERROR(_xlfn.LET(_xlpm.v,INDEX('product-export-27-8-2026'!$A:$AJ,MATCH($A109,'product-export-27-8-2026'!$A:$A,0),MATCH(AO$1,'product-export-27-8-2026'!$1:$1,0)),IF(_xlpm.v="","",_xlpm.v)),"")</f>
        <v/>
      </c>
      <c r="AP109" s="12" t="str">
        <f>IFERROR(_xlfn.LET(_xlpm.v,INDEX('product-export-27-8-2026'!$A:$AJ,MATCH($A109,'product-export-27-8-2026'!$A:$A,0),MATCH(AP$1,'product-export-27-8-2026'!$1:$1,0)),IF(_xlpm.v="","",_xlpm.v)),"")</f>
        <v/>
      </c>
      <c r="AQ109" s="12" t="str">
        <f>IFERROR(_xlfn.LET(_xlpm.v,INDEX('product-export-27-8-2026'!$A:$AJ,MATCH($A109,'product-export-27-8-2026'!$A:$A,0),MATCH(AQ$1,'product-export-27-8-2026'!$1:$1,0)),IF(_xlpm.v="","",_xlpm.v)),"")</f>
        <v/>
      </c>
      <c r="AR109" s="12" t="str">
        <f>IFERROR(_xlfn.LET(_xlpm.v,INDEX('product-export-27-8-2026'!$A:$AJ,MATCH($A109,'product-export-27-8-2026'!$A:$A,0),MATCH(AR$1,'product-export-27-8-2026'!$1:$1,0)),IF(_xlpm.v="","",_xlpm.v)),"")</f>
        <v>Notebooks &gt; A5 Notebooks, Dorchester Collection, Notebooks &gt; Faux Leather Notebooks, Notebooks</v>
      </c>
      <c r="AS109" s="12" t="str">
        <f>IFERROR(_xlfn.LET(_xlpm.v,INDEX('product-export-27-8-2026'!$A:$AJ,MATCH($A109,'product-export-27-8-2026'!$A:$A,0),MATCH(AS$1,'product-export-27-8-2026'!$1:$1,0)),IF(_xlpm.v="","",_xlpm.v)),"")</f>
        <v>Dorchester-NewHide-A5-Notebook-Feint-Ruled</v>
      </c>
      <c r="BC109" s="15"/>
    </row>
    <row r="110" spans="1:55" s="14" customFormat="1" ht="27.6" customHeight="1" x14ac:dyDescent="0.3">
      <c r="A110" s="11">
        <v>1246</v>
      </c>
      <c r="B110" s="12" t="s">
        <v>441</v>
      </c>
      <c r="C110" s="12" t="s">
        <v>13</v>
      </c>
      <c r="D110" s="12" t="s">
        <v>176</v>
      </c>
      <c r="E110" s="13" t="s">
        <v>176</v>
      </c>
      <c r="F110" s="12" t="s">
        <v>172</v>
      </c>
      <c r="G110" s="12" t="s">
        <v>14</v>
      </c>
      <c r="H110" s="12" t="s">
        <v>1051</v>
      </c>
      <c r="I110" s="12"/>
      <c r="J110" s="12" t="s">
        <v>87</v>
      </c>
      <c r="K110" s="12" t="s">
        <v>1665</v>
      </c>
      <c r="L110" s="60">
        <v>0.48</v>
      </c>
      <c r="M110" s="11">
        <v>8.5</v>
      </c>
      <c r="N110" s="12" t="s">
        <v>173</v>
      </c>
      <c r="O110" s="56">
        <f t="shared" si="9"/>
        <v>9.86</v>
      </c>
      <c r="P110" s="56">
        <f t="shared" si="9"/>
        <v>9.15</v>
      </c>
      <c r="Q110" s="56">
        <f t="shared" si="9"/>
        <v>5.51</v>
      </c>
      <c r="R110" s="56">
        <f t="shared" si="9"/>
        <v>4.5599999999999996</v>
      </c>
      <c r="S110" s="56">
        <f t="shared" si="9"/>
        <v>3.86</v>
      </c>
      <c r="T110" s="56">
        <f t="shared" si="9"/>
        <v>3.24</v>
      </c>
      <c r="U110" s="56">
        <f t="shared" si="9"/>
        <v>2.8</v>
      </c>
      <c r="V110" s="56">
        <f t="shared" si="9"/>
        <v>2.76</v>
      </c>
      <c r="W110" s="56">
        <f t="shared" si="9"/>
        <v>2.5499999999999998</v>
      </c>
      <c r="X110" s="30" t="str" cm="1">
        <f t="array" ref="X110">IF(Y110="","",_xlfn.TEXTJOIN(";",TRUE,SUBSTITUTE($Y$1:$AG$1,"Qty ","")&amp;":"&amp;TEXT(Y110:AG110,"0.00"))&amp;";")</f>
        <v>1:15.08;10:13.55;25:9.08;50:7.53;100:6.59;250:5.62;500:5.17;750:5.07;1000:4.80;</v>
      </c>
      <c r="Y110" s="56">
        <f>'Blocking Prices'!$C$15+O110</f>
        <v>15.079999999999998</v>
      </c>
      <c r="Z110" s="56">
        <f>'Blocking Prices'!$D$15+P110</f>
        <v>13.55</v>
      </c>
      <c r="AA110" s="56">
        <f>'Blocking Prices'!$E$15+Q110</f>
        <v>9.08</v>
      </c>
      <c r="AB110" s="56">
        <f>'Blocking Prices'!$F$15+R110</f>
        <v>7.5299999999999994</v>
      </c>
      <c r="AC110" s="56">
        <f>'Blocking Prices'!$G$15+S110</f>
        <v>6.59</v>
      </c>
      <c r="AD110" s="56">
        <f>'Blocking Prices'!$H$15+T110</f>
        <v>5.62</v>
      </c>
      <c r="AE110" s="56">
        <f>'Blocking Prices'!$I$15+U110</f>
        <v>5.17</v>
      </c>
      <c r="AF110" s="56">
        <f>'Blocking Prices'!$J$15+V110</f>
        <v>5.07</v>
      </c>
      <c r="AG110" s="56">
        <f>'Blocking Prices'!$K$15+W110</f>
        <v>4.8</v>
      </c>
      <c r="AH110" s="11"/>
      <c r="AI110" s="11"/>
      <c r="AJ110" s="11"/>
      <c r="AK110" s="11"/>
      <c r="AL110" s="12" t="s">
        <v>1137</v>
      </c>
      <c r="AM110" s="12" t="s">
        <v>1130</v>
      </c>
      <c r="AN110" s="12" t="str">
        <f>IFERROR(_xlfn.LET(_xlpm.v,INDEX('product-export-27-8-2026'!$A:$AJ,MATCH($A110,'product-export-27-8-2026'!$A:$A,0),MATCH(AN$1,'product-export-27-8-2026'!$1:$1,0)),IF(_xlpm.v="","",_xlpm.v)),"")</f>
        <v/>
      </c>
      <c r="AO110" s="12" t="str">
        <f>IFERROR(_xlfn.LET(_xlpm.v,INDEX('product-export-27-8-2026'!$A:$AJ,MATCH($A110,'product-export-27-8-2026'!$A:$A,0),MATCH(AO$1,'product-export-27-8-2026'!$1:$1,0)),IF(_xlpm.v="","",_xlpm.v)),"")</f>
        <v/>
      </c>
      <c r="AP110" s="12" t="str">
        <f>IFERROR(_xlfn.LET(_xlpm.v,INDEX('product-export-27-8-2026'!$A:$AJ,MATCH($A110,'product-export-27-8-2026'!$A:$A,0),MATCH(AP$1,'product-export-27-8-2026'!$1:$1,0)),IF(_xlpm.v="","",_xlpm.v)),"")</f>
        <v/>
      </c>
      <c r="AQ110" s="12" t="str">
        <f>IFERROR(_xlfn.LET(_xlpm.v,INDEX('product-export-27-8-2026'!$A:$AJ,MATCH($A110,'product-export-27-8-2026'!$A:$A,0),MATCH(AQ$1,'product-export-27-8-2026'!$1:$1,0)),IF(_xlpm.v="","",_xlpm.v)),"")</f>
        <v/>
      </c>
      <c r="AR110" s="12" t="str">
        <f>IFERROR(_xlfn.LET(_xlpm.v,INDEX('product-export-27-8-2026'!$A:$AJ,MATCH($A110,'product-export-27-8-2026'!$A:$A,0),MATCH(AR$1,'product-export-27-8-2026'!$1:$1,0)),IF(_xlpm.v="","",_xlpm.v)),"")</f>
        <v>Notebooks &gt; A5 Notebooks, Dorchester Collection, Notebooks &gt; Faux Leather Notebooks, Notebooks</v>
      </c>
      <c r="AS110" s="12" t="str">
        <f>IFERROR(_xlfn.LET(_xlpm.v,INDEX('product-export-27-8-2026'!$A:$AJ,MATCH($A110,'product-export-27-8-2026'!$A:$A,0),MATCH(AS$1,'product-export-27-8-2026'!$1:$1,0)),IF(_xlpm.v="","",_xlpm.v)),"")</f>
        <v>Dorchester-NewHide-A5-Notebook-Feint-Ruled</v>
      </c>
      <c r="BC110" s="15"/>
    </row>
    <row r="111" spans="1:55" s="14" customFormat="1" ht="27.6" customHeight="1" x14ac:dyDescent="0.3">
      <c r="A111" s="11">
        <v>1247</v>
      </c>
      <c r="B111" s="12" t="s">
        <v>442</v>
      </c>
      <c r="C111" s="12" t="s">
        <v>13</v>
      </c>
      <c r="D111" s="12" t="s">
        <v>177</v>
      </c>
      <c r="E111" s="13" t="s">
        <v>177</v>
      </c>
      <c r="F111" s="12" t="s">
        <v>172</v>
      </c>
      <c r="G111" s="12" t="s">
        <v>14</v>
      </c>
      <c r="H111" s="12" t="s">
        <v>891</v>
      </c>
      <c r="I111" s="12"/>
      <c r="J111" s="12" t="s">
        <v>87</v>
      </c>
      <c r="K111" s="12" t="s">
        <v>1665</v>
      </c>
      <c r="L111" s="60">
        <v>0.48</v>
      </c>
      <c r="M111" s="11">
        <v>8.5</v>
      </c>
      <c r="N111" s="12" t="s">
        <v>173</v>
      </c>
      <c r="O111" s="56">
        <f t="shared" si="9"/>
        <v>9.86</v>
      </c>
      <c r="P111" s="56">
        <f t="shared" si="9"/>
        <v>9.15</v>
      </c>
      <c r="Q111" s="56">
        <f t="shared" si="9"/>
        <v>5.51</v>
      </c>
      <c r="R111" s="56">
        <f t="shared" si="9"/>
        <v>4.5599999999999996</v>
      </c>
      <c r="S111" s="56">
        <f t="shared" si="9"/>
        <v>3.86</v>
      </c>
      <c r="T111" s="56">
        <f t="shared" si="9"/>
        <v>3.24</v>
      </c>
      <c r="U111" s="56">
        <f t="shared" si="9"/>
        <v>2.8</v>
      </c>
      <c r="V111" s="56">
        <f t="shared" si="9"/>
        <v>2.76</v>
      </c>
      <c r="W111" s="56">
        <f t="shared" si="9"/>
        <v>2.5499999999999998</v>
      </c>
      <c r="X111" s="30" t="str" cm="1">
        <f t="array" ref="X111">IF(Y111="","",_xlfn.TEXTJOIN(";",TRUE,SUBSTITUTE($Y$1:$AG$1,"Qty ","")&amp;":"&amp;TEXT(Y111:AG111,"0.00"))&amp;";")</f>
        <v>1:15.08;10:13.55;25:9.08;50:7.53;100:6.59;250:5.62;500:5.17;750:5.07;1000:4.80;</v>
      </c>
      <c r="Y111" s="56">
        <f>'Blocking Prices'!$C$15+O111</f>
        <v>15.079999999999998</v>
      </c>
      <c r="Z111" s="56">
        <f>'Blocking Prices'!$D$15+P111</f>
        <v>13.55</v>
      </c>
      <c r="AA111" s="56">
        <f>'Blocking Prices'!$E$15+Q111</f>
        <v>9.08</v>
      </c>
      <c r="AB111" s="56">
        <f>'Blocking Prices'!$F$15+R111</f>
        <v>7.5299999999999994</v>
      </c>
      <c r="AC111" s="56">
        <f>'Blocking Prices'!$G$15+S111</f>
        <v>6.59</v>
      </c>
      <c r="AD111" s="56">
        <f>'Blocking Prices'!$H$15+T111</f>
        <v>5.62</v>
      </c>
      <c r="AE111" s="56">
        <f>'Blocking Prices'!$I$15+U111</f>
        <v>5.17</v>
      </c>
      <c r="AF111" s="56">
        <f>'Blocking Prices'!$J$15+V111</f>
        <v>5.07</v>
      </c>
      <c r="AG111" s="56">
        <f>'Blocking Prices'!$K$15+W111</f>
        <v>4.8</v>
      </c>
      <c r="AH111" s="11"/>
      <c r="AI111" s="11"/>
      <c r="AJ111" s="11"/>
      <c r="AK111" s="11"/>
      <c r="AL111" s="12" t="s">
        <v>1137</v>
      </c>
      <c r="AM111" s="12" t="s">
        <v>1130</v>
      </c>
      <c r="AN111" s="12" t="str">
        <f>IFERROR(_xlfn.LET(_xlpm.v,INDEX('product-export-27-8-2026'!$A:$AJ,MATCH($A111,'product-export-27-8-2026'!$A:$A,0),MATCH(AN$1,'product-export-27-8-2026'!$1:$1,0)),IF(_xlpm.v="","",_xlpm.v)),"")</f>
        <v/>
      </c>
      <c r="AO111" s="12" t="str">
        <f>IFERROR(_xlfn.LET(_xlpm.v,INDEX('product-export-27-8-2026'!$A:$AJ,MATCH($A111,'product-export-27-8-2026'!$A:$A,0),MATCH(AO$1,'product-export-27-8-2026'!$1:$1,0)),IF(_xlpm.v="","",_xlpm.v)),"")</f>
        <v/>
      </c>
      <c r="AP111" s="12" t="str">
        <f>IFERROR(_xlfn.LET(_xlpm.v,INDEX('product-export-27-8-2026'!$A:$AJ,MATCH($A111,'product-export-27-8-2026'!$A:$A,0),MATCH(AP$1,'product-export-27-8-2026'!$1:$1,0)),IF(_xlpm.v="","",_xlpm.v)),"")</f>
        <v/>
      </c>
      <c r="AQ111" s="12" t="str">
        <f>IFERROR(_xlfn.LET(_xlpm.v,INDEX('product-export-27-8-2026'!$A:$AJ,MATCH($A111,'product-export-27-8-2026'!$A:$A,0),MATCH(AQ$1,'product-export-27-8-2026'!$1:$1,0)),IF(_xlpm.v="","",_xlpm.v)),"")</f>
        <v/>
      </c>
      <c r="AR111" s="12" t="str">
        <f>IFERROR(_xlfn.LET(_xlpm.v,INDEX('product-export-27-8-2026'!$A:$AJ,MATCH($A111,'product-export-27-8-2026'!$A:$A,0),MATCH(AR$1,'product-export-27-8-2026'!$1:$1,0)),IF(_xlpm.v="","",_xlpm.v)),"")</f>
        <v>Notebooks &gt; A5 Notebooks, Dorchester Collection, Notebooks &gt; Faux Leather Notebooks, Notebooks</v>
      </c>
      <c r="AS111" s="12" t="str">
        <f>IFERROR(_xlfn.LET(_xlpm.v,INDEX('product-export-27-8-2026'!$A:$AJ,MATCH($A111,'product-export-27-8-2026'!$A:$A,0),MATCH(AS$1,'product-export-27-8-2026'!$1:$1,0)),IF(_xlpm.v="","",_xlpm.v)),"")</f>
        <v>Dorchester-NewHide-A5-Notebook-Feint-Ruled</v>
      </c>
      <c r="BC111" s="15"/>
    </row>
    <row r="112" spans="1:55" s="14" customFormat="1" ht="27.6" customHeight="1" x14ac:dyDescent="0.3">
      <c r="A112" s="11">
        <v>1249</v>
      </c>
      <c r="B112" s="12" t="s">
        <v>443</v>
      </c>
      <c r="C112" s="12" t="s">
        <v>13</v>
      </c>
      <c r="D112" s="12" t="s">
        <v>178</v>
      </c>
      <c r="E112" s="13" t="s">
        <v>178</v>
      </c>
      <c r="F112" s="12" t="s">
        <v>172</v>
      </c>
      <c r="G112" s="12" t="s">
        <v>14</v>
      </c>
      <c r="H112" s="12" t="s">
        <v>893</v>
      </c>
      <c r="I112" s="12"/>
      <c r="J112" s="12" t="s">
        <v>87</v>
      </c>
      <c r="K112" s="12" t="s">
        <v>1665</v>
      </c>
      <c r="L112" s="60">
        <v>0.48</v>
      </c>
      <c r="M112" s="11">
        <v>8.5</v>
      </c>
      <c r="N112" s="12" t="s">
        <v>173</v>
      </c>
      <c r="O112" s="56">
        <f t="shared" ref="O112:W121" si="10">IFERROR(VALUE(_xlfn.TEXTBEFORE(_xlfn.TEXTAFTER(";"&amp;$N112,";"&amp;SUBSTITUTE(O$1,"Qty ","")&amp;":"),";")),"")</f>
        <v>9.86</v>
      </c>
      <c r="P112" s="56">
        <f t="shared" si="10"/>
        <v>9.15</v>
      </c>
      <c r="Q112" s="56">
        <f t="shared" si="10"/>
        <v>5.51</v>
      </c>
      <c r="R112" s="56">
        <f t="shared" si="10"/>
        <v>4.5599999999999996</v>
      </c>
      <c r="S112" s="56">
        <f t="shared" si="10"/>
        <v>3.86</v>
      </c>
      <c r="T112" s="56">
        <f t="shared" si="10"/>
        <v>3.24</v>
      </c>
      <c r="U112" s="56">
        <f t="shared" si="10"/>
        <v>2.8</v>
      </c>
      <c r="V112" s="56">
        <f t="shared" si="10"/>
        <v>2.76</v>
      </c>
      <c r="W112" s="56">
        <f t="shared" si="10"/>
        <v>2.5499999999999998</v>
      </c>
      <c r="X112" s="30" t="str" cm="1">
        <f t="array" ref="X112">IF(Y112="","",_xlfn.TEXTJOIN(";",TRUE,SUBSTITUTE($Y$1:$AG$1,"Qty ","")&amp;":"&amp;TEXT(Y112:AG112,"0.00"))&amp;";")</f>
        <v>1:15.08;10:13.55;25:9.08;50:7.53;100:6.59;250:5.62;500:5.17;750:5.07;1000:4.80;</v>
      </c>
      <c r="Y112" s="56">
        <f>'Blocking Prices'!$C$15+O112</f>
        <v>15.079999999999998</v>
      </c>
      <c r="Z112" s="56">
        <f>'Blocking Prices'!$D$15+P112</f>
        <v>13.55</v>
      </c>
      <c r="AA112" s="56">
        <f>'Blocking Prices'!$E$15+Q112</f>
        <v>9.08</v>
      </c>
      <c r="AB112" s="56">
        <f>'Blocking Prices'!$F$15+R112</f>
        <v>7.5299999999999994</v>
      </c>
      <c r="AC112" s="56">
        <f>'Blocking Prices'!$G$15+S112</f>
        <v>6.59</v>
      </c>
      <c r="AD112" s="56">
        <f>'Blocking Prices'!$H$15+T112</f>
        <v>5.62</v>
      </c>
      <c r="AE112" s="56">
        <f>'Blocking Prices'!$I$15+U112</f>
        <v>5.17</v>
      </c>
      <c r="AF112" s="56">
        <f>'Blocking Prices'!$J$15+V112</f>
        <v>5.07</v>
      </c>
      <c r="AG112" s="56">
        <f>'Blocking Prices'!$K$15+W112</f>
        <v>4.8</v>
      </c>
      <c r="AH112" s="11"/>
      <c r="AI112" s="11"/>
      <c r="AJ112" s="11"/>
      <c r="AK112" s="11"/>
      <c r="AL112" s="12" t="s">
        <v>1137</v>
      </c>
      <c r="AM112" s="12" t="s">
        <v>1130</v>
      </c>
      <c r="AN112" s="12" t="str">
        <f>IFERROR(_xlfn.LET(_xlpm.v,INDEX('product-export-27-8-2026'!$A:$AJ,MATCH($A112,'product-export-27-8-2026'!$A:$A,0),MATCH(AN$1,'product-export-27-8-2026'!$1:$1,0)),IF(_xlpm.v="","",_xlpm.v)),"")</f>
        <v/>
      </c>
      <c r="AO112" s="12" t="str">
        <f>IFERROR(_xlfn.LET(_xlpm.v,INDEX('product-export-27-8-2026'!$A:$AJ,MATCH($A112,'product-export-27-8-2026'!$A:$A,0),MATCH(AO$1,'product-export-27-8-2026'!$1:$1,0)),IF(_xlpm.v="","",_xlpm.v)),"")</f>
        <v/>
      </c>
      <c r="AP112" s="12" t="str">
        <f>IFERROR(_xlfn.LET(_xlpm.v,INDEX('product-export-27-8-2026'!$A:$AJ,MATCH($A112,'product-export-27-8-2026'!$A:$A,0),MATCH(AP$1,'product-export-27-8-2026'!$1:$1,0)),IF(_xlpm.v="","",_xlpm.v)),"")</f>
        <v/>
      </c>
      <c r="AQ112" s="12" t="str">
        <f>IFERROR(_xlfn.LET(_xlpm.v,INDEX('product-export-27-8-2026'!$A:$AJ,MATCH($A112,'product-export-27-8-2026'!$A:$A,0),MATCH(AQ$1,'product-export-27-8-2026'!$1:$1,0)),IF(_xlpm.v="","",_xlpm.v)),"")</f>
        <v/>
      </c>
      <c r="AR112" s="12" t="str">
        <f>IFERROR(_xlfn.LET(_xlpm.v,INDEX('product-export-27-8-2026'!$A:$AJ,MATCH($A112,'product-export-27-8-2026'!$A:$A,0),MATCH(AR$1,'product-export-27-8-2026'!$1:$1,0)),IF(_xlpm.v="","",_xlpm.v)),"")</f>
        <v>Notebooks &gt; A5 Notebooks, Dorchester Collection, Notebooks &gt; Faux Leather Notebooks, Notebooks</v>
      </c>
      <c r="AS112" s="12" t="str">
        <f>IFERROR(_xlfn.LET(_xlpm.v,INDEX('product-export-27-8-2026'!$A:$AJ,MATCH($A112,'product-export-27-8-2026'!$A:$A,0),MATCH(AS$1,'product-export-27-8-2026'!$1:$1,0)),IF(_xlpm.v="","",_xlpm.v)),"")</f>
        <v>Dorchester-NewHide-A5-Notebook-Feint-Ruled</v>
      </c>
      <c r="BC112" s="15"/>
    </row>
    <row r="113" spans="1:55" s="14" customFormat="1" ht="27.6" customHeight="1" x14ac:dyDescent="0.3">
      <c r="A113" s="11">
        <v>1252</v>
      </c>
      <c r="B113" s="12" t="s">
        <v>444</v>
      </c>
      <c r="C113" s="12" t="s">
        <v>13</v>
      </c>
      <c r="D113" s="12" t="s">
        <v>179</v>
      </c>
      <c r="E113" s="13" t="s">
        <v>179</v>
      </c>
      <c r="F113" s="12" t="s">
        <v>172</v>
      </c>
      <c r="G113" s="12" t="s">
        <v>14</v>
      </c>
      <c r="H113" s="12" t="s">
        <v>792</v>
      </c>
      <c r="I113" s="12"/>
      <c r="J113" s="12" t="s">
        <v>87</v>
      </c>
      <c r="K113" s="12" t="s">
        <v>1665</v>
      </c>
      <c r="L113" s="60">
        <v>0.48</v>
      </c>
      <c r="M113" s="11">
        <v>8.5</v>
      </c>
      <c r="N113" s="12" t="s">
        <v>173</v>
      </c>
      <c r="O113" s="56">
        <f t="shared" si="10"/>
        <v>9.86</v>
      </c>
      <c r="P113" s="56">
        <f t="shared" si="10"/>
        <v>9.15</v>
      </c>
      <c r="Q113" s="56">
        <f t="shared" si="10"/>
        <v>5.51</v>
      </c>
      <c r="R113" s="56">
        <f t="shared" si="10"/>
        <v>4.5599999999999996</v>
      </c>
      <c r="S113" s="56">
        <f t="shared" si="10"/>
        <v>3.86</v>
      </c>
      <c r="T113" s="56">
        <f t="shared" si="10"/>
        <v>3.24</v>
      </c>
      <c r="U113" s="56">
        <f t="shared" si="10"/>
        <v>2.8</v>
      </c>
      <c r="V113" s="56">
        <f t="shared" si="10"/>
        <v>2.76</v>
      </c>
      <c r="W113" s="56">
        <f t="shared" si="10"/>
        <v>2.5499999999999998</v>
      </c>
      <c r="X113" s="30" t="str" cm="1">
        <f t="array" ref="X113">IF(Y113="","",_xlfn.TEXTJOIN(";",TRUE,SUBSTITUTE($Y$1:$AG$1,"Qty ","")&amp;":"&amp;TEXT(Y113:AG113,"0.00"))&amp;";")</f>
        <v>1:15.08;10:13.55;25:9.08;50:7.53;100:6.59;250:5.62;500:5.17;750:5.07;1000:4.80;</v>
      </c>
      <c r="Y113" s="56">
        <f>'Blocking Prices'!$C$15+O113</f>
        <v>15.079999999999998</v>
      </c>
      <c r="Z113" s="56">
        <f>'Blocking Prices'!$D$15+P113</f>
        <v>13.55</v>
      </c>
      <c r="AA113" s="56">
        <f>'Blocking Prices'!$E$15+Q113</f>
        <v>9.08</v>
      </c>
      <c r="AB113" s="56">
        <f>'Blocking Prices'!$F$15+R113</f>
        <v>7.5299999999999994</v>
      </c>
      <c r="AC113" s="56">
        <f>'Blocking Prices'!$G$15+S113</f>
        <v>6.59</v>
      </c>
      <c r="AD113" s="56">
        <f>'Blocking Prices'!$H$15+T113</f>
        <v>5.62</v>
      </c>
      <c r="AE113" s="56">
        <f>'Blocking Prices'!$I$15+U113</f>
        <v>5.17</v>
      </c>
      <c r="AF113" s="56">
        <f>'Blocking Prices'!$J$15+V113</f>
        <v>5.07</v>
      </c>
      <c r="AG113" s="56">
        <f>'Blocking Prices'!$K$15+W113</f>
        <v>4.8</v>
      </c>
      <c r="AH113" s="11"/>
      <c r="AI113" s="11"/>
      <c r="AJ113" s="11"/>
      <c r="AK113" s="11"/>
      <c r="AL113" s="12" t="s">
        <v>1137</v>
      </c>
      <c r="AM113" s="12" t="s">
        <v>1130</v>
      </c>
      <c r="AN113" s="12" t="str">
        <f>IFERROR(_xlfn.LET(_xlpm.v,INDEX('product-export-27-8-2026'!$A:$AJ,MATCH($A113,'product-export-27-8-2026'!$A:$A,0),MATCH(AN$1,'product-export-27-8-2026'!$1:$1,0)),IF(_xlpm.v="","",_xlpm.v)),"")</f>
        <v/>
      </c>
      <c r="AO113" s="12" t="str">
        <f>IFERROR(_xlfn.LET(_xlpm.v,INDEX('product-export-27-8-2026'!$A:$AJ,MATCH($A113,'product-export-27-8-2026'!$A:$A,0),MATCH(AO$1,'product-export-27-8-2026'!$1:$1,0)),IF(_xlpm.v="","",_xlpm.v)),"")</f>
        <v/>
      </c>
      <c r="AP113" s="12" t="str">
        <f>IFERROR(_xlfn.LET(_xlpm.v,INDEX('product-export-27-8-2026'!$A:$AJ,MATCH($A113,'product-export-27-8-2026'!$A:$A,0),MATCH(AP$1,'product-export-27-8-2026'!$1:$1,0)),IF(_xlpm.v="","",_xlpm.v)),"")</f>
        <v/>
      </c>
      <c r="AQ113" s="12" t="str">
        <f>IFERROR(_xlfn.LET(_xlpm.v,INDEX('product-export-27-8-2026'!$A:$AJ,MATCH($A113,'product-export-27-8-2026'!$A:$A,0),MATCH(AQ$1,'product-export-27-8-2026'!$1:$1,0)),IF(_xlpm.v="","",_xlpm.v)),"")</f>
        <v/>
      </c>
      <c r="AR113" s="12" t="str">
        <f>IFERROR(_xlfn.LET(_xlpm.v,INDEX('product-export-27-8-2026'!$A:$AJ,MATCH($A113,'product-export-27-8-2026'!$A:$A,0),MATCH(AR$1,'product-export-27-8-2026'!$1:$1,0)),IF(_xlpm.v="","",_xlpm.v)),"")</f>
        <v>Notebooks &gt; A5 Notebooks, Dorchester Collection, Notebooks &gt; Faux Leather Notebooks, Notebooks</v>
      </c>
      <c r="AS113" s="12" t="str">
        <f>IFERROR(_xlfn.LET(_xlpm.v,INDEX('product-export-27-8-2026'!$A:$AJ,MATCH($A113,'product-export-27-8-2026'!$A:$A,0),MATCH(AS$1,'product-export-27-8-2026'!$1:$1,0)),IF(_xlpm.v="","",_xlpm.v)),"")</f>
        <v>Dorchester-NewHide-A5-Notebook-Feint-Ruled</v>
      </c>
      <c r="BC113" s="15"/>
    </row>
    <row r="114" spans="1:55" s="14" customFormat="1" ht="27.6" customHeight="1" x14ac:dyDescent="0.3">
      <c r="A114" s="11">
        <v>1254</v>
      </c>
      <c r="B114" s="12" t="s">
        <v>445</v>
      </c>
      <c r="C114" s="12" t="s">
        <v>13</v>
      </c>
      <c r="D114" s="12" t="s">
        <v>180</v>
      </c>
      <c r="E114" s="13" t="s">
        <v>180</v>
      </c>
      <c r="F114" s="12" t="s">
        <v>172</v>
      </c>
      <c r="G114" s="12" t="s">
        <v>14</v>
      </c>
      <c r="H114" s="12" t="s">
        <v>1580</v>
      </c>
      <c r="I114" s="12"/>
      <c r="J114" s="12" t="s">
        <v>87</v>
      </c>
      <c r="K114" s="12" t="s">
        <v>1665</v>
      </c>
      <c r="L114" s="60">
        <v>0.48</v>
      </c>
      <c r="M114" s="11">
        <v>8.5</v>
      </c>
      <c r="N114" s="12" t="s">
        <v>173</v>
      </c>
      <c r="O114" s="56">
        <f t="shared" si="10"/>
        <v>9.86</v>
      </c>
      <c r="P114" s="56">
        <f t="shared" si="10"/>
        <v>9.15</v>
      </c>
      <c r="Q114" s="56">
        <f t="shared" si="10"/>
        <v>5.51</v>
      </c>
      <c r="R114" s="56">
        <f t="shared" si="10"/>
        <v>4.5599999999999996</v>
      </c>
      <c r="S114" s="56">
        <f t="shared" si="10"/>
        <v>3.86</v>
      </c>
      <c r="T114" s="56">
        <f t="shared" si="10"/>
        <v>3.24</v>
      </c>
      <c r="U114" s="56">
        <f t="shared" si="10"/>
        <v>2.8</v>
      </c>
      <c r="V114" s="56">
        <f t="shared" si="10"/>
        <v>2.76</v>
      </c>
      <c r="W114" s="56">
        <f t="shared" si="10"/>
        <v>2.5499999999999998</v>
      </c>
      <c r="X114" s="30" t="str" cm="1">
        <f t="array" ref="X114">IF(Y114="","",_xlfn.TEXTJOIN(";",TRUE,SUBSTITUTE($Y$1:$AG$1,"Qty ","")&amp;":"&amp;TEXT(Y114:AG114,"0.00"))&amp;";")</f>
        <v>1:15.08;10:13.55;25:9.08;50:7.53;100:6.59;250:5.62;500:5.17;750:5.07;1000:4.80;</v>
      </c>
      <c r="Y114" s="56">
        <f>'Blocking Prices'!$C$15+O114</f>
        <v>15.079999999999998</v>
      </c>
      <c r="Z114" s="56">
        <f>'Blocking Prices'!$D$15+P114</f>
        <v>13.55</v>
      </c>
      <c r="AA114" s="56">
        <f>'Blocking Prices'!$E$15+Q114</f>
        <v>9.08</v>
      </c>
      <c r="AB114" s="56">
        <f>'Blocking Prices'!$F$15+R114</f>
        <v>7.5299999999999994</v>
      </c>
      <c r="AC114" s="56">
        <f>'Blocking Prices'!$G$15+S114</f>
        <v>6.59</v>
      </c>
      <c r="AD114" s="56">
        <f>'Blocking Prices'!$H$15+T114</f>
        <v>5.62</v>
      </c>
      <c r="AE114" s="56">
        <f>'Blocking Prices'!$I$15+U114</f>
        <v>5.17</v>
      </c>
      <c r="AF114" s="56">
        <f>'Blocking Prices'!$J$15+V114</f>
        <v>5.07</v>
      </c>
      <c r="AG114" s="56">
        <f>'Blocking Prices'!$K$15+W114</f>
        <v>4.8</v>
      </c>
      <c r="AH114" s="11"/>
      <c r="AI114" s="11"/>
      <c r="AJ114" s="11"/>
      <c r="AK114" s="11"/>
      <c r="AL114" s="12" t="s">
        <v>1137</v>
      </c>
      <c r="AM114" s="12" t="s">
        <v>1130</v>
      </c>
      <c r="AN114" s="12" t="str">
        <f>IFERROR(_xlfn.LET(_xlpm.v,INDEX('product-export-27-8-2026'!$A:$AJ,MATCH($A114,'product-export-27-8-2026'!$A:$A,0),MATCH(AN$1,'product-export-27-8-2026'!$1:$1,0)),IF(_xlpm.v="","",_xlpm.v)),"")</f>
        <v/>
      </c>
      <c r="AO114" s="12" t="str">
        <f>IFERROR(_xlfn.LET(_xlpm.v,INDEX('product-export-27-8-2026'!$A:$AJ,MATCH($A114,'product-export-27-8-2026'!$A:$A,0),MATCH(AO$1,'product-export-27-8-2026'!$1:$1,0)),IF(_xlpm.v="","",_xlpm.v)),"")</f>
        <v/>
      </c>
      <c r="AP114" s="12" t="str">
        <f>IFERROR(_xlfn.LET(_xlpm.v,INDEX('product-export-27-8-2026'!$A:$AJ,MATCH($A114,'product-export-27-8-2026'!$A:$A,0),MATCH(AP$1,'product-export-27-8-2026'!$1:$1,0)),IF(_xlpm.v="","",_xlpm.v)),"")</f>
        <v/>
      </c>
      <c r="AQ114" s="12" t="str">
        <f>IFERROR(_xlfn.LET(_xlpm.v,INDEX('product-export-27-8-2026'!$A:$AJ,MATCH($A114,'product-export-27-8-2026'!$A:$A,0),MATCH(AQ$1,'product-export-27-8-2026'!$1:$1,0)),IF(_xlpm.v="","",_xlpm.v)),"")</f>
        <v/>
      </c>
      <c r="AR114" s="12" t="str">
        <f>IFERROR(_xlfn.LET(_xlpm.v,INDEX('product-export-27-8-2026'!$A:$AJ,MATCH($A114,'product-export-27-8-2026'!$A:$A,0),MATCH(AR$1,'product-export-27-8-2026'!$1:$1,0)),IF(_xlpm.v="","",_xlpm.v)),"")</f>
        <v>Notebooks &gt; A5 Notebooks, Dorchester Collection, Notebooks &gt; Faux Leather Notebooks, Notebooks</v>
      </c>
      <c r="AS114" s="12" t="str">
        <f>IFERROR(_xlfn.LET(_xlpm.v,INDEX('product-export-27-8-2026'!$A:$AJ,MATCH($A114,'product-export-27-8-2026'!$A:$A,0),MATCH(AS$1,'product-export-27-8-2026'!$1:$1,0)),IF(_xlpm.v="","",_xlpm.v)),"")</f>
        <v>Dorchester-NewHide-A5-Notebook-Feint-Ruled</v>
      </c>
      <c r="BC114" s="15"/>
    </row>
    <row r="115" spans="1:55" s="14" customFormat="1" ht="27.6" customHeight="1" x14ac:dyDescent="0.3">
      <c r="A115" s="11">
        <v>1271</v>
      </c>
      <c r="B115" s="12" t="s">
        <v>446</v>
      </c>
      <c r="C115" s="12" t="s">
        <v>13</v>
      </c>
      <c r="D115" s="12" t="s">
        <v>181</v>
      </c>
      <c r="E115" s="13" t="s">
        <v>181</v>
      </c>
      <c r="F115" s="12" t="s">
        <v>172</v>
      </c>
      <c r="G115" s="12" t="s">
        <v>14</v>
      </c>
      <c r="H115" s="12" t="s">
        <v>1154</v>
      </c>
      <c r="I115" s="12"/>
      <c r="J115" s="12" t="s">
        <v>87</v>
      </c>
      <c r="K115" s="12" t="s">
        <v>1665</v>
      </c>
      <c r="L115" s="60">
        <v>0.48</v>
      </c>
      <c r="M115" s="11">
        <v>8.5</v>
      </c>
      <c r="N115" s="12" t="s">
        <v>173</v>
      </c>
      <c r="O115" s="56">
        <f t="shared" si="10"/>
        <v>9.86</v>
      </c>
      <c r="P115" s="56">
        <f t="shared" si="10"/>
        <v>9.15</v>
      </c>
      <c r="Q115" s="56">
        <f t="shared" si="10"/>
        <v>5.51</v>
      </c>
      <c r="R115" s="56">
        <f t="shared" si="10"/>
        <v>4.5599999999999996</v>
      </c>
      <c r="S115" s="56">
        <f t="shared" si="10"/>
        <v>3.86</v>
      </c>
      <c r="T115" s="56">
        <f t="shared" si="10"/>
        <v>3.24</v>
      </c>
      <c r="U115" s="56">
        <f t="shared" si="10"/>
        <v>2.8</v>
      </c>
      <c r="V115" s="56">
        <f t="shared" si="10"/>
        <v>2.76</v>
      </c>
      <c r="W115" s="56">
        <f t="shared" si="10"/>
        <v>2.5499999999999998</v>
      </c>
      <c r="X115" s="30" t="str" cm="1">
        <f t="array" ref="X115">IF(Y115="","",_xlfn.TEXTJOIN(";",TRUE,SUBSTITUTE($Y$1:$AG$1,"Qty ","")&amp;":"&amp;TEXT(Y115:AG115,"0.00"))&amp;";")</f>
        <v>1:15.08;10:13.55;25:9.08;50:7.53;100:6.59;250:5.62;500:5.17;750:5.07;1000:4.80;</v>
      </c>
      <c r="Y115" s="56">
        <f>'Blocking Prices'!$C$15+O115</f>
        <v>15.079999999999998</v>
      </c>
      <c r="Z115" s="56">
        <f>'Blocking Prices'!$D$15+P115</f>
        <v>13.55</v>
      </c>
      <c r="AA115" s="56">
        <f>'Blocking Prices'!$E$15+Q115</f>
        <v>9.08</v>
      </c>
      <c r="AB115" s="56">
        <f>'Blocking Prices'!$F$15+R115</f>
        <v>7.5299999999999994</v>
      </c>
      <c r="AC115" s="56">
        <f>'Blocking Prices'!$G$15+S115</f>
        <v>6.59</v>
      </c>
      <c r="AD115" s="56">
        <f>'Blocking Prices'!$H$15+T115</f>
        <v>5.62</v>
      </c>
      <c r="AE115" s="56">
        <f>'Blocking Prices'!$I$15+U115</f>
        <v>5.17</v>
      </c>
      <c r="AF115" s="56">
        <f>'Blocking Prices'!$J$15+V115</f>
        <v>5.07</v>
      </c>
      <c r="AG115" s="56">
        <f>'Blocking Prices'!$K$15+W115</f>
        <v>4.8</v>
      </c>
      <c r="AH115" s="11"/>
      <c r="AI115" s="11"/>
      <c r="AJ115" s="11"/>
      <c r="AK115" s="11"/>
      <c r="AL115" s="12" t="s">
        <v>1137</v>
      </c>
      <c r="AM115" s="12" t="s">
        <v>1130</v>
      </c>
      <c r="AN115" s="12" t="str">
        <f>IFERROR(_xlfn.LET(_xlpm.v,INDEX('product-export-27-8-2026'!$A:$AJ,MATCH($A115,'product-export-27-8-2026'!$A:$A,0),MATCH(AN$1,'product-export-27-8-2026'!$1:$1,0)),IF(_xlpm.v="","",_xlpm.v)),"")</f>
        <v/>
      </c>
      <c r="AO115" s="12" t="str">
        <f>IFERROR(_xlfn.LET(_xlpm.v,INDEX('product-export-27-8-2026'!$A:$AJ,MATCH($A115,'product-export-27-8-2026'!$A:$A,0),MATCH(AO$1,'product-export-27-8-2026'!$1:$1,0)),IF(_xlpm.v="","",_xlpm.v)),"")</f>
        <v/>
      </c>
      <c r="AP115" s="12" t="str">
        <f>IFERROR(_xlfn.LET(_xlpm.v,INDEX('product-export-27-8-2026'!$A:$AJ,MATCH($A115,'product-export-27-8-2026'!$A:$A,0),MATCH(AP$1,'product-export-27-8-2026'!$1:$1,0)),IF(_xlpm.v="","",_xlpm.v)),"")</f>
        <v/>
      </c>
      <c r="AQ115" s="12" t="str">
        <f>IFERROR(_xlfn.LET(_xlpm.v,INDEX('product-export-27-8-2026'!$A:$AJ,MATCH($A115,'product-export-27-8-2026'!$A:$A,0),MATCH(AQ$1,'product-export-27-8-2026'!$1:$1,0)),IF(_xlpm.v="","",_xlpm.v)),"")</f>
        <v/>
      </c>
      <c r="AR115" s="12" t="str">
        <f>IFERROR(_xlfn.LET(_xlpm.v,INDEX('product-export-27-8-2026'!$A:$AJ,MATCH($A115,'product-export-27-8-2026'!$A:$A,0),MATCH(AR$1,'product-export-27-8-2026'!$1:$1,0)),IF(_xlpm.v="","",_xlpm.v)),"")</f>
        <v>Notebooks &gt; A5 Notebooks, Dorchester Collection, Notebooks &gt; Faux Leather Notebooks, Notebooks</v>
      </c>
      <c r="AS115" s="12" t="str">
        <f>IFERROR(_xlfn.LET(_xlpm.v,INDEX('product-export-27-8-2026'!$A:$AJ,MATCH($A115,'product-export-27-8-2026'!$A:$A,0),MATCH(AS$1,'product-export-27-8-2026'!$1:$1,0)),IF(_xlpm.v="","",_xlpm.v)),"")</f>
        <v>Dorchester-NewHide-A5-Notebook-Feint-Ruled</v>
      </c>
      <c r="BC115" s="15"/>
    </row>
    <row r="116" spans="1:55" s="14" customFormat="1" ht="27.6" customHeight="1" x14ac:dyDescent="0.3">
      <c r="A116" s="11">
        <v>1272</v>
      </c>
      <c r="B116" s="12" t="s">
        <v>447</v>
      </c>
      <c r="C116" s="12" t="s">
        <v>13</v>
      </c>
      <c r="D116" s="12" t="s">
        <v>182</v>
      </c>
      <c r="E116" s="13" t="s">
        <v>182</v>
      </c>
      <c r="F116" s="12" t="s">
        <v>172</v>
      </c>
      <c r="G116" s="12" t="s">
        <v>14</v>
      </c>
      <c r="H116" s="12" t="s">
        <v>1157</v>
      </c>
      <c r="I116" s="12"/>
      <c r="J116" s="12" t="s">
        <v>87</v>
      </c>
      <c r="K116" s="12" t="s">
        <v>1665</v>
      </c>
      <c r="L116" s="60">
        <v>0.48</v>
      </c>
      <c r="M116" s="11">
        <v>8.5</v>
      </c>
      <c r="N116" s="12" t="s">
        <v>173</v>
      </c>
      <c r="O116" s="56">
        <f t="shared" si="10"/>
        <v>9.86</v>
      </c>
      <c r="P116" s="56">
        <f t="shared" si="10"/>
        <v>9.15</v>
      </c>
      <c r="Q116" s="56">
        <f t="shared" si="10"/>
        <v>5.51</v>
      </c>
      <c r="R116" s="56">
        <f t="shared" si="10"/>
        <v>4.5599999999999996</v>
      </c>
      <c r="S116" s="56">
        <f t="shared" si="10"/>
        <v>3.86</v>
      </c>
      <c r="T116" s="56">
        <f t="shared" si="10"/>
        <v>3.24</v>
      </c>
      <c r="U116" s="56">
        <f t="shared" si="10"/>
        <v>2.8</v>
      </c>
      <c r="V116" s="56">
        <f t="shared" si="10"/>
        <v>2.76</v>
      </c>
      <c r="W116" s="56">
        <f t="shared" si="10"/>
        <v>2.5499999999999998</v>
      </c>
      <c r="X116" s="30" t="str" cm="1">
        <f t="array" ref="X116">IF(Y116="","",_xlfn.TEXTJOIN(";",TRUE,SUBSTITUTE($Y$1:$AG$1,"Qty ","")&amp;":"&amp;TEXT(Y116:AG116,"0.00"))&amp;";")</f>
        <v>1:15.08;10:13.55;25:9.08;50:7.53;100:6.59;250:5.62;500:5.17;750:5.07;1000:4.80;</v>
      </c>
      <c r="Y116" s="56">
        <f>'Blocking Prices'!$C$15+O116</f>
        <v>15.079999999999998</v>
      </c>
      <c r="Z116" s="56">
        <f>'Blocking Prices'!$D$15+P116</f>
        <v>13.55</v>
      </c>
      <c r="AA116" s="56">
        <f>'Blocking Prices'!$E$15+Q116</f>
        <v>9.08</v>
      </c>
      <c r="AB116" s="56">
        <f>'Blocking Prices'!$F$15+R116</f>
        <v>7.5299999999999994</v>
      </c>
      <c r="AC116" s="56">
        <f>'Blocking Prices'!$G$15+S116</f>
        <v>6.59</v>
      </c>
      <c r="AD116" s="56">
        <f>'Blocking Prices'!$H$15+T116</f>
        <v>5.62</v>
      </c>
      <c r="AE116" s="56">
        <f>'Blocking Prices'!$I$15+U116</f>
        <v>5.17</v>
      </c>
      <c r="AF116" s="56">
        <f>'Blocking Prices'!$J$15+V116</f>
        <v>5.07</v>
      </c>
      <c r="AG116" s="56">
        <f>'Blocking Prices'!$K$15+W116</f>
        <v>4.8</v>
      </c>
      <c r="AH116" s="11"/>
      <c r="AI116" s="11"/>
      <c r="AJ116" s="11"/>
      <c r="AK116" s="11"/>
      <c r="AL116" s="12" t="s">
        <v>1137</v>
      </c>
      <c r="AM116" s="12" t="s">
        <v>1130</v>
      </c>
      <c r="AN116" s="12" t="str">
        <f>IFERROR(_xlfn.LET(_xlpm.v,INDEX('product-export-27-8-2026'!$A:$AJ,MATCH($A116,'product-export-27-8-2026'!$A:$A,0),MATCH(AN$1,'product-export-27-8-2026'!$1:$1,0)),IF(_xlpm.v="","",_xlpm.v)),"")</f>
        <v/>
      </c>
      <c r="AO116" s="12" t="str">
        <f>IFERROR(_xlfn.LET(_xlpm.v,INDEX('product-export-27-8-2026'!$A:$AJ,MATCH($A116,'product-export-27-8-2026'!$A:$A,0),MATCH(AO$1,'product-export-27-8-2026'!$1:$1,0)),IF(_xlpm.v="","",_xlpm.v)),"")</f>
        <v/>
      </c>
      <c r="AP116" s="12" t="str">
        <f>IFERROR(_xlfn.LET(_xlpm.v,INDEX('product-export-27-8-2026'!$A:$AJ,MATCH($A116,'product-export-27-8-2026'!$A:$A,0),MATCH(AP$1,'product-export-27-8-2026'!$1:$1,0)),IF(_xlpm.v="","",_xlpm.v)),"")</f>
        <v/>
      </c>
      <c r="AQ116" s="12" t="str">
        <f>IFERROR(_xlfn.LET(_xlpm.v,INDEX('product-export-27-8-2026'!$A:$AJ,MATCH($A116,'product-export-27-8-2026'!$A:$A,0),MATCH(AQ$1,'product-export-27-8-2026'!$1:$1,0)),IF(_xlpm.v="","",_xlpm.v)),"")</f>
        <v/>
      </c>
      <c r="AR116" s="12" t="str">
        <f>IFERROR(_xlfn.LET(_xlpm.v,INDEX('product-export-27-8-2026'!$A:$AJ,MATCH($A116,'product-export-27-8-2026'!$A:$A,0),MATCH(AR$1,'product-export-27-8-2026'!$1:$1,0)),IF(_xlpm.v="","",_xlpm.v)),"")</f>
        <v>Notebooks &gt; A5 Notebooks, Dorchester Collection, Notebooks &gt; Faux Leather Notebooks, Notebooks</v>
      </c>
      <c r="AS116" s="12" t="str">
        <f>IFERROR(_xlfn.LET(_xlpm.v,INDEX('product-export-27-8-2026'!$A:$AJ,MATCH($A116,'product-export-27-8-2026'!$A:$A,0),MATCH(AS$1,'product-export-27-8-2026'!$1:$1,0)),IF(_xlpm.v="","",_xlpm.v)),"")</f>
        <v>Dorchester-NewHide-A5-Notebook-Feint-Ruled</v>
      </c>
      <c r="BC116" s="15"/>
    </row>
    <row r="117" spans="1:55" s="14" customFormat="1" ht="27.6" customHeight="1" x14ac:dyDescent="0.3">
      <c r="A117" s="11">
        <v>1273</v>
      </c>
      <c r="B117" s="12" t="s">
        <v>448</v>
      </c>
      <c r="C117" s="12" t="s">
        <v>13</v>
      </c>
      <c r="D117" s="12" t="s">
        <v>183</v>
      </c>
      <c r="E117" s="13" t="s">
        <v>183</v>
      </c>
      <c r="F117" s="12" t="s">
        <v>184</v>
      </c>
      <c r="G117" s="12" t="s">
        <v>14</v>
      </c>
      <c r="H117" s="12" t="s">
        <v>672</v>
      </c>
      <c r="I117" s="12"/>
      <c r="J117" s="12" t="s">
        <v>87</v>
      </c>
      <c r="K117" s="12" t="s">
        <v>1665</v>
      </c>
      <c r="L117" s="60">
        <v>0.48</v>
      </c>
      <c r="M117" s="11">
        <v>8.99</v>
      </c>
      <c r="N117" s="12" t="s">
        <v>185</v>
      </c>
      <c r="O117" s="56">
        <f t="shared" si="10"/>
        <v>10.19</v>
      </c>
      <c r="P117" s="56">
        <f t="shared" si="10"/>
        <v>9.4499999999999993</v>
      </c>
      <c r="Q117" s="56">
        <f t="shared" si="10"/>
        <v>5.74</v>
      </c>
      <c r="R117" s="56">
        <f t="shared" si="10"/>
        <v>4.75</v>
      </c>
      <c r="S117" s="56">
        <f t="shared" si="10"/>
        <v>4.0199999999999996</v>
      </c>
      <c r="T117" s="56">
        <f t="shared" si="10"/>
        <v>3.37</v>
      </c>
      <c r="U117" s="56">
        <f t="shared" si="10"/>
        <v>2.91</v>
      </c>
      <c r="V117" s="56">
        <f t="shared" si="10"/>
        <v>2.86</v>
      </c>
      <c r="W117" s="56">
        <f t="shared" si="10"/>
        <v>2.64</v>
      </c>
      <c r="X117" s="30" t="str" cm="1">
        <f t="array" ref="X117">IF(Y117="","",_xlfn.TEXTJOIN(";",TRUE,SUBSTITUTE($Y$1:$AG$1,"Qty ","")&amp;":"&amp;TEXT(Y117:AG117,"0.00"))&amp;";")</f>
        <v>1:15.41;10:13.85;25:9.31;50:7.72;100:6.75;250:5.75;500:5.28;750:5.17;1000:4.89;</v>
      </c>
      <c r="Y117" s="56">
        <f>'Blocking Prices'!$C$15+O117</f>
        <v>15.41</v>
      </c>
      <c r="Z117" s="56">
        <f>'Blocking Prices'!$D$15+P117</f>
        <v>13.85</v>
      </c>
      <c r="AA117" s="56">
        <f>'Blocking Prices'!$E$15+Q117</f>
        <v>9.31</v>
      </c>
      <c r="AB117" s="56">
        <f>'Blocking Prices'!$F$15+R117</f>
        <v>7.7200000000000006</v>
      </c>
      <c r="AC117" s="56">
        <f>'Blocking Prices'!$G$15+S117</f>
        <v>6.75</v>
      </c>
      <c r="AD117" s="56">
        <f>'Blocking Prices'!$H$15+T117</f>
        <v>5.75</v>
      </c>
      <c r="AE117" s="56">
        <f>'Blocking Prices'!$I$15+U117</f>
        <v>5.28</v>
      </c>
      <c r="AF117" s="56">
        <f>'Blocking Prices'!$J$15+V117</f>
        <v>5.17</v>
      </c>
      <c r="AG117" s="56">
        <f>'Blocking Prices'!$K$15+W117</f>
        <v>4.8900000000000006</v>
      </c>
      <c r="AH117" s="11"/>
      <c r="AI117" s="11"/>
      <c r="AJ117" s="11"/>
      <c r="AK117" s="11"/>
      <c r="AL117" s="12" t="s">
        <v>1159</v>
      </c>
      <c r="AM117" s="12" t="s">
        <v>1160</v>
      </c>
      <c r="AN117" s="12" t="str">
        <f>IFERROR(_xlfn.LET(_xlpm.v,INDEX('product-export-27-8-2026'!$A:$AJ,MATCH($A117,'product-export-27-8-2026'!$A:$A,0),MATCH(AN$1,'product-export-27-8-2026'!$1:$1,0)),IF(_xlpm.v="","",_xlpm.v)),"")</f>
        <v/>
      </c>
      <c r="AO117" s="12" t="str">
        <f>IFERROR(_xlfn.LET(_xlpm.v,INDEX('product-export-27-8-2026'!$A:$AJ,MATCH($A117,'product-export-27-8-2026'!$A:$A,0),MATCH(AO$1,'product-export-27-8-2026'!$1:$1,0)),IF(_xlpm.v="","",_xlpm.v)),"")</f>
        <v/>
      </c>
      <c r="AP117" s="12" t="str">
        <f>IFERROR(_xlfn.LET(_xlpm.v,INDEX('product-export-27-8-2026'!$A:$AJ,MATCH($A117,'product-export-27-8-2026'!$A:$A,0),MATCH(AP$1,'product-export-27-8-2026'!$1:$1,0)),IF(_xlpm.v="","",_xlpm.v)),"")</f>
        <v/>
      </c>
      <c r="AQ117" s="12" t="str">
        <f>IFERROR(_xlfn.LET(_xlpm.v,INDEX('product-export-27-8-2026'!$A:$AJ,MATCH($A117,'product-export-27-8-2026'!$A:$A,0),MATCH(AQ$1,'product-export-27-8-2026'!$1:$1,0)),IF(_xlpm.v="","",_xlpm.v)),"")</f>
        <v/>
      </c>
      <c r="AR117" s="12" t="str">
        <f>IFERROR(_xlfn.LET(_xlpm.v,INDEX('product-export-27-8-2026'!$A:$AJ,MATCH($A117,'product-export-27-8-2026'!$A:$A,0),MATCH(AR$1,'product-export-27-8-2026'!$1:$1,0)),IF(_xlpm.v="","",_xlpm.v)),"")</f>
        <v>Notebooks &gt; A5 Notebooks, Notebooks &gt; Faux Leather Notebooks, Harrogate Collection, Notebooks</v>
      </c>
      <c r="AS117" s="12" t="str">
        <f>IFERROR(_xlfn.LET(_xlpm.v,INDEX('product-export-27-8-2026'!$A:$AJ,MATCH($A117,'product-export-27-8-2026'!$A:$A,0),MATCH(AS$1,'product-export-27-8-2026'!$1:$1,0)),IF(_xlpm.v="","",_xlpm.v)),"")</f>
        <v>Harrogate-Faux-Leather-A5-Notebook</v>
      </c>
      <c r="BC117" s="15"/>
    </row>
    <row r="118" spans="1:55" s="14" customFormat="1" ht="27.6" customHeight="1" x14ac:dyDescent="0.3">
      <c r="A118" s="11">
        <v>1274</v>
      </c>
      <c r="B118" s="12" t="s">
        <v>449</v>
      </c>
      <c r="C118" s="12" t="s">
        <v>13</v>
      </c>
      <c r="D118" s="12" t="s">
        <v>186</v>
      </c>
      <c r="E118" s="13" t="s">
        <v>186</v>
      </c>
      <c r="F118" s="12" t="s">
        <v>184</v>
      </c>
      <c r="G118" s="12" t="s">
        <v>14</v>
      </c>
      <c r="H118" s="12" t="s">
        <v>731</v>
      </c>
      <c r="I118" s="12"/>
      <c r="J118" s="12" t="s">
        <v>87</v>
      </c>
      <c r="K118" s="12" t="s">
        <v>1665</v>
      </c>
      <c r="L118" s="60">
        <v>0.48</v>
      </c>
      <c r="M118" s="11">
        <v>8.99</v>
      </c>
      <c r="N118" s="12" t="s">
        <v>185</v>
      </c>
      <c r="O118" s="56">
        <f t="shared" si="10"/>
        <v>10.19</v>
      </c>
      <c r="P118" s="56">
        <f t="shared" si="10"/>
        <v>9.4499999999999993</v>
      </c>
      <c r="Q118" s="56">
        <f t="shared" si="10"/>
        <v>5.74</v>
      </c>
      <c r="R118" s="56">
        <f t="shared" si="10"/>
        <v>4.75</v>
      </c>
      <c r="S118" s="56">
        <f t="shared" si="10"/>
        <v>4.0199999999999996</v>
      </c>
      <c r="T118" s="56">
        <f t="shared" si="10"/>
        <v>3.37</v>
      </c>
      <c r="U118" s="56">
        <f t="shared" si="10"/>
        <v>2.91</v>
      </c>
      <c r="V118" s="56">
        <f t="shared" si="10"/>
        <v>2.86</v>
      </c>
      <c r="W118" s="56">
        <f t="shared" si="10"/>
        <v>2.64</v>
      </c>
      <c r="X118" s="30" t="str" cm="1">
        <f t="array" ref="X118">IF(Y118="","",_xlfn.TEXTJOIN(";",TRUE,SUBSTITUTE($Y$1:$AG$1,"Qty ","")&amp;":"&amp;TEXT(Y118:AG118,"0.00"))&amp;";")</f>
        <v>1:15.41;10:13.85;25:9.31;50:7.72;100:6.75;250:5.75;500:5.28;750:5.17;1000:4.89;</v>
      </c>
      <c r="Y118" s="56">
        <f>'Blocking Prices'!$C$15+O118</f>
        <v>15.41</v>
      </c>
      <c r="Z118" s="56">
        <f>'Blocking Prices'!$D$15+P118</f>
        <v>13.85</v>
      </c>
      <c r="AA118" s="56">
        <f>'Blocking Prices'!$E$15+Q118</f>
        <v>9.31</v>
      </c>
      <c r="AB118" s="56">
        <f>'Blocking Prices'!$F$15+R118</f>
        <v>7.7200000000000006</v>
      </c>
      <c r="AC118" s="56">
        <f>'Blocking Prices'!$G$15+S118</f>
        <v>6.75</v>
      </c>
      <c r="AD118" s="56">
        <f>'Blocking Prices'!$H$15+T118</f>
        <v>5.75</v>
      </c>
      <c r="AE118" s="56">
        <f>'Blocking Prices'!$I$15+U118</f>
        <v>5.28</v>
      </c>
      <c r="AF118" s="56">
        <f>'Blocking Prices'!$J$15+V118</f>
        <v>5.17</v>
      </c>
      <c r="AG118" s="56">
        <f>'Blocking Prices'!$K$15+W118</f>
        <v>4.8900000000000006</v>
      </c>
      <c r="AH118" s="11"/>
      <c r="AI118" s="11"/>
      <c r="AJ118" s="11"/>
      <c r="AK118" s="11"/>
      <c r="AL118" s="12" t="s">
        <v>1167</v>
      </c>
      <c r="AM118" s="12" t="s">
        <v>1160</v>
      </c>
      <c r="AN118" s="12" t="str">
        <f>IFERROR(_xlfn.LET(_xlpm.v,INDEX('product-export-27-8-2026'!$A:$AJ,MATCH($A118,'product-export-27-8-2026'!$A:$A,0),MATCH(AN$1,'product-export-27-8-2026'!$1:$1,0)),IF(_xlpm.v="","",_xlpm.v)),"")</f>
        <v/>
      </c>
      <c r="AO118" s="12" t="str">
        <f>IFERROR(_xlfn.LET(_xlpm.v,INDEX('product-export-27-8-2026'!$A:$AJ,MATCH($A118,'product-export-27-8-2026'!$A:$A,0),MATCH(AO$1,'product-export-27-8-2026'!$1:$1,0)),IF(_xlpm.v="","",_xlpm.v)),"")</f>
        <v/>
      </c>
      <c r="AP118" s="12" t="str">
        <f>IFERROR(_xlfn.LET(_xlpm.v,INDEX('product-export-27-8-2026'!$A:$AJ,MATCH($A118,'product-export-27-8-2026'!$A:$A,0),MATCH(AP$1,'product-export-27-8-2026'!$1:$1,0)),IF(_xlpm.v="","",_xlpm.v)),"")</f>
        <v/>
      </c>
      <c r="AQ118" s="12" t="str">
        <f>IFERROR(_xlfn.LET(_xlpm.v,INDEX('product-export-27-8-2026'!$A:$AJ,MATCH($A118,'product-export-27-8-2026'!$A:$A,0),MATCH(AQ$1,'product-export-27-8-2026'!$1:$1,0)),IF(_xlpm.v="","",_xlpm.v)),"")</f>
        <v/>
      </c>
      <c r="AR118" s="12" t="str">
        <f>IFERROR(_xlfn.LET(_xlpm.v,INDEX('product-export-27-8-2026'!$A:$AJ,MATCH($A118,'product-export-27-8-2026'!$A:$A,0),MATCH(AR$1,'product-export-27-8-2026'!$1:$1,0)),IF(_xlpm.v="","",_xlpm.v)),"")</f>
        <v>Notebooks &gt; A5 Notebooks, Notebooks &gt; Faux Leather Notebooks, Harrogate Collection, Notebooks</v>
      </c>
      <c r="AS118" s="12" t="str">
        <f>IFERROR(_xlfn.LET(_xlpm.v,INDEX('product-export-27-8-2026'!$A:$AJ,MATCH($A118,'product-export-27-8-2026'!$A:$A,0),MATCH(AS$1,'product-export-27-8-2026'!$1:$1,0)),IF(_xlpm.v="","",_xlpm.v)),"")</f>
        <v>Harrogate-Faux-Leather-A5-Notebook</v>
      </c>
      <c r="BC118" s="15"/>
    </row>
    <row r="119" spans="1:55" s="14" customFormat="1" ht="27.6" customHeight="1" x14ac:dyDescent="0.3">
      <c r="A119" s="11">
        <v>1275</v>
      </c>
      <c r="B119" s="12" t="s">
        <v>450</v>
      </c>
      <c r="C119" s="12" t="s">
        <v>13</v>
      </c>
      <c r="D119" s="12" t="s">
        <v>187</v>
      </c>
      <c r="E119" s="13" t="s">
        <v>187</v>
      </c>
      <c r="F119" s="12" t="s">
        <v>184</v>
      </c>
      <c r="G119" s="12" t="s">
        <v>14</v>
      </c>
      <c r="H119" s="12" t="s">
        <v>696</v>
      </c>
      <c r="I119" s="12"/>
      <c r="J119" s="12" t="s">
        <v>87</v>
      </c>
      <c r="K119" s="12" t="s">
        <v>1665</v>
      </c>
      <c r="L119" s="60">
        <v>0.48</v>
      </c>
      <c r="M119" s="11">
        <v>8.99</v>
      </c>
      <c r="N119" s="12" t="s">
        <v>185</v>
      </c>
      <c r="O119" s="56">
        <f t="shared" si="10"/>
        <v>10.19</v>
      </c>
      <c r="P119" s="56">
        <f t="shared" si="10"/>
        <v>9.4499999999999993</v>
      </c>
      <c r="Q119" s="56">
        <f t="shared" si="10"/>
        <v>5.74</v>
      </c>
      <c r="R119" s="56">
        <f t="shared" si="10"/>
        <v>4.75</v>
      </c>
      <c r="S119" s="56">
        <f t="shared" si="10"/>
        <v>4.0199999999999996</v>
      </c>
      <c r="T119" s="56">
        <f t="shared" si="10"/>
        <v>3.37</v>
      </c>
      <c r="U119" s="56">
        <f t="shared" si="10"/>
        <v>2.91</v>
      </c>
      <c r="V119" s="56">
        <f t="shared" si="10"/>
        <v>2.86</v>
      </c>
      <c r="W119" s="56">
        <f t="shared" si="10"/>
        <v>2.64</v>
      </c>
      <c r="X119" s="30" t="str" cm="1">
        <f t="array" ref="X119">IF(Y119="","",_xlfn.TEXTJOIN(";",TRUE,SUBSTITUTE($Y$1:$AG$1,"Qty ","")&amp;":"&amp;TEXT(Y119:AG119,"0.00"))&amp;";")</f>
        <v>1:15.41;10:13.85;25:9.31;50:7.72;100:6.75;250:5.75;500:5.28;750:5.17;1000:4.89;</v>
      </c>
      <c r="Y119" s="56">
        <f>'Blocking Prices'!$C$15+O119</f>
        <v>15.41</v>
      </c>
      <c r="Z119" s="56">
        <f>'Blocking Prices'!$D$15+P119</f>
        <v>13.85</v>
      </c>
      <c r="AA119" s="56">
        <f>'Blocking Prices'!$E$15+Q119</f>
        <v>9.31</v>
      </c>
      <c r="AB119" s="56">
        <f>'Blocking Prices'!$F$15+R119</f>
        <v>7.7200000000000006</v>
      </c>
      <c r="AC119" s="56">
        <f>'Blocking Prices'!$G$15+S119</f>
        <v>6.75</v>
      </c>
      <c r="AD119" s="56">
        <f>'Blocking Prices'!$H$15+T119</f>
        <v>5.75</v>
      </c>
      <c r="AE119" s="56">
        <f>'Blocking Prices'!$I$15+U119</f>
        <v>5.28</v>
      </c>
      <c r="AF119" s="56">
        <f>'Blocking Prices'!$J$15+V119</f>
        <v>5.17</v>
      </c>
      <c r="AG119" s="56">
        <f>'Blocking Prices'!$K$15+W119</f>
        <v>4.8900000000000006</v>
      </c>
      <c r="AH119" s="11"/>
      <c r="AI119" s="11"/>
      <c r="AJ119" s="11"/>
      <c r="AK119" s="11"/>
      <c r="AL119" s="12" t="s">
        <v>1167</v>
      </c>
      <c r="AM119" s="12" t="s">
        <v>1160</v>
      </c>
      <c r="AN119" s="12" t="str">
        <f>IFERROR(_xlfn.LET(_xlpm.v,INDEX('product-export-27-8-2026'!$A:$AJ,MATCH($A119,'product-export-27-8-2026'!$A:$A,0),MATCH(AN$1,'product-export-27-8-2026'!$1:$1,0)),IF(_xlpm.v="","",_xlpm.v)),"")</f>
        <v/>
      </c>
      <c r="AO119" s="12" t="str">
        <f>IFERROR(_xlfn.LET(_xlpm.v,INDEX('product-export-27-8-2026'!$A:$AJ,MATCH($A119,'product-export-27-8-2026'!$A:$A,0),MATCH(AO$1,'product-export-27-8-2026'!$1:$1,0)),IF(_xlpm.v="","",_xlpm.v)),"")</f>
        <v/>
      </c>
      <c r="AP119" s="12" t="str">
        <f>IFERROR(_xlfn.LET(_xlpm.v,INDEX('product-export-27-8-2026'!$A:$AJ,MATCH($A119,'product-export-27-8-2026'!$A:$A,0),MATCH(AP$1,'product-export-27-8-2026'!$1:$1,0)),IF(_xlpm.v="","",_xlpm.v)),"")</f>
        <v/>
      </c>
      <c r="AQ119" s="12" t="str">
        <f>IFERROR(_xlfn.LET(_xlpm.v,INDEX('product-export-27-8-2026'!$A:$AJ,MATCH($A119,'product-export-27-8-2026'!$A:$A,0),MATCH(AQ$1,'product-export-27-8-2026'!$1:$1,0)),IF(_xlpm.v="","",_xlpm.v)),"")</f>
        <v/>
      </c>
      <c r="AR119" s="12" t="str">
        <f>IFERROR(_xlfn.LET(_xlpm.v,INDEX('product-export-27-8-2026'!$A:$AJ,MATCH($A119,'product-export-27-8-2026'!$A:$A,0),MATCH(AR$1,'product-export-27-8-2026'!$1:$1,0)),IF(_xlpm.v="","",_xlpm.v)),"")</f>
        <v>Notebooks &gt; A5 Notebooks, Notebooks &gt; Faux Leather Notebooks, Harrogate Collection, Notebooks</v>
      </c>
      <c r="AS119" s="12" t="str">
        <f>IFERROR(_xlfn.LET(_xlpm.v,INDEX('product-export-27-8-2026'!$A:$AJ,MATCH($A119,'product-export-27-8-2026'!$A:$A,0),MATCH(AS$1,'product-export-27-8-2026'!$1:$1,0)),IF(_xlpm.v="","",_xlpm.v)),"")</f>
        <v>Harrogate-Faux-Leather-A5-Notebook</v>
      </c>
      <c r="BC119" s="15"/>
    </row>
    <row r="120" spans="1:55" s="14" customFormat="1" ht="27.6" customHeight="1" x14ac:dyDescent="0.3">
      <c r="A120" s="11">
        <v>1276</v>
      </c>
      <c r="B120" s="12" t="s">
        <v>451</v>
      </c>
      <c r="C120" s="12" t="s">
        <v>13</v>
      </c>
      <c r="D120" s="12" t="s">
        <v>188</v>
      </c>
      <c r="E120" s="13" t="s">
        <v>188</v>
      </c>
      <c r="F120" s="12" t="s">
        <v>189</v>
      </c>
      <c r="G120" s="12" t="s">
        <v>14</v>
      </c>
      <c r="H120" s="12" t="s">
        <v>672</v>
      </c>
      <c r="I120" s="12"/>
      <c r="J120" s="12" t="s">
        <v>87</v>
      </c>
      <c r="K120" s="12" t="s">
        <v>1665</v>
      </c>
      <c r="L120" s="60">
        <v>0.48</v>
      </c>
      <c r="M120" s="11">
        <v>7.5</v>
      </c>
      <c r="N120" s="12" t="s">
        <v>190</v>
      </c>
      <c r="O120" s="56">
        <f t="shared" si="10"/>
        <v>8.92</v>
      </c>
      <c r="P120" s="56">
        <f t="shared" si="10"/>
        <v>8.31</v>
      </c>
      <c r="Q120" s="56">
        <f t="shared" si="10"/>
        <v>4.8899999999999997</v>
      </c>
      <c r="R120" s="56">
        <f t="shared" si="10"/>
        <v>4.04</v>
      </c>
      <c r="S120" s="56">
        <f t="shared" si="10"/>
        <v>3.44</v>
      </c>
      <c r="T120" s="56">
        <f t="shared" si="10"/>
        <v>2.89</v>
      </c>
      <c r="U120" s="56">
        <f t="shared" si="10"/>
        <v>2.5</v>
      </c>
      <c r="V120" s="56">
        <f t="shared" si="10"/>
        <v>2.4700000000000002</v>
      </c>
      <c r="W120" s="56">
        <f t="shared" si="10"/>
        <v>2.29</v>
      </c>
      <c r="X120" s="30" t="str" cm="1">
        <f t="array" ref="X120">IF(Y120="","",_xlfn.TEXTJOIN(";",TRUE,SUBSTITUTE($Y$1:$AG$1,"Qty ","")&amp;":"&amp;TEXT(Y120:AG120,"0.00"))&amp;";")</f>
        <v>1:14.14;10:12.71;25:8.46;50:7.01;100:6.17;250:5.27;500:4.87;750:4.78;1000:4.54;</v>
      </c>
      <c r="Y120" s="56">
        <f>'Blocking Prices'!$C$15+O120</f>
        <v>14.14</v>
      </c>
      <c r="Z120" s="56">
        <f>'Blocking Prices'!$D$15+P120</f>
        <v>12.71</v>
      </c>
      <c r="AA120" s="56">
        <f>'Blocking Prices'!$E$15+Q120</f>
        <v>8.4599999999999991</v>
      </c>
      <c r="AB120" s="56">
        <f>'Blocking Prices'!$F$15+R120</f>
        <v>7.01</v>
      </c>
      <c r="AC120" s="56">
        <f>'Blocking Prices'!$G$15+S120</f>
        <v>6.17</v>
      </c>
      <c r="AD120" s="56">
        <f>'Blocking Prices'!$H$15+T120</f>
        <v>5.27</v>
      </c>
      <c r="AE120" s="56">
        <f>'Blocking Prices'!$I$15+U120</f>
        <v>4.87</v>
      </c>
      <c r="AF120" s="56">
        <f>'Blocking Prices'!$J$15+V120</f>
        <v>4.78</v>
      </c>
      <c r="AG120" s="56">
        <f>'Blocking Prices'!$K$15+W120</f>
        <v>4.54</v>
      </c>
      <c r="AH120" s="11"/>
      <c r="AI120" s="11"/>
      <c r="AJ120" s="11"/>
      <c r="AK120" s="11"/>
      <c r="AL120" s="12" t="s">
        <v>1172</v>
      </c>
      <c r="AM120" s="12" t="s">
        <v>1173</v>
      </c>
      <c r="AN120" s="12" t="str">
        <f>IFERROR(_xlfn.LET(_xlpm.v,INDEX('product-export-27-8-2026'!$A:$AJ,MATCH($A120,'product-export-27-8-2026'!$A:$A,0),MATCH(AN$1,'product-export-27-8-2026'!$1:$1,0)),IF(_xlpm.v="","",_xlpm.v)),"")</f>
        <v/>
      </c>
      <c r="AO120" s="12" t="str">
        <f>IFERROR(_xlfn.LET(_xlpm.v,INDEX('product-export-27-8-2026'!$A:$AJ,MATCH($A120,'product-export-27-8-2026'!$A:$A,0),MATCH(AO$1,'product-export-27-8-2026'!$1:$1,0)),IF(_xlpm.v="","",_xlpm.v)),"")</f>
        <v/>
      </c>
      <c r="AP120" s="12" t="str">
        <f>IFERROR(_xlfn.LET(_xlpm.v,INDEX('product-export-27-8-2026'!$A:$AJ,MATCH($A120,'product-export-27-8-2026'!$A:$A,0),MATCH(AP$1,'product-export-27-8-2026'!$1:$1,0)),IF(_xlpm.v="","",_xlpm.v)),"")</f>
        <v/>
      </c>
      <c r="AQ120" s="12" t="str">
        <f>IFERROR(_xlfn.LET(_xlpm.v,INDEX('product-export-27-8-2026'!$A:$AJ,MATCH($A120,'product-export-27-8-2026'!$A:$A,0),MATCH(AQ$1,'product-export-27-8-2026'!$1:$1,0)),IF(_xlpm.v="","",_xlpm.v)),"")</f>
        <v/>
      </c>
      <c r="AR120" s="12" t="str">
        <f>IFERROR(_xlfn.LET(_xlpm.v,INDEX('product-export-27-8-2026'!$A:$AJ,MATCH($A120,'product-export-27-8-2026'!$A:$A,0),MATCH(AR$1,'product-export-27-8-2026'!$1:$1,0)),IF(_xlpm.v="","",_xlpm.v)),"")</f>
        <v>Notebooks &gt; A5 Notebooks, Lewes Collection, Notebooks</v>
      </c>
      <c r="AS120" s="12" t="str">
        <f>IFERROR(_xlfn.LET(_xlpm.v,INDEX('product-export-27-8-2026'!$A:$AJ,MATCH($A120,'product-export-27-8-2026'!$A:$A,0),MATCH(AS$1,'product-export-27-8-2026'!$1:$1,0)),IF(_xlpm.v="","",_xlpm.v)),"")</f>
        <v>Lewes-SmoothGrain-A5-Notebook-Feint-Ruled</v>
      </c>
      <c r="BC120" s="15"/>
    </row>
    <row r="121" spans="1:55" s="14" customFormat="1" ht="27.6" customHeight="1" x14ac:dyDescent="0.3">
      <c r="A121" s="11">
        <v>1277</v>
      </c>
      <c r="B121" s="12" t="s">
        <v>452</v>
      </c>
      <c r="C121" s="12" t="s">
        <v>13</v>
      </c>
      <c r="D121" s="12" t="s">
        <v>191</v>
      </c>
      <c r="E121" s="13" t="s">
        <v>191</v>
      </c>
      <c r="F121" s="12" t="s">
        <v>189</v>
      </c>
      <c r="G121" s="12" t="s">
        <v>14</v>
      </c>
      <c r="H121" s="12" t="s">
        <v>728</v>
      </c>
      <c r="I121" s="12"/>
      <c r="J121" s="12" t="s">
        <v>87</v>
      </c>
      <c r="K121" s="12" t="s">
        <v>1665</v>
      </c>
      <c r="L121" s="60">
        <v>0.48</v>
      </c>
      <c r="M121" s="11">
        <v>7.5</v>
      </c>
      <c r="N121" s="12" t="s">
        <v>190</v>
      </c>
      <c r="O121" s="56">
        <f t="shared" si="10"/>
        <v>8.92</v>
      </c>
      <c r="P121" s="56">
        <f t="shared" si="10"/>
        <v>8.31</v>
      </c>
      <c r="Q121" s="56">
        <f t="shared" si="10"/>
        <v>4.8899999999999997</v>
      </c>
      <c r="R121" s="56">
        <f t="shared" si="10"/>
        <v>4.04</v>
      </c>
      <c r="S121" s="56">
        <f t="shared" si="10"/>
        <v>3.44</v>
      </c>
      <c r="T121" s="56">
        <f t="shared" si="10"/>
        <v>2.89</v>
      </c>
      <c r="U121" s="56">
        <f t="shared" si="10"/>
        <v>2.5</v>
      </c>
      <c r="V121" s="56">
        <f t="shared" si="10"/>
        <v>2.4700000000000002</v>
      </c>
      <c r="W121" s="56">
        <f t="shared" si="10"/>
        <v>2.29</v>
      </c>
      <c r="X121" s="30" t="str" cm="1">
        <f t="array" ref="X121">IF(Y121="","",_xlfn.TEXTJOIN(";",TRUE,SUBSTITUTE($Y$1:$AG$1,"Qty ","")&amp;":"&amp;TEXT(Y121:AG121,"0.00"))&amp;";")</f>
        <v>1:14.14;10:12.71;25:8.46;50:7.01;100:6.17;250:5.27;500:4.87;750:4.78;1000:4.54;</v>
      </c>
      <c r="Y121" s="56">
        <f>'Blocking Prices'!$C$15+O121</f>
        <v>14.14</v>
      </c>
      <c r="Z121" s="56">
        <f>'Blocking Prices'!$D$15+P121</f>
        <v>12.71</v>
      </c>
      <c r="AA121" s="56">
        <f>'Blocking Prices'!$E$15+Q121</f>
        <v>8.4599999999999991</v>
      </c>
      <c r="AB121" s="56">
        <f>'Blocking Prices'!$F$15+R121</f>
        <v>7.01</v>
      </c>
      <c r="AC121" s="56">
        <f>'Blocking Prices'!$G$15+S121</f>
        <v>6.17</v>
      </c>
      <c r="AD121" s="56">
        <f>'Blocking Prices'!$H$15+T121</f>
        <v>5.27</v>
      </c>
      <c r="AE121" s="56">
        <f>'Blocking Prices'!$I$15+U121</f>
        <v>4.87</v>
      </c>
      <c r="AF121" s="56">
        <f>'Blocking Prices'!$J$15+V121</f>
        <v>4.78</v>
      </c>
      <c r="AG121" s="56">
        <f>'Blocking Prices'!$K$15+W121</f>
        <v>4.54</v>
      </c>
      <c r="AH121" s="11"/>
      <c r="AI121" s="11"/>
      <c r="AJ121" s="11"/>
      <c r="AK121" s="11"/>
      <c r="AL121" s="12" t="s">
        <v>1173</v>
      </c>
      <c r="AM121" s="12" t="s">
        <v>1180</v>
      </c>
      <c r="AN121" s="12" t="str">
        <f>IFERROR(_xlfn.LET(_xlpm.v,INDEX('product-export-27-8-2026'!$A:$AJ,MATCH($A121,'product-export-27-8-2026'!$A:$A,0),MATCH(AN$1,'product-export-27-8-2026'!$1:$1,0)),IF(_xlpm.v="","",_xlpm.v)),"")</f>
        <v/>
      </c>
      <c r="AO121" s="12" t="str">
        <f>IFERROR(_xlfn.LET(_xlpm.v,INDEX('product-export-27-8-2026'!$A:$AJ,MATCH($A121,'product-export-27-8-2026'!$A:$A,0),MATCH(AO$1,'product-export-27-8-2026'!$1:$1,0)),IF(_xlpm.v="","",_xlpm.v)),"")</f>
        <v/>
      </c>
      <c r="AP121" s="12" t="str">
        <f>IFERROR(_xlfn.LET(_xlpm.v,INDEX('product-export-27-8-2026'!$A:$AJ,MATCH($A121,'product-export-27-8-2026'!$A:$A,0),MATCH(AP$1,'product-export-27-8-2026'!$1:$1,0)),IF(_xlpm.v="","",_xlpm.v)),"")</f>
        <v/>
      </c>
      <c r="AQ121" s="12" t="str">
        <f>IFERROR(_xlfn.LET(_xlpm.v,INDEX('product-export-27-8-2026'!$A:$AJ,MATCH($A121,'product-export-27-8-2026'!$A:$A,0),MATCH(AQ$1,'product-export-27-8-2026'!$1:$1,0)),IF(_xlpm.v="","",_xlpm.v)),"")</f>
        <v/>
      </c>
      <c r="AR121" s="12" t="str">
        <f>IFERROR(_xlfn.LET(_xlpm.v,INDEX('product-export-27-8-2026'!$A:$AJ,MATCH($A121,'product-export-27-8-2026'!$A:$A,0),MATCH(AR$1,'product-export-27-8-2026'!$1:$1,0)),IF(_xlpm.v="","",_xlpm.v)),"")</f>
        <v>Notebooks &gt; A5 Notebooks, Lewes Collection, Notebooks</v>
      </c>
      <c r="AS121" s="12" t="str">
        <f>IFERROR(_xlfn.LET(_xlpm.v,INDEX('product-export-27-8-2026'!$A:$AJ,MATCH($A121,'product-export-27-8-2026'!$A:$A,0),MATCH(AS$1,'product-export-27-8-2026'!$1:$1,0)),IF(_xlpm.v="","",_xlpm.v)),"")</f>
        <v>Lewes-SmoothGrain-A5-Notebook-Feint-Ruled</v>
      </c>
      <c r="BC121" s="15"/>
    </row>
    <row r="122" spans="1:55" s="14" customFormat="1" ht="27.6" customHeight="1" x14ac:dyDescent="0.3">
      <c r="A122" s="11">
        <v>1281</v>
      </c>
      <c r="B122" s="12" t="s">
        <v>453</v>
      </c>
      <c r="C122" s="12" t="s">
        <v>13</v>
      </c>
      <c r="D122" s="12" t="s">
        <v>192</v>
      </c>
      <c r="E122" s="13" t="s">
        <v>192</v>
      </c>
      <c r="F122" s="12" t="s">
        <v>189</v>
      </c>
      <c r="G122" s="12" t="s">
        <v>14</v>
      </c>
      <c r="H122" s="12" t="s">
        <v>1587</v>
      </c>
      <c r="I122" s="12"/>
      <c r="J122" s="12" t="s">
        <v>87</v>
      </c>
      <c r="K122" s="12" t="s">
        <v>1665</v>
      </c>
      <c r="L122" s="60">
        <v>0.48</v>
      </c>
      <c r="M122" s="11">
        <v>7.5</v>
      </c>
      <c r="N122" s="12" t="s">
        <v>190</v>
      </c>
      <c r="O122" s="56">
        <f t="shared" ref="O122:W131" si="11">IFERROR(VALUE(_xlfn.TEXTBEFORE(_xlfn.TEXTAFTER(";"&amp;$N122,";"&amp;SUBSTITUTE(O$1,"Qty ","")&amp;":"),";")),"")</f>
        <v>8.92</v>
      </c>
      <c r="P122" s="56">
        <f t="shared" si="11"/>
        <v>8.31</v>
      </c>
      <c r="Q122" s="56">
        <f t="shared" si="11"/>
        <v>4.8899999999999997</v>
      </c>
      <c r="R122" s="56">
        <f t="shared" si="11"/>
        <v>4.04</v>
      </c>
      <c r="S122" s="56">
        <f t="shared" si="11"/>
        <v>3.44</v>
      </c>
      <c r="T122" s="56">
        <f t="shared" si="11"/>
        <v>2.89</v>
      </c>
      <c r="U122" s="56">
        <f t="shared" si="11"/>
        <v>2.5</v>
      </c>
      <c r="V122" s="56">
        <f t="shared" si="11"/>
        <v>2.4700000000000002</v>
      </c>
      <c r="W122" s="56">
        <f t="shared" si="11"/>
        <v>2.29</v>
      </c>
      <c r="X122" s="30" t="str" cm="1">
        <f t="array" ref="X122">IF(Y122="","",_xlfn.TEXTJOIN(";",TRUE,SUBSTITUTE($Y$1:$AG$1,"Qty ","")&amp;":"&amp;TEXT(Y122:AG122,"0.00"))&amp;";")</f>
        <v>1:14.14;10:12.71;25:8.46;50:7.01;100:6.17;250:5.27;500:4.87;750:4.78;1000:4.54;</v>
      </c>
      <c r="Y122" s="56">
        <f>'Blocking Prices'!$C$15+O122</f>
        <v>14.14</v>
      </c>
      <c r="Z122" s="56">
        <f>'Blocking Prices'!$D$15+P122</f>
        <v>12.71</v>
      </c>
      <c r="AA122" s="56">
        <f>'Blocking Prices'!$E$15+Q122</f>
        <v>8.4599999999999991</v>
      </c>
      <c r="AB122" s="56">
        <f>'Blocking Prices'!$F$15+R122</f>
        <v>7.01</v>
      </c>
      <c r="AC122" s="56">
        <f>'Blocking Prices'!$G$15+S122</f>
        <v>6.17</v>
      </c>
      <c r="AD122" s="56">
        <f>'Blocking Prices'!$H$15+T122</f>
        <v>5.27</v>
      </c>
      <c r="AE122" s="56">
        <f>'Blocking Prices'!$I$15+U122</f>
        <v>4.87</v>
      </c>
      <c r="AF122" s="56">
        <f>'Blocking Prices'!$J$15+V122</f>
        <v>4.78</v>
      </c>
      <c r="AG122" s="56">
        <f>'Blocking Prices'!$K$15+W122</f>
        <v>4.54</v>
      </c>
      <c r="AH122" s="11"/>
      <c r="AI122" s="11"/>
      <c r="AJ122" s="11"/>
      <c r="AK122" s="11"/>
      <c r="AL122" s="12" t="s">
        <v>1173</v>
      </c>
      <c r="AM122" s="12" t="s">
        <v>1160</v>
      </c>
      <c r="AN122" s="12" t="str">
        <f>IFERROR(_xlfn.LET(_xlpm.v,INDEX('product-export-27-8-2026'!$A:$AJ,MATCH($A122,'product-export-27-8-2026'!$A:$A,0),MATCH(AN$1,'product-export-27-8-2026'!$1:$1,0)),IF(_xlpm.v="","",_xlpm.v)),"")</f>
        <v/>
      </c>
      <c r="AO122" s="12" t="str">
        <f>IFERROR(_xlfn.LET(_xlpm.v,INDEX('product-export-27-8-2026'!$A:$AJ,MATCH($A122,'product-export-27-8-2026'!$A:$A,0),MATCH(AO$1,'product-export-27-8-2026'!$1:$1,0)),IF(_xlpm.v="","",_xlpm.v)),"")</f>
        <v/>
      </c>
      <c r="AP122" s="12" t="str">
        <f>IFERROR(_xlfn.LET(_xlpm.v,INDEX('product-export-27-8-2026'!$A:$AJ,MATCH($A122,'product-export-27-8-2026'!$A:$A,0),MATCH(AP$1,'product-export-27-8-2026'!$1:$1,0)),IF(_xlpm.v="","",_xlpm.v)),"")</f>
        <v/>
      </c>
      <c r="AQ122" s="12" t="str">
        <f>IFERROR(_xlfn.LET(_xlpm.v,INDEX('product-export-27-8-2026'!$A:$AJ,MATCH($A122,'product-export-27-8-2026'!$A:$A,0),MATCH(AQ$1,'product-export-27-8-2026'!$1:$1,0)),IF(_xlpm.v="","",_xlpm.v)),"")</f>
        <v/>
      </c>
      <c r="AR122" s="12" t="str">
        <f>IFERROR(_xlfn.LET(_xlpm.v,INDEX('product-export-27-8-2026'!$A:$AJ,MATCH($A122,'product-export-27-8-2026'!$A:$A,0),MATCH(AR$1,'product-export-27-8-2026'!$1:$1,0)),IF(_xlpm.v="","",_xlpm.v)),"")</f>
        <v>Notebooks &gt; A5 Notebooks, Lewes Collection, Notebooks</v>
      </c>
      <c r="AS122" s="12" t="str">
        <f>IFERROR(_xlfn.LET(_xlpm.v,INDEX('product-export-27-8-2026'!$A:$AJ,MATCH($A122,'product-export-27-8-2026'!$A:$A,0),MATCH(AS$1,'product-export-27-8-2026'!$1:$1,0)),IF(_xlpm.v="","",_xlpm.v)),"")</f>
        <v>Lewes-SmoothGrain-A5-Notebook-Feint-Ruled</v>
      </c>
      <c r="BC122" s="15"/>
    </row>
    <row r="123" spans="1:55" s="14" customFormat="1" ht="27.6" customHeight="1" x14ac:dyDescent="0.3">
      <c r="A123" s="11">
        <v>1283</v>
      </c>
      <c r="B123" s="12" t="s">
        <v>454</v>
      </c>
      <c r="C123" s="12" t="s">
        <v>13</v>
      </c>
      <c r="D123" s="12" t="s">
        <v>193</v>
      </c>
      <c r="E123" s="13" t="s">
        <v>193</v>
      </c>
      <c r="F123" s="12" t="s">
        <v>189</v>
      </c>
      <c r="G123" s="12" t="s">
        <v>14</v>
      </c>
      <c r="H123" s="12" t="s">
        <v>1589</v>
      </c>
      <c r="I123" s="12"/>
      <c r="J123" s="12" t="s">
        <v>87</v>
      </c>
      <c r="K123" s="12" t="s">
        <v>1665</v>
      </c>
      <c r="L123" s="60">
        <v>0.48</v>
      </c>
      <c r="M123" s="11">
        <v>7.5</v>
      </c>
      <c r="N123" s="12" t="s">
        <v>190</v>
      </c>
      <c r="O123" s="56">
        <f t="shared" si="11"/>
        <v>8.92</v>
      </c>
      <c r="P123" s="56">
        <f t="shared" si="11"/>
        <v>8.31</v>
      </c>
      <c r="Q123" s="56">
        <f t="shared" si="11"/>
        <v>4.8899999999999997</v>
      </c>
      <c r="R123" s="56">
        <f t="shared" si="11"/>
        <v>4.04</v>
      </c>
      <c r="S123" s="56">
        <f t="shared" si="11"/>
        <v>3.44</v>
      </c>
      <c r="T123" s="56">
        <f t="shared" si="11"/>
        <v>2.89</v>
      </c>
      <c r="U123" s="56">
        <f t="shared" si="11"/>
        <v>2.5</v>
      </c>
      <c r="V123" s="56">
        <f t="shared" si="11"/>
        <v>2.4700000000000002</v>
      </c>
      <c r="W123" s="56">
        <f t="shared" si="11"/>
        <v>2.29</v>
      </c>
      <c r="X123" s="30" t="str" cm="1">
        <f t="array" ref="X123">IF(Y123="","",_xlfn.TEXTJOIN(";",TRUE,SUBSTITUTE($Y$1:$AG$1,"Qty ","")&amp;":"&amp;TEXT(Y123:AG123,"0.00"))&amp;";")</f>
        <v>1:14.14;10:12.71;25:8.46;50:7.01;100:6.17;250:5.27;500:4.87;750:4.78;1000:4.54;</v>
      </c>
      <c r="Y123" s="56">
        <f>'Blocking Prices'!$C$15+O123</f>
        <v>14.14</v>
      </c>
      <c r="Z123" s="56">
        <f>'Blocking Prices'!$D$15+P123</f>
        <v>12.71</v>
      </c>
      <c r="AA123" s="56">
        <f>'Blocking Prices'!$E$15+Q123</f>
        <v>8.4599999999999991</v>
      </c>
      <c r="AB123" s="56">
        <f>'Blocking Prices'!$F$15+R123</f>
        <v>7.01</v>
      </c>
      <c r="AC123" s="56">
        <f>'Blocking Prices'!$G$15+S123</f>
        <v>6.17</v>
      </c>
      <c r="AD123" s="56">
        <f>'Blocking Prices'!$H$15+T123</f>
        <v>5.27</v>
      </c>
      <c r="AE123" s="56">
        <f>'Blocking Prices'!$I$15+U123</f>
        <v>4.87</v>
      </c>
      <c r="AF123" s="56">
        <f>'Blocking Prices'!$J$15+V123</f>
        <v>4.78</v>
      </c>
      <c r="AG123" s="56">
        <f>'Blocking Prices'!$K$15+W123</f>
        <v>4.54</v>
      </c>
      <c r="AH123" s="11"/>
      <c r="AI123" s="11"/>
      <c r="AJ123" s="11"/>
      <c r="AK123" s="11"/>
      <c r="AL123" s="12" t="s">
        <v>1173</v>
      </c>
      <c r="AM123" s="12" t="s">
        <v>1180</v>
      </c>
      <c r="AN123" s="12" t="str">
        <f>IFERROR(_xlfn.LET(_xlpm.v,INDEX('product-export-27-8-2026'!$A:$AJ,MATCH($A123,'product-export-27-8-2026'!$A:$A,0),MATCH(AN$1,'product-export-27-8-2026'!$1:$1,0)),IF(_xlpm.v="","",_xlpm.v)),"")</f>
        <v/>
      </c>
      <c r="AO123" s="12" t="str">
        <f>IFERROR(_xlfn.LET(_xlpm.v,INDEX('product-export-27-8-2026'!$A:$AJ,MATCH($A123,'product-export-27-8-2026'!$A:$A,0),MATCH(AO$1,'product-export-27-8-2026'!$1:$1,0)),IF(_xlpm.v="","",_xlpm.v)),"")</f>
        <v/>
      </c>
      <c r="AP123" s="12" t="str">
        <f>IFERROR(_xlfn.LET(_xlpm.v,INDEX('product-export-27-8-2026'!$A:$AJ,MATCH($A123,'product-export-27-8-2026'!$A:$A,0),MATCH(AP$1,'product-export-27-8-2026'!$1:$1,0)),IF(_xlpm.v="","",_xlpm.v)),"")</f>
        <v/>
      </c>
      <c r="AQ123" s="12" t="str">
        <f>IFERROR(_xlfn.LET(_xlpm.v,INDEX('product-export-27-8-2026'!$A:$AJ,MATCH($A123,'product-export-27-8-2026'!$A:$A,0),MATCH(AQ$1,'product-export-27-8-2026'!$1:$1,0)),IF(_xlpm.v="","",_xlpm.v)),"")</f>
        <v/>
      </c>
      <c r="AR123" s="12" t="str">
        <f>IFERROR(_xlfn.LET(_xlpm.v,INDEX('product-export-27-8-2026'!$A:$AJ,MATCH($A123,'product-export-27-8-2026'!$A:$A,0),MATCH(AR$1,'product-export-27-8-2026'!$1:$1,0)),IF(_xlpm.v="","",_xlpm.v)),"")</f>
        <v>Notebooks &gt; A5 Notebooks, Lewes Collection, Notebooks</v>
      </c>
      <c r="AS123" s="12" t="str">
        <f>IFERROR(_xlfn.LET(_xlpm.v,INDEX('product-export-27-8-2026'!$A:$AJ,MATCH($A123,'product-export-27-8-2026'!$A:$A,0),MATCH(AS$1,'product-export-27-8-2026'!$1:$1,0)),IF(_xlpm.v="","",_xlpm.v)),"")</f>
        <v>Lewes-SmoothGrain-A5-Notebook-Feint-Ruled</v>
      </c>
      <c r="BC123" s="15"/>
    </row>
    <row r="124" spans="1:55" s="14" customFormat="1" ht="27.6" customHeight="1" x14ac:dyDescent="0.3">
      <c r="A124" s="11">
        <v>1284</v>
      </c>
      <c r="B124" s="12" t="s">
        <v>455</v>
      </c>
      <c r="C124" s="12" t="s">
        <v>13</v>
      </c>
      <c r="D124" s="12" t="s">
        <v>194</v>
      </c>
      <c r="E124" s="13" t="s">
        <v>194</v>
      </c>
      <c r="F124" s="12" t="s">
        <v>189</v>
      </c>
      <c r="G124" s="12" t="s">
        <v>14</v>
      </c>
      <c r="H124" s="12" t="s">
        <v>1590</v>
      </c>
      <c r="I124" s="12"/>
      <c r="J124" s="12" t="s">
        <v>87</v>
      </c>
      <c r="K124" s="12" t="s">
        <v>1665</v>
      </c>
      <c r="L124" s="60">
        <v>0.48</v>
      </c>
      <c r="M124" s="11">
        <v>7.5</v>
      </c>
      <c r="N124" s="12" t="s">
        <v>190</v>
      </c>
      <c r="O124" s="56">
        <f t="shared" si="11"/>
        <v>8.92</v>
      </c>
      <c r="P124" s="56">
        <f t="shared" si="11"/>
        <v>8.31</v>
      </c>
      <c r="Q124" s="56">
        <f t="shared" si="11"/>
        <v>4.8899999999999997</v>
      </c>
      <c r="R124" s="56">
        <f t="shared" si="11"/>
        <v>4.04</v>
      </c>
      <c r="S124" s="56">
        <f t="shared" si="11"/>
        <v>3.44</v>
      </c>
      <c r="T124" s="56">
        <f t="shared" si="11"/>
        <v>2.89</v>
      </c>
      <c r="U124" s="56">
        <f t="shared" si="11"/>
        <v>2.5</v>
      </c>
      <c r="V124" s="56">
        <f t="shared" si="11"/>
        <v>2.4700000000000002</v>
      </c>
      <c r="W124" s="56">
        <f t="shared" si="11"/>
        <v>2.29</v>
      </c>
      <c r="X124" s="30" t="str" cm="1">
        <f t="array" ref="X124">IF(Y124="","",_xlfn.TEXTJOIN(";",TRUE,SUBSTITUTE($Y$1:$AG$1,"Qty ","")&amp;":"&amp;TEXT(Y124:AG124,"0.00"))&amp;";")</f>
        <v>1:14.14;10:12.71;25:8.46;50:7.01;100:6.17;250:5.27;500:4.87;750:4.78;1000:4.54;</v>
      </c>
      <c r="Y124" s="56">
        <f>'Blocking Prices'!$C$15+O124</f>
        <v>14.14</v>
      </c>
      <c r="Z124" s="56">
        <f>'Blocking Prices'!$D$15+P124</f>
        <v>12.71</v>
      </c>
      <c r="AA124" s="56">
        <f>'Blocking Prices'!$E$15+Q124</f>
        <v>8.4599999999999991</v>
      </c>
      <c r="AB124" s="56">
        <f>'Blocking Prices'!$F$15+R124</f>
        <v>7.01</v>
      </c>
      <c r="AC124" s="56">
        <f>'Blocking Prices'!$G$15+S124</f>
        <v>6.17</v>
      </c>
      <c r="AD124" s="56">
        <f>'Blocking Prices'!$H$15+T124</f>
        <v>5.27</v>
      </c>
      <c r="AE124" s="56">
        <f>'Blocking Prices'!$I$15+U124</f>
        <v>4.87</v>
      </c>
      <c r="AF124" s="56">
        <f>'Blocking Prices'!$J$15+V124</f>
        <v>4.78</v>
      </c>
      <c r="AG124" s="56">
        <f>'Blocking Prices'!$K$15+W124</f>
        <v>4.54</v>
      </c>
      <c r="AH124" s="11"/>
      <c r="AI124" s="11"/>
      <c r="AJ124" s="11"/>
      <c r="AK124" s="11"/>
      <c r="AL124" s="12" t="s">
        <v>1188</v>
      </c>
      <c r="AM124" s="12" t="s">
        <v>1180</v>
      </c>
      <c r="AN124" s="12" t="str">
        <f>IFERROR(_xlfn.LET(_xlpm.v,INDEX('product-export-27-8-2026'!$A:$AJ,MATCH($A124,'product-export-27-8-2026'!$A:$A,0),MATCH(AN$1,'product-export-27-8-2026'!$1:$1,0)),IF(_xlpm.v="","",_xlpm.v)),"")</f>
        <v/>
      </c>
      <c r="AO124" s="12" t="str">
        <f>IFERROR(_xlfn.LET(_xlpm.v,INDEX('product-export-27-8-2026'!$A:$AJ,MATCH($A124,'product-export-27-8-2026'!$A:$A,0),MATCH(AO$1,'product-export-27-8-2026'!$1:$1,0)),IF(_xlpm.v="","",_xlpm.v)),"")</f>
        <v/>
      </c>
      <c r="AP124" s="12" t="str">
        <f>IFERROR(_xlfn.LET(_xlpm.v,INDEX('product-export-27-8-2026'!$A:$AJ,MATCH($A124,'product-export-27-8-2026'!$A:$A,0),MATCH(AP$1,'product-export-27-8-2026'!$1:$1,0)),IF(_xlpm.v="","",_xlpm.v)),"")</f>
        <v/>
      </c>
      <c r="AQ124" s="12" t="str">
        <f>IFERROR(_xlfn.LET(_xlpm.v,INDEX('product-export-27-8-2026'!$A:$AJ,MATCH($A124,'product-export-27-8-2026'!$A:$A,0),MATCH(AQ$1,'product-export-27-8-2026'!$1:$1,0)),IF(_xlpm.v="","",_xlpm.v)),"")</f>
        <v/>
      </c>
      <c r="AR124" s="12" t="str">
        <f>IFERROR(_xlfn.LET(_xlpm.v,INDEX('product-export-27-8-2026'!$A:$AJ,MATCH($A124,'product-export-27-8-2026'!$A:$A,0),MATCH(AR$1,'product-export-27-8-2026'!$1:$1,0)),IF(_xlpm.v="","",_xlpm.v)),"")</f>
        <v>Notebooks &gt; A5 Notebooks, Lewes Collection, Notebooks</v>
      </c>
      <c r="AS124" s="12" t="str">
        <f>IFERROR(_xlfn.LET(_xlpm.v,INDEX('product-export-27-8-2026'!$A:$AJ,MATCH($A124,'product-export-27-8-2026'!$A:$A,0),MATCH(AS$1,'product-export-27-8-2026'!$1:$1,0)),IF(_xlpm.v="","",_xlpm.v)),"")</f>
        <v>Lewes-SmoothGrain-A5-Notebook-Feint-Ruled</v>
      </c>
      <c r="BC124" s="15"/>
    </row>
    <row r="125" spans="1:55" s="14" customFormat="1" ht="27.6" customHeight="1" x14ac:dyDescent="0.3">
      <c r="A125" s="11">
        <v>1285</v>
      </c>
      <c r="B125" s="12" t="s">
        <v>456</v>
      </c>
      <c r="C125" s="12" t="s">
        <v>13</v>
      </c>
      <c r="D125" s="12" t="s">
        <v>195</v>
      </c>
      <c r="E125" s="13" t="s">
        <v>195</v>
      </c>
      <c r="F125" s="12" t="s">
        <v>189</v>
      </c>
      <c r="G125" s="12" t="s">
        <v>14</v>
      </c>
      <c r="H125" s="12" t="s">
        <v>792</v>
      </c>
      <c r="I125" s="12"/>
      <c r="J125" s="12" t="s">
        <v>87</v>
      </c>
      <c r="K125" s="12" t="s">
        <v>1665</v>
      </c>
      <c r="L125" s="60">
        <v>0.48</v>
      </c>
      <c r="M125" s="11">
        <v>7.5</v>
      </c>
      <c r="N125" s="12" t="s">
        <v>190</v>
      </c>
      <c r="O125" s="56">
        <f t="shared" si="11"/>
        <v>8.92</v>
      </c>
      <c r="P125" s="56">
        <f t="shared" si="11"/>
        <v>8.31</v>
      </c>
      <c r="Q125" s="56">
        <f t="shared" si="11"/>
        <v>4.8899999999999997</v>
      </c>
      <c r="R125" s="56">
        <f t="shared" si="11"/>
        <v>4.04</v>
      </c>
      <c r="S125" s="56">
        <f t="shared" si="11"/>
        <v>3.44</v>
      </c>
      <c r="T125" s="56">
        <f t="shared" si="11"/>
        <v>2.89</v>
      </c>
      <c r="U125" s="56">
        <f t="shared" si="11"/>
        <v>2.5</v>
      </c>
      <c r="V125" s="56">
        <f t="shared" si="11"/>
        <v>2.4700000000000002</v>
      </c>
      <c r="W125" s="56">
        <f t="shared" si="11"/>
        <v>2.29</v>
      </c>
      <c r="X125" s="30" t="str" cm="1">
        <f t="array" ref="X125">IF(Y125="","",_xlfn.TEXTJOIN(";",TRUE,SUBSTITUTE($Y$1:$AG$1,"Qty ","")&amp;":"&amp;TEXT(Y125:AG125,"0.00"))&amp;";")</f>
        <v>1:14.14;10:12.71;25:8.46;50:7.01;100:6.17;250:5.27;500:4.87;750:4.78;1000:4.54;</v>
      </c>
      <c r="Y125" s="56">
        <f>'Blocking Prices'!$C$15+O125</f>
        <v>14.14</v>
      </c>
      <c r="Z125" s="56">
        <f>'Blocking Prices'!$D$15+P125</f>
        <v>12.71</v>
      </c>
      <c r="AA125" s="56">
        <f>'Blocking Prices'!$E$15+Q125</f>
        <v>8.4599999999999991</v>
      </c>
      <c r="AB125" s="56">
        <f>'Blocking Prices'!$F$15+R125</f>
        <v>7.01</v>
      </c>
      <c r="AC125" s="56">
        <f>'Blocking Prices'!$G$15+S125</f>
        <v>6.17</v>
      </c>
      <c r="AD125" s="56">
        <f>'Blocking Prices'!$H$15+T125</f>
        <v>5.27</v>
      </c>
      <c r="AE125" s="56">
        <f>'Blocking Prices'!$I$15+U125</f>
        <v>4.87</v>
      </c>
      <c r="AF125" s="56">
        <f>'Blocking Prices'!$J$15+V125</f>
        <v>4.78</v>
      </c>
      <c r="AG125" s="56">
        <f>'Blocking Prices'!$K$15+W125</f>
        <v>4.54</v>
      </c>
      <c r="AH125" s="11"/>
      <c r="AI125" s="11"/>
      <c r="AJ125" s="11"/>
      <c r="AK125" s="11"/>
      <c r="AL125" s="12" t="s">
        <v>1167</v>
      </c>
      <c r="AM125" s="12" t="s">
        <v>1180</v>
      </c>
      <c r="AN125" s="12" t="str">
        <f>IFERROR(_xlfn.LET(_xlpm.v,INDEX('product-export-27-8-2026'!$A:$AJ,MATCH($A125,'product-export-27-8-2026'!$A:$A,0),MATCH(AN$1,'product-export-27-8-2026'!$1:$1,0)),IF(_xlpm.v="","",_xlpm.v)),"")</f>
        <v/>
      </c>
      <c r="AO125" s="12" t="str">
        <f>IFERROR(_xlfn.LET(_xlpm.v,INDEX('product-export-27-8-2026'!$A:$AJ,MATCH($A125,'product-export-27-8-2026'!$A:$A,0),MATCH(AO$1,'product-export-27-8-2026'!$1:$1,0)),IF(_xlpm.v="","",_xlpm.v)),"")</f>
        <v/>
      </c>
      <c r="AP125" s="12" t="str">
        <f>IFERROR(_xlfn.LET(_xlpm.v,INDEX('product-export-27-8-2026'!$A:$AJ,MATCH($A125,'product-export-27-8-2026'!$A:$A,0),MATCH(AP$1,'product-export-27-8-2026'!$1:$1,0)),IF(_xlpm.v="","",_xlpm.v)),"")</f>
        <v/>
      </c>
      <c r="AQ125" s="12" t="str">
        <f>IFERROR(_xlfn.LET(_xlpm.v,INDEX('product-export-27-8-2026'!$A:$AJ,MATCH($A125,'product-export-27-8-2026'!$A:$A,0),MATCH(AQ$1,'product-export-27-8-2026'!$1:$1,0)),IF(_xlpm.v="","",_xlpm.v)),"")</f>
        <v/>
      </c>
      <c r="AR125" s="12" t="str">
        <f>IFERROR(_xlfn.LET(_xlpm.v,INDEX('product-export-27-8-2026'!$A:$AJ,MATCH($A125,'product-export-27-8-2026'!$A:$A,0),MATCH(AR$1,'product-export-27-8-2026'!$1:$1,0)),IF(_xlpm.v="","",_xlpm.v)),"")</f>
        <v>Notebooks &gt; A5 Notebooks, Lewes Collection, Notebooks</v>
      </c>
      <c r="AS125" s="12" t="str">
        <f>IFERROR(_xlfn.LET(_xlpm.v,INDEX('product-export-27-8-2026'!$A:$AJ,MATCH($A125,'product-export-27-8-2026'!$A:$A,0),MATCH(AS$1,'product-export-27-8-2026'!$1:$1,0)),IF(_xlpm.v="","",_xlpm.v)),"")</f>
        <v>Lewes-SmoothGrain-A5-Notebook-Feint-Ruled</v>
      </c>
      <c r="BC125" s="15"/>
    </row>
    <row r="126" spans="1:55" s="14" customFormat="1" ht="27.6" customHeight="1" x14ac:dyDescent="0.3">
      <c r="A126" s="11">
        <v>1286</v>
      </c>
      <c r="B126" s="12" t="s">
        <v>457</v>
      </c>
      <c r="C126" s="12" t="s">
        <v>13</v>
      </c>
      <c r="D126" s="12" t="s">
        <v>196</v>
      </c>
      <c r="E126" s="13" t="s">
        <v>196</v>
      </c>
      <c r="F126" s="12" t="s">
        <v>189</v>
      </c>
      <c r="G126" s="12" t="s">
        <v>14</v>
      </c>
      <c r="H126" s="12" t="s">
        <v>1580</v>
      </c>
      <c r="I126" s="12"/>
      <c r="J126" s="12" t="s">
        <v>87</v>
      </c>
      <c r="K126" s="12" t="s">
        <v>1665</v>
      </c>
      <c r="L126" s="60">
        <v>0.48</v>
      </c>
      <c r="M126" s="11">
        <v>7.5</v>
      </c>
      <c r="N126" s="12" t="s">
        <v>190</v>
      </c>
      <c r="O126" s="56">
        <f t="shared" si="11"/>
        <v>8.92</v>
      </c>
      <c r="P126" s="56">
        <f t="shared" si="11"/>
        <v>8.31</v>
      </c>
      <c r="Q126" s="56">
        <f t="shared" si="11"/>
        <v>4.8899999999999997</v>
      </c>
      <c r="R126" s="56">
        <f t="shared" si="11"/>
        <v>4.04</v>
      </c>
      <c r="S126" s="56">
        <f t="shared" si="11"/>
        <v>3.44</v>
      </c>
      <c r="T126" s="56">
        <f t="shared" si="11"/>
        <v>2.89</v>
      </c>
      <c r="U126" s="56">
        <f t="shared" si="11"/>
        <v>2.5</v>
      </c>
      <c r="V126" s="56">
        <f t="shared" si="11"/>
        <v>2.4700000000000002</v>
      </c>
      <c r="W126" s="56">
        <f t="shared" si="11"/>
        <v>2.29</v>
      </c>
      <c r="X126" s="30" t="str" cm="1">
        <f t="array" ref="X126">IF(Y126="","",_xlfn.TEXTJOIN(";",TRUE,SUBSTITUTE($Y$1:$AG$1,"Qty ","")&amp;":"&amp;TEXT(Y126:AG126,"0.00"))&amp;";")</f>
        <v>1:14.14;10:12.71;25:8.46;50:7.01;100:6.17;250:5.27;500:4.87;750:4.78;1000:4.54;</v>
      </c>
      <c r="Y126" s="56">
        <f>'Blocking Prices'!$C$15+O126</f>
        <v>14.14</v>
      </c>
      <c r="Z126" s="56">
        <f>'Blocking Prices'!$D$15+P126</f>
        <v>12.71</v>
      </c>
      <c r="AA126" s="56">
        <f>'Blocking Prices'!$E$15+Q126</f>
        <v>8.4599999999999991</v>
      </c>
      <c r="AB126" s="56">
        <f>'Blocking Prices'!$F$15+R126</f>
        <v>7.01</v>
      </c>
      <c r="AC126" s="56">
        <f>'Blocking Prices'!$G$15+S126</f>
        <v>6.17</v>
      </c>
      <c r="AD126" s="56">
        <f>'Blocking Prices'!$H$15+T126</f>
        <v>5.27</v>
      </c>
      <c r="AE126" s="56">
        <f>'Blocking Prices'!$I$15+U126</f>
        <v>4.87</v>
      </c>
      <c r="AF126" s="56">
        <f>'Blocking Prices'!$J$15+V126</f>
        <v>4.78</v>
      </c>
      <c r="AG126" s="56">
        <f>'Blocking Prices'!$K$15+W126</f>
        <v>4.54</v>
      </c>
      <c r="AH126" s="11"/>
      <c r="AI126" s="11"/>
      <c r="AJ126" s="11"/>
      <c r="AK126" s="11"/>
      <c r="AL126" s="12" t="s">
        <v>1167</v>
      </c>
      <c r="AM126" s="12" t="s">
        <v>1180</v>
      </c>
      <c r="AN126" s="12" t="str">
        <f>IFERROR(_xlfn.LET(_xlpm.v,INDEX('product-export-27-8-2026'!$A:$AJ,MATCH($A126,'product-export-27-8-2026'!$A:$A,0),MATCH(AN$1,'product-export-27-8-2026'!$1:$1,0)),IF(_xlpm.v="","",_xlpm.v)),"")</f>
        <v/>
      </c>
      <c r="AO126" s="12" t="str">
        <f>IFERROR(_xlfn.LET(_xlpm.v,INDEX('product-export-27-8-2026'!$A:$AJ,MATCH($A126,'product-export-27-8-2026'!$A:$A,0),MATCH(AO$1,'product-export-27-8-2026'!$1:$1,0)),IF(_xlpm.v="","",_xlpm.v)),"")</f>
        <v/>
      </c>
      <c r="AP126" s="12" t="str">
        <f>IFERROR(_xlfn.LET(_xlpm.v,INDEX('product-export-27-8-2026'!$A:$AJ,MATCH($A126,'product-export-27-8-2026'!$A:$A,0),MATCH(AP$1,'product-export-27-8-2026'!$1:$1,0)),IF(_xlpm.v="","",_xlpm.v)),"")</f>
        <v/>
      </c>
      <c r="AQ126" s="12" t="str">
        <f>IFERROR(_xlfn.LET(_xlpm.v,INDEX('product-export-27-8-2026'!$A:$AJ,MATCH($A126,'product-export-27-8-2026'!$A:$A,0),MATCH(AQ$1,'product-export-27-8-2026'!$1:$1,0)),IF(_xlpm.v="","",_xlpm.v)),"")</f>
        <v/>
      </c>
      <c r="AR126" s="12" t="str">
        <f>IFERROR(_xlfn.LET(_xlpm.v,INDEX('product-export-27-8-2026'!$A:$AJ,MATCH($A126,'product-export-27-8-2026'!$A:$A,0),MATCH(AR$1,'product-export-27-8-2026'!$1:$1,0)),IF(_xlpm.v="","",_xlpm.v)),"")</f>
        <v>Notebooks &gt; A5 Notebooks, Lewes Collection, Notebooks</v>
      </c>
      <c r="AS126" s="12" t="str">
        <f>IFERROR(_xlfn.LET(_xlpm.v,INDEX('product-export-27-8-2026'!$A:$AJ,MATCH($A126,'product-export-27-8-2026'!$A:$A,0),MATCH(AS$1,'product-export-27-8-2026'!$1:$1,0)),IF(_xlpm.v="","",_xlpm.v)),"")</f>
        <v>Lewes-SmoothGrain-A5-Notebook-Feint-Ruled</v>
      </c>
      <c r="BC126" s="15"/>
    </row>
    <row r="127" spans="1:55" s="14" customFormat="1" ht="27.6" customHeight="1" x14ac:dyDescent="0.3">
      <c r="A127" s="11">
        <v>1287</v>
      </c>
      <c r="B127" s="12" t="s">
        <v>458</v>
      </c>
      <c r="C127" s="12" t="s">
        <v>13</v>
      </c>
      <c r="D127" s="12" t="s">
        <v>197</v>
      </c>
      <c r="E127" s="13" t="s">
        <v>197</v>
      </c>
      <c r="F127" s="12" t="s">
        <v>189</v>
      </c>
      <c r="G127" s="12" t="s">
        <v>14</v>
      </c>
      <c r="H127" s="12" t="s">
        <v>87</v>
      </c>
      <c r="I127" s="12"/>
      <c r="J127" s="12" t="s">
        <v>87</v>
      </c>
      <c r="K127" s="12" t="s">
        <v>1665</v>
      </c>
      <c r="L127" s="60">
        <v>0.48</v>
      </c>
      <c r="M127" s="11">
        <v>7.5</v>
      </c>
      <c r="N127" s="12" t="s">
        <v>190</v>
      </c>
      <c r="O127" s="56">
        <f t="shared" si="11"/>
        <v>8.92</v>
      </c>
      <c r="P127" s="56">
        <f t="shared" si="11"/>
        <v>8.31</v>
      </c>
      <c r="Q127" s="56">
        <f t="shared" si="11"/>
        <v>4.8899999999999997</v>
      </c>
      <c r="R127" s="56">
        <f t="shared" si="11"/>
        <v>4.04</v>
      </c>
      <c r="S127" s="56">
        <f t="shared" si="11"/>
        <v>3.44</v>
      </c>
      <c r="T127" s="56">
        <f t="shared" si="11"/>
        <v>2.89</v>
      </c>
      <c r="U127" s="56">
        <f t="shared" si="11"/>
        <v>2.5</v>
      </c>
      <c r="V127" s="56">
        <f t="shared" si="11"/>
        <v>2.4700000000000002</v>
      </c>
      <c r="W127" s="56">
        <f t="shared" si="11"/>
        <v>2.29</v>
      </c>
      <c r="X127" s="30" t="str" cm="1">
        <f t="array" ref="X127">IF(Y127="","",_xlfn.TEXTJOIN(";",TRUE,SUBSTITUTE($Y$1:$AG$1,"Qty ","")&amp;":"&amp;TEXT(Y127:AG127,"0.00"))&amp;";")</f>
        <v>1:14.14;10:12.71;25:8.46;50:7.01;100:6.17;250:5.27;500:4.87;750:4.78;1000:4.54;</v>
      </c>
      <c r="Y127" s="56">
        <f>'Blocking Prices'!$C$15+O127</f>
        <v>14.14</v>
      </c>
      <c r="Z127" s="56">
        <f>'Blocking Prices'!$D$15+P127</f>
        <v>12.71</v>
      </c>
      <c r="AA127" s="56">
        <f>'Blocking Prices'!$E$15+Q127</f>
        <v>8.4599999999999991</v>
      </c>
      <c r="AB127" s="56">
        <f>'Blocking Prices'!$F$15+R127</f>
        <v>7.01</v>
      </c>
      <c r="AC127" s="56">
        <f>'Blocking Prices'!$G$15+S127</f>
        <v>6.17</v>
      </c>
      <c r="AD127" s="56">
        <f>'Blocking Prices'!$H$15+T127</f>
        <v>5.27</v>
      </c>
      <c r="AE127" s="56">
        <f>'Blocking Prices'!$I$15+U127</f>
        <v>4.87</v>
      </c>
      <c r="AF127" s="56">
        <f>'Blocking Prices'!$J$15+V127</f>
        <v>4.78</v>
      </c>
      <c r="AG127" s="56">
        <f>'Blocking Prices'!$K$15+W127</f>
        <v>4.54</v>
      </c>
      <c r="AH127" s="11"/>
      <c r="AI127" s="11"/>
      <c r="AJ127" s="11"/>
      <c r="AK127" s="11"/>
      <c r="AL127" s="12" t="s">
        <v>1167</v>
      </c>
      <c r="AM127" s="12" t="s">
        <v>1180</v>
      </c>
      <c r="AN127" s="12" t="str">
        <f>IFERROR(_xlfn.LET(_xlpm.v,INDEX('product-export-27-8-2026'!$A:$AJ,MATCH($A127,'product-export-27-8-2026'!$A:$A,0),MATCH(AN$1,'product-export-27-8-2026'!$1:$1,0)),IF(_xlpm.v="","",_xlpm.v)),"")</f>
        <v/>
      </c>
      <c r="AO127" s="12" t="str">
        <f>IFERROR(_xlfn.LET(_xlpm.v,INDEX('product-export-27-8-2026'!$A:$AJ,MATCH($A127,'product-export-27-8-2026'!$A:$A,0),MATCH(AO$1,'product-export-27-8-2026'!$1:$1,0)),IF(_xlpm.v="","",_xlpm.v)),"")</f>
        <v/>
      </c>
      <c r="AP127" s="12" t="str">
        <f>IFERROR(_xlfn.LET(_xlpm.v,INDEX('product-export-27-8-2026'!$A:$AJ,MATCH($A127,'product-export-27-8-2026'!$A:$A,0),MATCH(AP$1,'product-export-27-8-2026'!$1:$1,0)),IF(_xlpm.v="","",_xlpm.v)),"")</f>
        <v/>
      </c>
      <c r="AQ127" s="12" t="str">
        <f>IFERROR(_xlfn.LET(_xlpm.v,INDEX('product-export-27-8-2026'!$A:$AJ,MATCH($A127,'product-export-27-8-2026'!$A:$A,0),MATCH(AQ$1,'product-export-27-8-2026'!$1:$1,0)),IF(_xlpm.v="","",_xlpm.v)),"")</f>
        <v/>
      </c>
      <c r="AR127" s="12" t="str">
        <f>IFERROR(_xlfn.LET(_xlpm.v,INDEX('product-export-27-8-2026'!$A:$AJ,MATCH($A127,'product-export-27-8-2026'!$A:$A,0),MATCH(AR$1,'product-export-27-8-2026'!$1:$1,0)),IF(_xlpm.v="","",_xlpm.v)),"")</f>
        <v>Notebooks &gt; A5 Notebooks, Lewes Collection, Notebooks</v>
      </c>
      <c r="AS127" s="12" t="str">
        <f>IFERROR(_xlfn.LET(_xlpm.v,INDEX('product-export-27-8-2026'!$A:$AJ,MATCH($A127,'product-export-27-8-2026'!$A:$A,0),MATCH(AS$1,'product-export-27-8-2026'!$1:$1,0)),IF(_xlpm.v="","",_xlpm.v)),"")</f>
        <v>Lewes-SmoothGrain-A5-Notebook-Feint-Ruled</v>
      </c>
      <c r="BC127" s="15"/>
    </row>
    <row r="128" spans="1:55" s="14" customFormat="1" ht="27.6" customHeight="1" x14ac:dyDescent="0.3">
      <c r="A128" s="11">
        <v>1288</v>
      </c>
      <c r="B128" s="12" t="s">
        <v>459</v>
      </c>
      <c r="C128" s="12" t="s">
        <v>13</v>
      </c>
      <c r="D128" s="12" t="s">
        <v>198</v>
      </c>
      <c r="E128" s="13" t="s">
        <v>198</v>
      </c>
      <c r="F128" s="12" t="s">
        <v>189</v>
      </c>
      <c r="G128" s="12" t="s">
        <v>14</v>
      </c>
      <c r="H128" s="12" t="s">
        <v>672</v>
      </c>
      <c r="I128" s="12"/>
      <c r="J128" s="12" t="s">
        <v>87</v>
      </c>
      <c r="K128" s="12" t="s">
        <v>1665</v>
      </c>
      <c r="L128" s="60">
        <v>0.48</v>
      </c>
      <c r="M128" s="11">
        <v>7.5</v>
      </c>
      <c r="N128" s="12" t="s">
        <v>190</v>
      </c>
      <c r="O128" s="56">
        <f t="shared" si="11"/>
        <v>8.92</v>
      </c>
      <c r="P128" s="56">
        <f t="shared" si="11"/>
        <v>8.31</v>
      </c>
      <c r="Q128" s="56">
        <f t="shared" si="11"/>
        <v>4.8899999999999997</v>
      </c>
      <c r="R128" s="56">
        <f t="shared" si="11"/>
        <v>4.04</v>
      </c>
      <c r="S128" s="56">
        <f t="shared" si="11"/>
        <v>3.44</v>
      </c>
      <c r="T128" s="56">
        <f t="shared" si="11"/>
        <v>2.89</v>
      </c>
      <c r="U128" s="56">
        <f t="shared" si="11"/>
        <v>2.5</v>
      </c>
      <c r="V128" s="56">
        <f t="shared" si="11"/>
        <v>2.4700000000000002</v>
      </c>
      <c r="W128" s="56">
        <f t="shared" si="11"/>
        <v>2.29</v>
      </c>
      <c r="X128" s="30" t="str" cm="1">
        <f t="array" ref="X128">IF(Y128="","",_xlfn.TEXTJOIN(";",TRUE,SUBSTITUTE($Y$1:$AG$1,"Qty ","")&amp;":"&amp;TEXT(Y128:AG128,"0.00"))&amp;";")</f>
        <v>1:14.14;10:12.71;25:8.46;50:7.01;100:6.17;250:5.27;500:4.87;750:4.78;1000:4.54;</v>
      </c>
      <c r="Y128" s="56">
        <f>'Blocking Prices'!$C$15+O128</f>
        <v>14.14</v>
      </c>
      <c r="Z128" s="56">
        <f>'Blocking Prices'!$D$15+P128</f>
        <v>12.71</v>
      </c>
      <c r="AA128" s="56">
        <f>'Blocking Prices'!$E$15+Q128</f>
        <v>8.4599999999999991</v>
      </c>
      <c r="AB128" s="56">
        <f>'Blocking Prices'!$F$15+R128</f>
        <v>7.01</v>
      </c>
      <c r="AC128" s="56">
        <f>'Blocking Prices'!$G$15+S128</f>
        <v>6.17</v>
      </c>
      <c r="AD128" s="56">
        <f>'Blocking Prices'!$H$15+T128</f>
        <v>5.27</v>
      </c>
      <c r="AE128" s="56">
        <f>'Blocking Prices'!$I$15+U128</f>
        <v>4.87</v>
      </c>
      <c r="AF128" s="56">
        <f>'Blocking Prices'!$J$15+V128</f>
        <v>4.78</v>
      </c>
      <c r="AG128" s="56">
        <f>'Blocking Prices'!$K$15+W128</f>
        <v>4.54</v>
      </c>
      <c r="AH128" s="11"/>
      <c r="AI128" s="11"/>
      <c r="AJ128" s="11"/>
      <c r="AK128" s="11"/>
      <c r="AL128" s="12" t="s">
        <v>1197</v>
      </c>
      <c r="AM128" s="12" t="s">
        <v>1198</v>
      </c>
      <c r="AN128" s="12" t="str">
        <f>IFERROR(_xlfn.LET(_xlpm.v,INDEX('product-export-27-8-2026'!$A:$AJ,MATCH($A128,'product-export-27-8-2026'!$A:$A,0),MATCH(AN$1,'product-export-27-8-2026'!$1:$1,0)),IF(_xlpm.v="","",_xlpm.v)),"")</f>
        <v/>
      </c>
      <c r="AO128" s="12" t="str">
        <f>IFERROR(_xlfn.LET(_xlpm.v,INDEX('product-export-27-8-2026'!$A:$AJ,MATCH($A128,'product-export-27-8-2026'!$A:$A,0),MATCH(AO$1,'product-export-27-8-2026'!$1:$1,0)),IF(_xlpm.v="","",_xlpm.v)),"")</f>
        <v/>
      </c>
      <c r="AP128" s="12" t="str">
        <f>IFERROR(_xlfn.LET(_xlpm.v,INDEX('product-export-27-8-2026'!$A:$AJ,MATCH($A128,'product-export-27-8-2026'!$A:$A,0),MATCH(AP$1,'product-export-27-8-2026'!$1:$1,0)),IF(_xlpm.v="","",_xlpm.v)),"")</f>
        <v/>
      </c>
      <c r="AQ128" s="12" t="str">
        <f>IFERROR(_xlfn.LET(_xlpm.v,INDEX('product-export-27-8-2026'!$A:$AJ,MATCH($A128,'product-export-27-8-2026'!$A:$A,0),MATCH(AQ$1,'product-export-27-8-2026'!$1:$1,0)),IF(_xlpm.v="","",_xlpm.v)),"")</f>
        <v/>
      </c>
      <c r="AR128" s="12" t="str">
        <f>IFERROR(_xlfn.LET(_xlpm.v,INDEX('product-export-27-8-2026'!$A:$AJ,MATCH($A128,'product-export-27-8-2026'!$A:$A,0),MATCH(AR$1,'product-export-27-8-2026'!$1:$1,0)),IF(_xlpm.v="","",_xlpm.v)),"")</f>
        <v>Notebooks &gt; A5 Notebooks, Foil blocked, Notebooks, Richmond Collection</v>
      </c>
      <c r="AS128" s="12" t="str">
        <f>IFERROR(_xlfn.LET(_xlpm.v,INDEX('product-export-27-8-2026'!$A:$AJ,MATCH($A128,'product-export-27-8-2026'!$A:$A,0),MATCH(AS$1,'product-export-27-8-2026'!$1:$1,0)),IF(_xlpm.v="","",_xlpm.v)),"")</f>
        <v>Richmond-FineGrain-A5-Notebook-Feint-Ruled</v>
      </c>
      <c r="BC128" s="15"/>
    </row>
    <row r="129" spans="1:55" s="14" customFormat="1" ht="27.6" customHeight="1" x14ac:dyDescent="0.3">
      <c r="A129" s="11">
        <v>1293</v>
      </c>
      <c r="B129" s="12" t="s">
        <v>460</v>
      </c>
      <c r="C129" s="12" t="s">
        <v>13</v>
      </c>
      <c r="D129" s="12" t="s">
        <v>199</v>
      </c>
      <c r="E129" s="13" t="s">
        <v>199</v>
      </c>
      <c r="F129" s="12" t="s">
        <v>189</v>
      </c>
      <c r="G129" s="12" t="s">
        <v>14</v>
      </c>
      <c r="H129" s="12" t="s">
        <v>1585</v>
      </c>
      <c r="I129" s="12"/>
      <c r="J129" s="12" t="s">
        <v>87</v>
      </c>
      <c r="K129" s="12" t="s">
        <v>1665</v>
      </c>
      <c r="L129" s="60">
        <v>0.48</v>
      </c>
      <c r="M129" s="11">
        <v>7.5</v>
      </c>
      <c r="N129" s="12" t="s">
        <v>190</v>
      </c>
      <c r="O129" s="56">
        <f t="shared" si="11"/>
        <v>8.92</v>
      </c>
      <c r="P129" s="56">
        <f t="shared" si="11"/>
        <v>8.31</v>
      </c>
      <c r="Q129" s="56">
        <f t="shared" si="11"/>
        <v>4.8899999999999997</v>
      </c>
      <c r="R129" s="56">
        <f t="shared" si="11"/>
        <v>4.04</v>
      </c>
      <c r="S129" s="56">
        <f t="shared" si="11"/>
        <v>3.44</v>
      </c>
      <c r="T129" s="56">
        <f t="shared" si="11"/>
        <v>2.89</v>
      </c>
      <c r="U129" s="56">
        <f t="shared" si="11"/>
        <v>2.5</v>
      </c>
      <c r="V129" s="56">
        <f t="shared" si="11"/>
        <v>2.4700000000000002</v>
      </c>
      <c r="W129" s="56">
        <f t="shared" si="11"/>
        <v>2.29</v>
      </c>
      <c r="X129" s="30" t="str" cm="1">
        <f t="array" ref="X129">IF(Y129="","",_xlfn.TEXTJOIN(";",TRUE,SUBSTITUTE($Y$1:$AG$1,"Qty ","")&amp;":"&amp;TEXT(Y129:AG129,"0.00"))&amp;";")</f>
        <v>1:14.14;10:12.71;25:8.46;50:7.01;100:6.17;250:5.27;500:4.87;750:4.78;1000:4.54;</v>
      </c>
      <c r="Y129" s="56">
        <f>'Blocking Prices'!$C$15+O129</f>
        <v>14.14</v>
      </c>
      <c r="Z129" s="56">
        <f>'Blocking Prices'!$D$15+P129</f>
        <v>12.71</v>
      </c>
      <c r="AA129" s="56">
        <f>'Blocking Prices'!$E$15+Q129</f>
        <v>8.4599999999999991</v>
      </c>
      <c r="AB129" s="56">
        <f>'Blocking Prices'!$F$15+R129</f>
        <v>7.01</v>
      </c>
      <c r="AC129" s="56">
        <f>'Blocking Prices'!$G$15+S129</f>
        <v>6.17</v>
      </c>
      <c r="AD129" s="56">
        <f>'Blocking Prices'!$H$15+T129</f>
        <v>5.27</v>
      </c>
      <c r="AE129" s="56">
        <f>'Blocking Prices'!$I$15+U129</f>
        <v>4.87</v>
      </c>
      <c r="AF129" s="56">
        <f>'Blocking Prices'!$J$15+V129</f>
        <v>4.78</v>
      </c>
      <c r="AG129" s="56">
        <f>'Blocking Prices'!$K$15+W129</f>
        <v>4.54</v>
      </c>
      <c r="AH129" s="11"/>
      <c r="AI129" s="11"/>
      <c r="AJ129" s="11"/>
      <c r="AK129" s="11"/>
      <c r="AL129" s="12" t="s">
        <v>1204</v>
      </c>
      <c r="AM129" s="12" t="s">
        <v>1198</v>
      </c>
      <c r="AN129" s="12" t="str">
        <f>IFERROR(_xlfn.LET(_xlpm.v,INDEX('product-export-27-8-2026'!$A:$AJ,MATCH($A129,'product-export-27-8-2026'!$A:$A,0),MATCH(AN$1,'product-export-27-8-2026'!$1:$1,0)),IF(_xlpm.v="","",_xlpm.v)),"")</f>
        <v/>
      </c>
      <c r="AO129" s="12" t="str">
        <f>IFERROR(_xlfn.LET(_xlpm.v,INDEX('product-export-27-8-2026'!$A:$AJ,MATCH($A129,'product-export-27-8-2026'!$A:$A,0),MATCH(AO$1,'product-export-27-8-2026'!$1:$1,0)),IF(_xlpm.v="","",_xlpm.v)),"")</f>
        <v/>
      </c>
      <c r="AP129" s="12" t="str">
        <f>IFERROR(_xlfn.LET(_xlpm.v,INDEX('product-export-27-8-2026'!$A:$AJ,MATCH($A129,'product-export-27-8-2026'!$A:$A,0),MATCH(AP$1,'product-export-27-8-2026'!$1:$1,0)),IF(_xlpm.v="","",_xlpm.v)),"")</f>
        <v/>
      </c>
      <c r="AQ129" s="12" t="str">
        <f>IFERROR(_xlfn.LET(_xlpm.v,INDEX('product-export-27-8-2026'!$A:$AJ,MATCH($A129,'product-export-27-8-2026'!$A:$A,0),MATCH(AQ$1,'product-export-27-8-2026'!$1:$1,0)),IF(_xlpm.v="","",_xlpm.v)),"")</f>
        <v/>
      </c>
      <c r="AR129" s="12" t="str">
        <f>IFERROR(_xlfn.LET(_xlpm.v,INDEX('product-export-27-8-2026'!$A:$AJ,MATCH($A129,'product-export-27-8-2026'!$A:$A,0),MATCH(AR$1,'product-export-27-8-2026'!$1:$1,0)),IF(_xlpm.v="","",_xlpm.v)),"")</f>
        <v>Notebooks &gt; A5 Notebooks, Foil blocked, Notebooks, Richmond Collection</v>
      </c>
      <c r="AS129" s="12" t="str">
        <f>IFERROR(_xlfn.LET(_xlpm.v,INDEX('product-export-27-8-2026'!$A:$AJ,MATCH($A129,'product-export-27-8-2026'!$A:$A,0),MATCH(AS$1,'product-export-27-8-2026'!$1:$1,0)),IF(_xlpm.v="","",_xlpm.v)),"")</f>
        <v>Richmond-FineGrain-A5-Notebook-Feint-Ruled</v>
      </c>
      <c r="BC129" s="15"/>
    </row>
    <row r="130" spans="1:55" s="14" customFormat="1" ht="27.6" customHeight="1" x14ac:dyDescent="0.3">
      <c r="A130" s="11">
        <v>1294</v>
      </c>
      <c r="B130" s="12" t="s">
        <v>461</v>
      </c>
      <c r="C130" s="12" t="s">
        <v>13</v>
      </c>
      <c r="D130" s="12" t="s">
        <v>200</v>
      </c>
      <c r="E130" s="13" t="s">
        <v>200</v>
      </c>
      <c r="F130" s="12" t="s">
        <v>189</v>
      </c>
      <c r="G130" s="12" t="s">
        <v>14</v>
      </c>
      <c r="H130" s="12" t="s">
        <v>696</v>
      </c>
      <c r="I130" s="12"/>
      <c r="J130" s="12" t="s">
        <v>87</v>
      </c>
      <c r="K130" s="12" t="s">
        <v>1665</v>
      </c>
      <c r="L130" s="60">
        <v>0.48</v>
      </c>
      <c r="M130" s="11">
        <v>7.5</v>
      </c>
      <c r="N130" s="12" t="s">
        <v>190</v>
      </c>
      <c r="O130" s="56">
        <f t="shared" si="11"/>
        <v>8.92</v>
      </c>
      <c r="P130" s="56">
        <f t="shared" si="11"/>
        <v>8.31</v>
      </c>
      <c r="Q130" s="56">
        <f t="shared" si="11"/>
        <v>4.8899999999999997</v>
      </c>
      <c r="R130" s="56">
        <f t="shared" si="11"/>
        <v>4.04</v>
      </c>
      <c r="S130" s="56">
        <f t="shared" si="11"/>
        <v>3.44</v>
      </c>
      <c r="T130" s="56">
        <f t="shared" si="11"/>
        <v>2.89</v>
      </c>
      <c r="U130" s="56">
        <f t="shared" si="11"/>
        <v>2.5</v>
      </c>
      <c r="V130" s="56">
        <f t="shared" si="11"/>
        <v>2.4700000000000002</v>
      </c>
      <c r="W130" s="56">
        <f t="shared" si="11"/>
        <v>2.29</v>
      </c>
      <c r="X130" s="30" t="str" cm="1">
        <f t="array" ref="X130">IF(Y130="","",_xlfn.TEXTJOIN(";",TRUE,SUBSTITUTE($Y$1:$AG$1,"Qty ","")&amp;":"&amp;TEXT(Y130:AG130,"0.00"))&amp;";")</f>
        <v>1:14.14;10:12.71;25:8.46;50:7.01;100:6.17;250:5.27;500:4.87;750:4.78;1000:4.54;</v>
      </c>
      <c r="Y130" s="56">
        <f>'Blocking Prices'!$C$15+O130</f>
        <v>14.14</v>
      </c>
      <c r="Z130" s="56">
        <f>'Blocking Prices'!$D$15+P130</f>
        <v>12.71</v>
      </c>
      <c r="AA130" s="56">
        <f>'Blocking Prices'!$E$15+Q130</f>
        <v>8.4599999999999991</v>
      </c>
      <c r="AB130" s="56">
        <f>'Blocking Prices'!$F$15+R130</f>
        <v>7.01</v>
      </c>
      <c r="AC130" s="56">
        <f>'Blocking Prices'!$G$15+S130</f>
        <v>6.17</v>
      </c>
      <c r="AD130" s="56">
        <f>'Blocking Prices'!$H$15+T130</f>
        <v>5.27</v>
      </c>
      <c r="AE130" s="56">
        <f>'Blocking Prices'!$I$15+U130</f>
        <v>4.87</v>
      </c>
      <c r="AF130" s="56">
        <f>'Blocking Prices'!$J$15+V130</f>
        <v>4.78</v>
      </c>
      <c r="AG130" s="56">
        <f>'Blocking Prices'!$K$15+W130</f>
        <v>4.54</v>
      </c>
      <c r="AH130" s="11"/>
      <c r="AI130" s="11"/>
      <c r="AJ130" s="11"/>
      <c r="AK130" s="11"/>
      <c r="AL130" s="12" t="s">
        <v>1197</v>
      </c>
      <c r="AM130" s="12" t="s">
        <v>1198</v>
      </c>
      <c r="AN130" s="12" t="str">
        <f>IFERROR(_xlfn.LET(_xlpm.v,INDEX('product-export-27-8-2026'!$A:$AJ,MATCH($A130,'product-export-27-8-2026'!$A:$A,0),MATCH(AN$1,'product-export-27-8-2026'!$1:$1,0)),IF(_xlpm.v="","",_xlpm.v)),"")</f>
        <v/>
      </c>
      <c r="AO130" s="12" t="str">
        <f>IFERROR(_xlfn.LET(_xlpm.v,INDEX('product-export-27-8-2026'!$A:$AJ,MATCH($A130,'product-export-27-8-2026'!$A:$A,0),MATCH(AO$1,'product-export-27-8-2026'!$1:$1,0)),IF(_xlpm.v="","",_xlpm.v)),"")</f>
        <v/>
      </c>
      <c r="AP130" s="12" t="str">
        <f>IFERROR(_xlfn.LET(_xlpm.v,INDEX('product-export-27-8-2026'!$A:$AJ,MATCH($A130,'product-export-27-8-2026'!$A:$A,0),MATCH(AP$1,'product-export-27-8-2026'!$1:$1,0)),IF(_xlpm.v="","",_xlpm.v)),"")</f>
        <v/>
      </c>
      <c r="AQ130" s="12" t="str">
        <f>IFERROR(_xlfn.LET(_xlpm.v,INDEX('product-export-27-8-2026'!$A:$AJ,MATCH($A130,'product-export-27-8-2026'!$A:$A,0),MATCH(AQ$1,'product-export-27-8-2026'!$1:$1,0)),IF(_xlpm.v="","",_xlpm.v)),"")</f>
        <v/>
      </c>
      <c r="AR130" s="12" t="str">
        <f>IFERROR(_xlfn.LET(_xlpm.v,INDEX('product-export-27-8-2026'!$A:$AJ,MATCH($A130,'product-export-27-8-2026'!$A:$A,0),MATCH(AR$1,'product-export-27-8-2026'!$1:$1,0)),IF(_xlpm.v="","",_xlpm.v)),"")</f>
        <v>Notebooks &gt; A5 Notebooks, Foil blocked, Notebooks, Richmond Collection</v>
      </c>
      <c r="AS130" s="12" t="str">
        <f>IFERROR(_xlfn.LET(_xlpm.v,INDEX('product-export-27-8-2026'!$A:$AJ,MATCH($A130,'product-export-27-8-2026'!$A:$A,0),MATCH(AS$1,'product-export-27-8-2026'!$1:$1,0)),IF(_xlpm.v="","",_xlpm.v)),"")</f>
        <v>Richmond-FineGrain-A5-Notebook-Feint-Ruled</v>
      </c>
      <c r="BC130" s="15"/>
    </row>
    <row r="131" spans="1:55" s="14" customFormat="1" ht="27.6" customHeight="1" x14ac:dyDescent="0.3">
      <c r="A131" s="11">
        <v>1295</v>
      </c>
      <c r="B131" s="12" t="s">
        <v>462</v>
      </c>
      <c r="C131" s="12" t="s">
        <v>13</v>
      </c>
      <c r="D131" s="12" t="s">
        <v>201</v>
      </c>
      <c r="E131" s="13" t="s">
        <v>201</v>
      </c>
      <c r="F131" s="12" t="s">
        <v>189</v>
      </c>
      <c r="G131" s="12" t="s">
        <v>14</v>
      </c>
      <c r="H131" s="12" t="s">
        <v>893</v>
      </c>
      <c r="I131" s="12"/>
      <c r="J131" s="12" t="s">
        <v>87</v>
      </c>
      <c r="K131" s="12" t="s">
        <v>1665</v>
      </c>
      <c r="L131" s="60">
        <v>0.48</v>
      </c>
      <c r="M131" s="11">
        <v>7.5</v>
      </c>
      <c r="N131" s="12" t="s">
        <v>190</v>
      </c>
      <c r="O131" s="56">
        <f t="shared" si="11"/>
        <v>8.92</v>
      </c>
      <c r="P131" s="56">
        <f t="shared" si="11"/>
        <v>8.31</v>
      </c>
      <c r="Q131" s="56">
        <f t="shared" si="11"/>
        <v>4.8899999999999997</v>
      </c>
      <c r="R131" s="56">
        <f t="shared" si="11"/>
        <v>4.04</v>
      </c>
      <c r="S131" s="56">
        <f t="shared" si="11"/>
        <v>3.44</v>
      </c>
      <c r="T131" s="56">
        <f t="shared" si="11"/>
        <v>2.89</v>
      </c>
      <c r="U131" s="56">
        <f t="shared" si="11"/>
        <v>2.5</v>
      </c>
      <c r="V131" s="56">
        <f t="shared" si="11"/>
        <v>2.4700000000000002</v>
      </c>
      <c r="W131" s="56">
        <f t="shared" si="11"/>
        <v>2.29</v>
      </c>
      <c r="X131" s="30" t="str" cm="1">
        <f t="array" ref="X131">IF(Y131="","",_xlfn.TEXTJOIN(";",TRUE,SUBSTITUTE($Y$1:$AG$1,"Qty ","")&amp;":"&amp;TEXT(Y131:AG131,"0.00"))&amp;";")</f>
        <v>1:14.14;10:12.71;25:8.46;50:7.01;100:6.17;250:5.27;500:4.87;750:4.78;1000:4.54;</v>
      </c>
      <c r="Y131" s="56">
        <f>'Blocking Prices'!$C$15+O131</f>
        <v>14.14</v>
      </c>
      <c r="Z131" s="56">
        <f>'Blocking Prices'!$D$15+P131</f>
        <v>12.71</v>
      </c>
      <c r="AA131" s="56">
        <f>'Blocking Prices'!$E$15+Q131</f>
        <v>8.4599999999999991</v>
      </c>
      <c r="AB131" s="56">
        <f>'Blocking Prices'!$F$15+R131</f>
        <v>7.01</v>
      </c>
      <c r="AC131" s="56">
        <f>'Blocking Prices'!$G$15+S131</f>
        <v>6.17</v>
      </c>
      <c r="AD131" s="56">
        <f>'Blocking Prices'!$H$15+T131</f>
        <v>5.27</v>
      </c>
      <c r="AE131" s="56">
        <f>'Blocking Prices'!$I$15+U131</f>
        <v>4.87</v>
      </c>
      <c r="AF131" s="56">
        <f>'Blocking Prices'!$J$15+V131</f>
        <v>4.78</v>
      </c>
      <c r="AG131" s="56">
        <f>'Blocking Prices'!$K$15+W131</f>
        <v>4.54</v>
      </c>
      <c r="AH131" s="11"/>
      <c r="AI131" s="11"/>
      <c r="AJ131" s="11"/>
      <c r="AK131" s="11"/>
      <c r="AL131" s="12" t="s">
        <v>1197</v>
      </c>
      <c r="AM131" s="12" t="s">
        <v>1198</v>
      </c>
      <c r="AN131" s="12" t="str">
        <f>IFERROR(_xlfn.LET(_xlpm.v,INDEX('product-export-27-8-2026'!$A:$AJ,MATCH($A131,'product-export-27-8-2026'!$A:$A,0),MATCH(AN$1,'product-export-27-8-2026'!$1:$1,0)),IF(_xlpm.v="","",_xlpm.v)),"")</f>
        <v/>
      </c>
      <c r="AO131" s="12" t="str">
        <f>IFERROR(_xlfn.LET(_xlpm.v,INDEX('product-export-27-8-2026'!$A:$AJ,MATCH($A131,'product-export-27-8-2026'!$A:$A,0),MATCH(AO$1,'product-export-27-8-2026'!$1:$1,0)),IF(_xlpm.v="","",_xlpm.v)),"")</f>
        <v/>
      </c>
      <c r="AP131" s="12" t="str">
        <f>IFERROR(_xlfn.LET(_xlpm.v,INDEX('product-export-27-8-2026'!$A:$AJ,MATCH($A131,'product-export-27-8-2026'!$A:$A,0),MATCH(AP$1,'product-export-27-8-2026'!$1:$1,0)),IF(_xlpm.v="","",_xlpm.v)),"")</f>
        <v/>
      </c>
      <c r="AQ131" s="12" t="str">
        <f>IFERROR(_xlfn.LET(_xlpm.v,INDEX('product-export-27-8-2026'!$A:$AJ,MATCH($A131,'product-export-27-8-2026'!$A:$A,0),MATCH(AQ$1,'product-export-27-8-2026'!$1:$1,0)),IF(_xlpm.v="","",_xlpm.v)),"")</f>
        <v/>
      </c>
      <c r="AR131" s="12" t="str">
        <f>IFERROR(_xlfn.LET(_xlpm.v,INDEX('product-export-27-8-2026'!$A:$AJ,MATCH($A131,'product-export-27-8-2026'!$A:$A,0),MATCH(AR$1,'product-export-27-8-2026'!$1:$1,0)),IF(_xlpm.v="","",_xlpm.v)),"")</f>
        <v>Notebooks &gt; A5 Notebooks, Foil blocked, Notebooks, Richmond Collection</v>
      </c>
      <c r="AS131" s="12" t="str">
        <f>IFERROR(_xlfn.LET(_xlpm.v,INDEX('product-export-27-8-2026'!$A:$AJ,MATCH($A131,'product-export-27-8-2026'!$A:$A,0),MATCH(AS$1,'product-export-27-8-2026'!$1:$1,0)),IF(_xlpm.v="","",_xlpm.v)),"")</f>
        <v>Richmond-FineGrain-A5-Notebook-Feint-Ruled</v>
      </c>
      <c r="BC131" s="15"/>
    </row>
    <row r="132" spans="1:55" s="14" customFormat="1" ht="27.6" customHeight="1" x14ac:dyDescent="0.3">
      <c r="A132" s="11">
        <v>1296</v>
      </c>
      <c r="B132" s="12" t="s">
        <v>463</v>
      </c>
      <c r="C132" s="12" t="s">
        <v>13</v>
      </c>
      <c r="D132" s="12" t="s">
        <v>202</v>
      </c>
      <c r="E132" s="13" t="s">
        <v>202</v>
      </c>
      <c r="F132" s="12" t="s">
        <v>189</v>
      </c>
      <c r="G132" s="12" t="s">
        <v>14</v>
      </c>
      <c r="H132" s="12" t="s">
        <v>792</v>
      </c>
      <c r="I132" s="12"/>
      <c r="J132" s="12" t="s">
        <v>87</v>
      </c>
      <c r="K132" s="12" t="s">
        <v>1665</v>
      </c>
      <c r="L132" s="60">
        <v>0.48</v>
      </c>
      <c r="M132" s="11">
        <v>7.5</v>
      </c>
      <c r="N132" s="12" t="s">
        <v>190</v>
      </c>
      <c r="O132" s="56">
        <f t="shared" ref="O132:W141" si="12">IFERROR(VALUE(_xlfn.TEXTBEFORE(_xlfn.TEXTAFTER(";"&amp;$N132,";"&amp;SUBSTITUTE(O$1,"Qty ","")&amp;":"),";")),"")</f>
        <v>8.92</v>
      </c>
      <c r="P132" s="56">
        <f t="shared" si="12"/>
        <v>8.31</v>
      </c>
      <c r="Q132" s="56">
        <f t="shared" si="12"/>
        <v>4.8899999999999997</v>
      </c>
      <c r="R132" s="56">
        <f t="shared" si="12"/>
        <v>4.04</v>
      </c>
      <c r="S132" s="56">
        <f t="shared" si="12"/>
        <v>3.44</v>
      </c>
      <c r="T132" s="56">
        <f t="shared" si="12"/>
        <v>2.89</v>
      </c>
      <c r="U132" s="56">
        <f t="shared" si="12"/>
        <v>2.5</v>
      </c>
      <c r="V132" s="56">
        <f t="shared" si="12"/>
        <v>2.4700000000000002</v>
      </c>
      <c r="W132" s="56">
        <f t="shared" si="12"/>
        <v>2.29</v>
      </c>
      <c r="X132" s="30" t="str" cm="1">
        <f t="array" ref="X132">IF(Y132="","",_xlfn.TEXTJOIN(";",TRUE,SUBSTITUTE($Y$1:$AG$1,"Qty ","")&amp;":"&amp;TEXT(Y132:AG132,"0.00"))&amp;";")</f>
        <v>1:14.14;10:12.71;25:8.46;50:7.01;100:6.17;250:5.27;500:4.87;750:4.78;1000:4.54;</v>
      </c>
      <c r="Y132" s="56">
        <f>'Blocking Prices'!$C$15+O132</f>
        <v>14.14</v>
      </c>
      <c r="Z132" s="56">
        <f>'Blocking Prices'!$D$15+P132</f>
        <v>12.71</v>
      </c>
      <c r="AA132" s="56">
        <f>'Blocking Prices'!$E$15+Q132</f>
        <v>8.4599999999999991</v>
      </c>
      <c r="AB132" s="56">
        <f>'Blocking Prices'!$F$15+R132</f>
        <v>7.01</v>
      </c>
      <c r="AC132" s="56">
        <f>'Blocking Prices'!$G$15+S132</f>
        <v>6.17</v>
      </c>
      <c r="AD132" s="56">
        <f>'Blocking Prices'!$H$15+T132</f>
        <v>5.27</v>
      </c>
      <c r="AE132" s="56">
        <f>'Blocking Prices'!$I$15+U132</f>
        <v>4.87</v>
      </c>
      <c r="AF132" s="56">
        <f>'Blocking Prices'!$J$15+V132</f>
        <v>4.78</v>
      </c>
      <c r="AG132" s="56">
        <f>'Blocking Prices'!$K$15+W132</f>
        <v>4.54</v>
      </c>
      <c r="AH132" s="11"/>
      <c r="AI132" s="11"/>
      <c r="AJ132" s="11"/>
      <c r="AK132" s="11"/>
      <c r="AL132" s="12" t="s">
        <v>1197</v>
      </c>
      <c r="AM132" s="12" t="s">
        <v>1198</v>
      </c>
      <c r="AN132" s="12" t="str">
        <f>IFERROR(_xlfn.LET(_xlpm.v,INDEX('product-export-27-8-2026'!$A:$AJ,MATCH($A132,'product-export-27-8-2026'!$A:$A,0),MATCH(AN$1,'product-export-27-8-2026'!$1:$1,0)),IF(_xlpm.v="","",_xlpm.v)),"")</f>
        <v/>
      </c>
      <c r="AO132" s="12" t="str">
        <f>IFERROR(_xlfn.LET(_xlpm.v,INDEX('product-export-27-8-2026'!$A:$AJ,MATCH($A132,'product-export-27-8-2026'!$A:$A,0),MATCH(AO$1,'product-export-27-8-2026'!$1:$1,0)),IF(_xlpm.v="","",_xlpm.v)),"")</f>
        <v/>
      </c>
      <c r="AP132" s="12" t="str">
        <f>IFERROR(_xlfn.LET(_xlpm.v,INDEX('product-export-27-8-2026'!$A:$AJ,MATCH($A132,'product-export-27-8-2026'!$A:$A,0),MATCH(AP$1,'product-export-27-8-2026'!$1:$1,0)),IF(_xlpm.v="","",_xlpm.v)),"")</f>
        <v/>
      </c>
      <c r="AQ132" s="12" t="str">
        <f>IFERROR(_xlfn.LET(_xlpm.v,INDEX('product-export-27-8-2026'!$A:$AJ,MATCH($A132,'product-export-27-8-2026'!$A:$A,0),MATCH(AQ$1,'product-export-27-8-2026'!$1:$1,0)),IF(_xlpm.v="","",_xlpm.v)),"")</f>
        <v/>
      </c>
      <c r="AR132" s="12" t="str">
        <f>IFERROR(_xlfn.LET(_xlpm.v,INDEX('product-export-27-8-2026'!$A:$AJ,MATCH($A132,'product-export-27-8-2026'!$A:$A,0),MATCH(AR$1,'product-export-27-8-2026'!$1:$1,0)),IF(_xlpm.v="","",_xlpm.v)),"")</f>
        <v>Notebooks &gt; A5 Notebooks, Foil blocked, Notebooks, Richmond Collection</v>
      </c>
      <c r="AS132" s="12" t="str">
        <f>IFERROR(_xlfn.LET(_xlpm.v,INDEX('product-export-27-8-2026'!$A:$AJ,MATCH($A132,'product-export-27-8-2026'!$A:$A,0),MATCH(AS$1,'product-export-27-8-2026'!$1:$1,0)),IF(_xlpm.v="","",_xlpm.v)),"")</f>
        <v>Richmond-FineGrain-A5-Notebook-Feint-Ruled</v>
      </c>
      <c r="BC132" s="15"/>
    </row>
    <row r="133" spans="1:55" s="14" customFormat="1" ht="27.6" customHeight="1" x14ac:dyDescent="0.3">
      <c r="A133" s="11">
        <v>1312</v>
      </c>
      <c r="B133" s="12" t="s">
        <v>464</v>
      </c>
      <c r="C133" s="12" t="s">
        <v>13</v>
      </c>
      <c r="D133" s="12" t="s">
        <v>203</v>
      </c>
      <c r="E133" s="13" t="s">
        <v>203</v>
      </c>
      <c r="F133" s="12" t="s">
        <v>204</v>
      </c>
      <c r="G133" s="12" t="s">
        <v>14</v>
      </c>
      <c r="H133" s="12" t="s">
        <v>672</v>
      </c>
      <c r="I133" s="12"/>
      <c r="J133" s="12" t="s">
        <v>87</v>
      </c>
      <c r="K133" s="12" t="s">
        <v>1665</v>
      </c>
      <c r="L133" s="60">
        <v>0.48</v>
      </c>
      <c r="M133" s="11">
        <v>18.5</v>
      </c>
      <c r="N133" s="12" t="s">
        <v>205</v>
      </c>
      <c r="O133" s="56">
        <f t="shared" si="12"/>
        <v>17.36</v>
      </c>
      <c r="P133" s="56">
        <f t="shared" si="12"/>
        <v>15.81</v>
      </c>
      <c r="Q133" s="56">
        <f t="shared" si="12"/>
        <v>10.51</v>
      </c>
      <c r="R133" s="56">
        <f t="shared" si="12"/>
        <v>8.73</v>
      </c>
      <c r="S133" s="56">
        <f t="shared" si="12"/>
        <v>7.28</v>
      </c>
      <c r="T133" s="56">
        <f t="shared" si="12"/>
        <v>6.03</v>
      </c>
      <c r="U133" s="56">
        <f t="shared" si="12"/>
        <v>5.17</v>
      </c>
      <c r="V133" s="56">
        <f t="shared" si="12"/>
        <v>5.05</v>
      </c>
      <c r="W133" s="56">
        <f t="shared" si="12"/>
        <v>4.63</v>
      </c>
      <c r="X133" s="30" t="str" cm="1">
        <f t="array" ref="X133">IF(Y133="","",_xlfn.TEXTJOIN(";",TRUE,SUBSTITUTE($Y$1:$AG$1,"Qty ","")&amp;":"&amp;TEXT(Y133:AG133,"0.00"))&amp;";")</f>
        <v>1:22.58;10:20.21;25:14.08;50:11.70;100:10.01;250:8.41;500:7.54;750:7.36;1000:6.88;</v>
      </c>
      <c r="Y133" s="56">
        <f>'Blocking Prices'!$C$15+O133</f>
        <v>22.58</v>
      </c>
      <c r="Z133" s="56">
        <f>'Blocking Prices'!$D$15+P133</f>
        <v>20.21</v>
      </c>
      <c r="AA133" s="56">
        <f>'Blocking Prices'!$E$15+Q133</f>
        <v>14.08</v>
      </c>
      <c r="AB133" s="56">
        <f>'Blocking Prices'!$F$15+R133</f>
        <v>11.700000000000001</v>
      </c>
      <c r="AC133" s="56">
        <f>'Blocking Prices'!$G$15+S133</f>
        <v>10.01</v>
      </c>
      <c r="AD133" s="56">
        <f>'Blocking Prices'!$H$15+T133</f>
        <v>8.41</v>
      </c>
      <c r="AE133" s="56">
        <f>'Blocking Prices'!$I$15+U133</f>
        <v>7.54</v>
      </c>
      <c r="AF133" s="56">
        <f>'Blocking Prices'!$J$15+V133</f>
        <v>7.3599999999999994</v>
      </c>
      <c r="AG133" s="56">
        <f>'Blocking Prices'!$K$15+W133</f>
        <v>6.88</v>
      </c>
      <c r="AH133" s="11"/>
      <c r="AI133" s="11"/>
      <c r="AJ133" s="11"/>
      <c r="AK133" s="11"/>
      <c r="AL133" s="12" t="s">
        <v>1214</v>
      </c>
      <c r="AM133" s="12" t="s">
        <v>1215</v>
      </c>
      <c r="AN133" s="12" t="str">
        <f>IFERROR(_xlfn.LET(_xlpm.v,INDEX('product-export-27-8-2026'!$A:$AJ,MATCH($A133,'product-export-27-8-2026'!$A:$A,0),MATCH(AN$1,'product-export-27-8-2026'!$1:$1,0)),IF(_xlpm.v="","",_xlpm.v)),"")</f>
        <v/>
      </c>
      <c r="AO133" s="12" t="str">
        <f>IFERROR(_xlfn.LET(_xlpm.v,INDEX('product-export-27-8-2026'!$A:$AJ,MATCH($A133,'product-export-27-8-2026'!$A:$A,0),MATCH(AO$1,'product-export-27-8-2026'!$1:$1,0)),IF(_xlpm.v="","",_xlpm.v)),"")</f>
        <v/>
      </c>
      <c r="AP133" s="12" t="str">
        <f>IFERROR(_xlfn.LET(_xlpm.v,INDEX('product-export-27-8-2026'!$A:$AJ,MATCH($A133,'product-export-27-8-2026'!$A:$A,0),MATCH(AP$1,'product-export-27-8-2026'!$1:$1,0)),IF(_xlpm.v="","",_xlpm.v)),"")</f>
        <v/>
      </c>
      <c r="AQ133" s="12" t="str">
        <f>IFERROR(_xlfn.LET(_xlpm.v,INDEX('product-export-27-8-2026'!$A:$AJ,MATCH($A133,'product-export-27-8-2026'!$A:$A,0),MATCH(AQ$1,'product-export-27-8-2026'!$1:$1,0)),IF(_xlpm.v="","",_xlpm.v)),"")</f>
        <v/>
      </c>
      <c r="AR133" s="12" t="str">
        <f>IFERROR(_xlfn.LET(_xlpm.v,INDEX('product-export-27-8-2026'!$A:$AJ,MATCH($A133,'product-export-27-8-2026'!$A:$A,0),MATCH(AR$1,'product-export-27-8-2026'!$1:$1,0)),IF(_xlpm.v="","",_xlpm.v)),"")</f>
        <v>Notebooks &gt; A5 Notebooks, Conscious Collection, Notebooks &gt; Eco, Notebooks</v>
      </c>
      <c r="AS133" s="12" t="str">
        <f>IFERROR(_xlfn.LET(_xlpm.v,INDEX('product-export-27-8-2026'!$A:$AJ,MATCH($A133,'product-export-27-8-2026'!$A:$A,0),MATCH(AS$1,'product-export-27-8-2026'!$1:$1,0)),IF(_xlpm.v="","",_xlpm.v)),"")</f>
        <v>peel-A5-Notebook</v>
      </c>
      <c r="BC133" s="15"/>
    </row>
    <row r="134" spans="1:55" s="14" customFormat="1" ht="27.6" customHeight="1" x14ac:dyDescent="0.3">
      <c r="A134" s="11">
        <v>1323</v>
      </c>
      <c r="B134" s="12" t="s">
        <v>465</v>
      </c>
      <c r="C134" s="12" t="s">
        <v>13</v>
      </c>
      <c r="D134" s="12" t="s">
        <v>206</v>
      </c>
      <c r="E134" s="13" t="s">
        <v>206</v>
      </c>
      <c r="F134" s="12" t="s">
        <v>204</v>
      </c>
      <c r="G134" s="12" t="s">
        <v>14</v>
      </c>
      <c r="H134" s="12" t="s">
        <v>696</v>
      </c>
      <c r="I134" s="12"/>
      <c r="J134" s="12" t="s">
        <v>87</v>
      </c>
      <c r="K134" s="12" t="s">
        <v>1665</v>
      </c>
      <c r="L134" s="60">
        <v>0.48</v>
      </c>
      <c r="M134" s="11">
        <v>18.5</v>
      </c>
      <c r="N134" s="12" t="s">
        <v>205</v>
      </c>
      <c r="O134" s="56">
        <f t="shared" si="12"/>
        <v>17.36</v>
      </c>
      <c r="P134" s="56">
        <f t="shared" si="12"/>
        <v>15.81</v>
      </c>
      <c r="Q134" s="56">
        <f t="shared" si="12"/>
        <v>10.51</v>
      </c>
      <c r="R134" s="56">
        <f t="shared" si="12"/>
        <v>8.73</v>
      </c>
      <c r="S134" s="56">
        <f t="shared" si="12"/>
        <v>7.28</v>
      </c>
      <c r="T134" s="56">
        <f t="shared" si="12"/>
        <v>6.03</v>
      </c>
      <c r="U134" s="56">
        <f t="shared" si="12"/>
        <v>5.17</v>
      </c>
      <c r="V134" s="56">
        <f t="shared" si="12"/>
        <v>5.05</v>
      </c>
      <c r="W134" s="56">
        <f t="shared" si="12"/>
        <v>4.63</v>
      </c>
      <c r="X134" s="30" t="str" cm="1">
        <f t="array" ref="X134">IF(Y134="","",_xlfn.TEXTJOIN(";",TRUE,SUBSTITUTE($Y$1:$AG$1,"Qty ","")&amp;":"&amp;TEXT(Y134:AG134,"0.00"))&amp;";")</f>
        <v>1:22.58;10:20.21;25:14.08;50:11.70;100:10.01;250:8.41;500:7.54;750:7.36;1000:6.88;</v>
      </c>
      <c r="Y134" s="56">
        <f>'Blocking Prices'!$C$15+O134</f>
        <v>22.58</v>
      </c>
      <c r="Z134" s="56">
        <f>'Blocking Prices'!$D$15+P134</f>
        <v>20.21</v>
      </c>
      <c r="AA134" s="56">
        <f>'Blocking Prices'!$E$15+Q134</f>
        <v>14.08</v>
      </c>
      <c r="AB134" s="56">
        <f>'Blocking Prices'!$F$15+R134</f>
        <v>11.700000000000001</v>
      </c>
      <c r="AC134" s="56">
        <f>'Blocking Prices'!$G$15+S134</f>
        <v>10.01</v>
      </c>
      <c r="AD134" s="56">
        <f>'Blocking Prices'!$H$15+T134</f>
        <v>8.41</v>
      </c>
      <c r="AE134" s="56">
        <f>'Blocking Prices'!$I$15+U134</f>
        <v>7.54</v>
      </c>
      <c r="AF134" s="56">
        <f>'Blocking Prices'!$J$15+V134</f>
        <v>7.3599999999999994</v>
      </c>
      <c r="AG134" s="56">
        <f>'Blocking Prices'!$K$15+W134</f>
        <v>6.88</v>
      </c>
      <c r="AH134" s="11"/>
      <c r="AI134" s="11"/>
      <c r="AJ134" s="11"/>
      <c r="AK134" s="11"/>
      <c r="AL134" s="12" t="s">
        <v>1223</v>
      </c>
      <c r="AM134" s="12" t="s">
        <v>1215</v>
      </c>
      <c r="AN134" s="12" t="str">
        <f>IFERROR(_xlfn.LET(_xlpm.v,INDEX('product-export-27-8-2026'!$A:$AJ,MATCH($A134,'product-export-27-8-2026'!$A:$A,0),MATCH(AN$1,'product-export-27-8-2026'!$1:$1,0)),IF(_xlpm.v="","",_xlpm.v)),"")</f>
        <v/>
      </c>
      <c r="AO134" s="12" t="str">
        <f>IFERROR(_xlfn.LET(_xlpm.v,INDEX('product-export-27-8-2026'!$A:$AJ,MATCH($A134,'product-export-27-8-2026'!$A:$A,0),MATCH(AO$1,'product-export-27-8-2026'!$1:$1,0)),IF(_xlpm.v="","",_xlpm.v)),"")</f>
        <v/>
      </c>
      <c r="AP134" s="12" t="str">
        <f>IFERROR(_xlfn.LET(_xlpm.v,INDEX('product-export-27-8-2026'!$A:$AJ,MATCH($A134,'product-export-27-8-2026'!$A:$A,0),MATCH(AP$1,'product-export-27-8-2026'!$1:$1,0)),IF(_xlpm.v="","",_xlpm.v)),"")</f>
        <v/>
      </c>
      <c r="AQ134" s="12" t="str">
        <f>IFERROR(_xlfn.LET(_xlpm.v,INDEX('product-export-27-8-2026'!$A:$AJ,MATCH($A134,'product-export-27-8-2026'!$A:$A,0),MATCH(AQ$1,'product-export-27-8-2026'!$1:$1,0)),IF(_xlpm.v="","",_xlpm.v)),"")</f>
        <v/>
      </c>
      <c r="AR134" s="12" t="str">
        <f>IFERROR(_xlfn.LET(_xlpm.v,INDEX('product-export-27-8-2026'!$A:$AJ,MATCH($A134,'product-export-27-8-2026'!$A:$A,0),MATCH(AR$1,'product-export-27-8-2026'!$1:$1,0)),IF(_xlpm.v="","",_xlpm.v)),"")</f>
        <v>Notebooks &gt; A5 Notebooks, Conscious Collection, Notebooks &gt; Eco, Notebooks</v>
      </c>
      <c r="AS134" s="12" t="str">
        <f>IFERROR(_xlfn.LET(_xlpm.v,INDEX('product-export-27-8-2026'!$A:$AJ,MATCH($A134,'product-export-27-8-2026'!$A:$A,0),MATCH(AS$1,'product-export-27-8-2026'!$1:$1,0)),IF(_xlpm.v="","",_xlpm.v)),"")</f>
        <v>peel-A5-Notebook</v>
      </c>
      <c r="BC134" s="15"/>
    </row>
    <row r="135" spans="1:55" s="14" customFormat="1" ht="27.6" customHeight="1" x14ac:dyDescent="0.3">
      <c r="A135" s="11">
        <v>1325</v>
      </c>
      <c r="B135" s="12" t="s">
        <v>466</v>
      </c>
      <c r="C135" s="12" t="s">
        <v>13</v>
      </c>
      <c r="D135" s="12" t="s">
        <v>207</v>
      </c>
      <c r="E135" s="13" t="s">
        <v>207</v>
      </c>
      <c r="F135" s="12" t="s">
        <v>204</v>
      </c>
      <c r="G135" s="12" t="s">
        <v>14</v>
      </c>
      <c r="H135" s="12" t="s">
        <v>1587</v>
      </c>
      <c r="I135" s="12"/>
      <c r="J135" s="12" t="s">
        <v>87</v>
      </c>
      <c r="K135" s="12" t="s">
        <v>1665</v>
      </c>
      <c r="L135" s="60">
        <v>0.48</v>
      </c>
      <c r="M135" s="11">
        <v>18.5</v>
      </c>
      <c r="N135" s="12" t="s">
        <v>205</v>
      </c>
      <c r="O135" s="56">
        <f t="shared" si="12"/>
        <v>17.36</v>
      </c>
      <c r="P135" s="56">
        <f t="shared" si="12"/>
        <v>15.81</v>
      </c>
      <c r="Q135" s="56">
        <f t="shared" si="12"/>
        <v>10.51</v>
      </c>
      <c r="R135" s="56">
        <f t="shared" si="12"/>
        <v>8.73</v>
      </c>
      <c r="S135" s="56">
        <f t="shared" si="12"/>
        <v>7.28</v>
      </c>
      <c r="T135" s="56">
        <f t="shared" si="12"/>
        <v>6.03</v>
      </c>
      <c r="U135" s="56">
        <f t="shared" si="12"/>
        <v>5.17</v>
      </c>
      <c r="V135" s="56">
        <f t="shared" si="12"/>
        <v>5.05</v>
      </c>
      <c r="W135" s="56">
        <f t="shared" si="12"/>
        <v>4.63</v>
      </c>
      <c r="X135" s="30" t="str" cm="1">
        <f t="array" ref="X135">IF(Y135="","",_xlfn.TEXTJOIN(";",TRUE,SUBSTITUTE($Y$1:$AG$1,"Qty ","")&amp;":"&amp;TEXT(Y135:AG135,"0.00"))&amp;";")</f>
        <v>1:22.58;10:20.21;25:14.08;50:11.70;100:10.01;250:8.41;500:7.54;750:7.36;1000:6.88;</v>
      </c>
      <c r="Y135" s="56">
        <f>'Blocking Prices'!$C$15+O135</f>
        <v>22.58</v>
      </c>
      <c r="Z135" s="56">
        <f>'Blocking Prices'!$D$15+P135</f>
        <v>20.21</v>
      </c>
      <c r="AA135" s="56">
        <f>'Blocking Prices'!$E$15+Q135</f>
        <v>14.08</v>
      </c>
      <c r="AB135" s="56">
        <f>'Blocking Prices'!$F$15+R135</f>
        <v>11.700000000000001</v>
      </c>
      <c r="AC135" s="56">
        <f>'Blocking Prices'!$G$15+S135</f>
        <v>10.01</v>
      </c>
      <c r="AD135" s="56">
        <f>'Blocking Prices'!$H$15+T135</f>
        <v>8.41</v>
      </c>
      <c r="AE135" s="56">
        <f>'Blocking Prices'!$I$15+U135</f>
        <v>7.54</v>
      </c>
      <c r="AF135" s="56">
        <f>'Blocking Prices'!$J$15+V135</f>
        <v>7.3599999999999994</v>
      </c>
      <c r="AG135" s="56">
        <f>'Blocking Prices'!$K$15+W135</f>
        <v>6.88</v>
      </c>
      <c r="AH135" s="11"/>
      <c r="AI135" s="11"/>
      <c r="AJ135" s="11"/>
      <c r="AK135" s="11"/>
      <c r="AL135" s="12" t="s">
        <v>1223</v>
      </c>
      <c r="AM135" s="12" t="s">
        <v>1215</v>
      </c>
      <c r="AN135" s="12" t="str">
        <f>IFERROR(_xlfn.LET(_xlpm.v,INDEX('product-export-27-8-2026'!$A:$AJ,MATCH($A135,'product-export-27-8-2026'!$A:$A,0),MATCH(AN$1,'product-export-27-8-2026'!$1:$1,0)),IF(_xlpm.v="","",_xlpm.v)),"")</f>
        <v/>
      </c>
      <c r="AO135" s="12" t="str">
        <f>IFERROR(_xlfn.LET(_xlpm.v,INDEX('product-export-27-8-2026'!$A:$AJ,MATCH($A135,'product-export-27-8-2026'!$A:$A,0),MATCH(AO$1,'product-export-27-8-2026'!$1:$1,0)),IF(_xlpm.v="","",_xlpm.v)),"")</f>
        <v/>
      </c>
      <c r="AP135" s="12" t="str">
        <f>IFERROR(_xlfn.LET(_xlpm.v,INDEX('product-export-27-8-2026'!$A:$AJ,MATCH($A135,'product-export-27-8-2026'!$A:$A,0),MATCH(AP$1,'product-export-27-8-2026'!$1:$1,0)),IF(_xlpm.v="","",_xlpm.v)),"")</f>
        <v/>
      </c>
      <c r="AQ135" s="12" t="str">
        <f>IFERROR(_xlfn.LET(_xlpm.v,INDEX('product-export-27-8-2026'!$A:$AJ,MATCH($A135,'product-export-27-8-2026'!$A:$A,0),MATCH(AQ$1,'product-export-27-8-2026'!$1:$1,0)),IF(_xlpm.v="","",_xlpm.v)),"")</f>
        <v/>
      </c>
      <c r="AR135" s="12" t="str">
        <f>IFERROR(_xlfn.LET(_xlpm.v,INDEX('product-export-27-8-2026'!$A:$AJ,MATCH($A135,'product-export-27-8-2026'!$A:$A,0),MATCH(AR$1,'product-export-27-8-2026'!$1:$1,0)),IF(_xlpm.v="","",_xlpm.v)),"")</f>
        <v>Notebooks &gt; A5 Notebooks, Conscious Collection, Notebooks &gt; Eco, Notebooks</v>
      </c>
      <c r="AS135" s="12" t="str">
        <f>IFERROR(_xlfn.LET(_xlpm.v,INDEX('product-export-27-8-2026'!$A:$AJ,MATCH($A135,'product-export-27-8-2026'!$A:$A,0),MATCH(AS$1,'product-export-27-8-2026'!$1:$1,0)),IF(_xlpm.v="","",_xlpm.v)),"")</f>
        <v>peel-A5-Notebook</v>
      </c>
      <c r="BC135" s="15"/>
    </row>
    <row r="136" spans="1:55" s="14" customFormat="1" ht="27.6" customHeight="1" x14ac:dyDescent="0.3">
      <c r="A136" s="11">
        <v>1332</v>
      </c>
      <c r="B136" s="12" t="s">
        <v>467</v>
      </c>
      <c r="C136" s="12" t="s">
        <v>13</v>
      </c>
      <c r="D136" s="12" t="s">
        <v>208</v>
      </c>
      <c r="E136" s="13" t="s">
        <v>208</v>
      </c>
      <c r="F136" s="12" t="s">
        <v>204</v>
      </c>
      <c r="G136" s="12" t="s">
        <v>14</v>
      </c>
      <c r="H136" s="12" t="s">
        <v>792</v>
      </c>
      <c r="I136" s="12"/>
      <c r="J136" s="12" t="s">
        <v>87</v>
      </c>
      <c r="K136" s="12" t="s">
        <v>1665</v>
      </c>
      <c r="L136" s="60">
        <v>0.48</v>
      </c>
      <c r="M136" s="11">
        <v>18.5</v>
      </c>
      <c r="N136" s="12" t="s">
        <v>205</v>
      </c>
      <c r="O136" s="56">
        <f t="shared" si="12"/>
        <v>17.36</v>
      </c>
      <c r="P136" s="56">
        <f t="shared" si="12"/>
        <v>15.81</v>
      </c>
      <c r="Q136" s="56">
        <f t="shared" si="12"/>
        <v>10.51</v>
      </c>
      <c r="R136" s="56">
        <f t="shared" si="12"/>
        <v>8.73</v>
      </c>
      <c r="S136" s="56">
        <f t="shared" si="12"/>
        <v>7.28</v>
      </c>
      <c r="T136" s="56">
        <f t="shared" si="12"/>
        <v>6.03</v>
      </c>
      <c r="U136" s="56">
        <f t="shared" si="12"/>
        <v>5.17</v>
      </c>
      <c r="V136" s="56">
        <f t="shared" si="12"/>
        <v>5.05</v>
      </c>
      <c r="W136" s="56">
        <f t="shared" si="12"/>
        <v>4.63</v>
      </c>
      <c r="X136" s="30" t="str" cm="1">
        <f t="array" ref="X136">IF(Y136="","",_xlfn.TEXTJOIN(";",TRUE,SUBSTITUTE($Y$1:$AG$1,"Qty ","")&amp;":"&amp;TEXT(Y136:AG136,"0.00"))&amp;";")</f>
        <v>1:22.58;10:20.21;25:14.08;50:11.70;100:10.01;250:8.41;500:7.54;750:7.36;1000:6.88;</v>
      </c>
      <c r="Y136" s="56">
        <f>'Blocking Prices'!$C$15+O136</f>
        <v>22.58</v>
      </c>
      <c r="Z136" s="56">
        <f>'Blocking Prices'!$D$15+P136</f>
        <v>20.21</v>
      </c>
      <c r="AA136" s="56">
        <f>'Blocking Prices'!$E$15+Q136</f>
        <v>14.08</v>
      </c>
      <c r="AB136" s="56">
        <f>'Blocking Prices'!$F$15+R136</f>
        <v>11.700000000000001</v>
      </c>
      <c r="AC136" s="56">
        <f>'Blocking Prices'!$G$15+S136</f>
        <v>10.01</v>
      </c>
      <c r="AD136" s="56">
        <f>'Blocking Prices'!$H$15+T136</f>
        <v>8.41</v>
      </c>
      <c r="AE136" s="56">
        <f>'Blocking Prices'!$I$15+U136</f>
        <v>7.54</v>
      </c>
      <c r="AF136" s="56">
        <f>'Blocking Prices'!$J$15+V136</f>
        <v>7.3599999999999994</v>
      </c>
      <c r="AG136" s="56">
        <f>'Blocking Prices'!$K$15+W136</f>
        <v>6.88</v>
      </c>
      <c r="AH136" s="11"/>
      <c r="AI136" s="11"/>
      <c r="AJ136" s="11"/>
      <c r="AK136" s="11"/>
      <c r="AL136" s="12" t="s">
        <v>1214</v>
      </c>
      <c r="AM136" s="12" t="s">
        <v>1215</v>
      </c>
      <c r="AN136" s="12" t="str">
        <f>IFERROR(_xlfn.LET(_xlpm.v,INDEX('product-export-27-8-2026'!$A:$AJ,MATCH($A136,'product-export-27-8-2026'!$A:$A,0),MATCH(AN$1,'product-export-27-8-2026'!$1:$1,0)),IF(_xlpm.v="","",_xlpm.v)),"")</f>
        <v/>
      </c>
      <c r="AO136" s="12" t="str">
        <f>IFERROR(_xlfn.LET(_xlpm.v,INDEX('product-export-27-8-2026'!$A:$AJ,MATCH($A136,'product-export-27-8-2026'!$A:$A,0),MATCH(AO$1,'product-export-27-8-2026'!$1:$1,0)),IF(_xlpm.v="","",_xlpm.v)),"")</f>
        <v/>
      </c>
      <c r="AP136" s="12" t="str">
        <f>IFERROR(_xlfn.LET(_xlpm.v,INDEX('product-export-27-8-2026'!$A:$AJ,MATCH($A136,'product-export-27-8-2026'!$A:$A,0),MATCH(AP$1,'product-export-27-8-2026'!$1:$1,0)),IF(_xlpm.v="","",_xlpm.v)),"")</f>
        <v/>
      </c>
      <c r="AQ136" s="12" t="str">
        <f>IFERROR(_xlfn.LET(_xlpm.v,INDEX('product-export-27-8-2026'!$A:$AJ,MATCH($A136,'product-export-27-8-2026'!$A:$A,0),MATCH(AQ$1,'product-export-27-8-2026'!$1:$1,0)),IF(_xlpm.v="","",_xlpm.v)),"")</f>
        <v/>
      </c>
      <c r="AR136" s="12" t="str">
        <f>IFERROR(_xlfn.LET(_xlpm.v,INDEX('product-export-27-8-2026'!$A:$AJ,MATCH($A136,'product-export-27-8-2026'!$A:$A,0),MATCH(AR$1,'product-export-27-8-2026'!$1:$1,0)),IF(_xlpm.v="","",_xlpm.v)),"")</f>
        <v>Notebooks &gt; A5 Notebooks, Conscious Collection, Notebooks &gt; Eco, Notebooks</v>
      </c>
      <c r="AS136" s="12" t="str">
        <f>IFERROR(_xlfn.LET(_xlpm.v,INDEX('product-export-27-8-2026'!$A:$AJ,MATCH($A136,'product-export-27-8-2026'!$A:$A,0),MATCH(AS$1,'product-export-27-8-2026'!$1:$1,0)),IF(_xlpm.v="","",_xlpm.v)),"")</f>
        <v>peel-A5-Notebook</v>
      </c>
      <c r="BC136" s="15"/>
    </row>
    <row r="137" spans="1:55" s="14" customFormat="1" ht="27.6" customHeight="1" x14ac:dyDescent="0.3">
      <c r="A137" s="11">
        <v>1335</v>
      </c>
      <c r="B137" s="12" t="s">
        <v>468</v>
      </c>
      <c r="C137" s="12" t="s">
        <v>13</v>
      </c>
      <c r="D137" s="12" t="s">
        <v>209</v>
      </c>
      <c r="E137" s="13" t="s">
        <v>209</v>
      </c>
      <c r="F137" s="12" t="s">
        <v>204</v>
      </c>
      <c r="G137" s="12" t="s">
        <v>14</v>
      </c>
      <c r="H137" s="12" t="s">
        <v>796</v>
      </c>
      <c r="I137" s="12"/>
      <c r="J137" s="12" t="s">
        <v>87</v>
      </c>
      <c r="K137" s="12" t="s">
        <v>1665</v>
      </c>
      <c r="L137" s="60">
        <v>0.48</v>
      </c>
      <c r="M137" s="11">
        <v>18.5</v>
      </c>
      <c r="N137" s="12" t="s">
        <v>205</v>
      </c>
      <c r="O137" s="56">
        <f t="shared" si="12"/>
        <v>17.36</v>
      </c>
      <c r="P137" s="56">
        <f t="shared" si="12"/>
        <v>15.81</v>
      </c>
      <c r="Q137" s="56">
        <f t="shared" si="12"/>
        <v>10.51</v>
      </c>
      <c r="R137" s="56">
        <f t="shared" si="12"/>
        <v>8.73</v>
      </c>
      <c r="S137" s="56">
        <f t="shared" si="12"/>
        <v>7.28</v>
      </c>
      <c r="T137" s="56">
        <f t="shared" si="12"/>
        <v>6.03</v>
      </c>
      <c r="U137" s="56">
        <f t="shared" si="12"/>
        <v>5.17</v>
      </c>
      <c r="V137" s="56">
        <f t="shared" si="12"/>
        <v>5.05</v>
      </c>
      <c r="W137" s="56">
        <f t="shared" si="12"/>
        <v>4.63</v>
      </c>
      <c r="X137" s="30" t="str" cm="1">
        <f t="array" ref="X137">IF(Y137="","",_xlfn.TEXTJOIN(";",TRUE,SUBSTITUTE($Y$1:$AG$1,"Qty ","")&amp;":"&amp;TEXT(Y137:AG137,"0.00"))&amp;";")</f>
        <v>1:22.58;10:20.21;25:14.08;50:11.70;100:10.01;250:8.41;500:7.54;750:7.36;1000:6.88;</v>
      </c>
      <c r="Y137" s="56">
        <f>'Blocking Prices'!$C$15+O137</f>
        <v>22.58</v>
      </c>
      <c r="Z137" s="56">
        <f>'Blocking Prices'!$D$15+P137</f>
        <v>20.21</v>
      </c>
      <c r="AA137" s="56">
        <f>'Blocking Prices'!$E$15+Q137</f>
        <v>14.08</v>
      </c>
      <c r="AB137" s="56">
        <f>'Blocking Prices'!$F$15+R137</f>
        <v>11.700000000000001</v>
      </c>
      <c r="AC137" s="56">
        <f>'Blocking Prices'!$G$15+S137</f>
        <v>10.01</v>
      </c>
      <c r="AD137" s="56">
        <f>'Blocking Prices'!$H$15+T137</f>
        <v>8.41</v>
      </c>
      <c r="AE137" s="56">
        <f>'Blocking Prices'!$I$15+U137</f>
        <v>7.54</v>
      </c>
      <c r="AF137" s="56">
        <f>'Blocking Prices'!$J$15+V137</f>
        <v>7.3599999999999994</v>
      </c>
      <c r="AG137" s="56">
        <f>'Blocking Prices'!$K$15+W137</f>
        <v>6.88</v>
      </c>
      <c r="AH137" s="11"/>
      <c r="AI137" s="11"/>
      <c r="AJ137" s="11"/>
      <c r="AK137" s="11"/>
      <c r="AL137" s="12" t="s">
        <v>1214</v>
      </c>
      <c r="AM137" s="12" t="s">
        <v>1215</v>
      </c>
      <c r="AN137" s="12" t="str">
        <f>IFERROR(_xlfn.LET(_xlpm.v,INDEX('product-export-27-8-2026'!$A:$AJ,MATCH($A137,'product-export-27-8-2026'!$A:$A,0),MATCH(AN$1,'product-export-27-8-2026'!$1:$1,0)),IF(_xlpm.v="","",_xlpm.v)),"")</f>
        <v/>
      </c>
      <c r="AO137" s="12" t="str">
        <f>IFERROR(_xlfn.LET(_xlpm.v,INDEX('product-export-27-8-2026'!$A:$AJ,MATCH($A137,'product-export-27-8-2026'!$A:$A,0),MATCH(AO$1,'product-export-27-8-2026'!$1:$1,0)),IF(_xlpm.v="","",_xlpm.v)),"")</f>
        <v/>
      </c>
      <c r="AP137" s="12" t="str">
        <f>IFERROR(_xlfn.LET(_xlpm.v,INDEX('product-export-27-8-2026'!$A:$AJ,MATCH($A137,'product-export-27-8-2026'!$A:$A,0),MATCH(AP$1,'product-export-27-8-2026'!$1:$1,0)),IF(_xlpm.v="","",_xlpm.v)),"")</f>
        <v/>
      </c>
      <c r="AQ137" s="12" t="str">
        <f>IFERROR(_xlfn.LET(_xlpm.v,INDEX('product-export-27-8-2026'!$A:$AJ,MATCH($A137,'product-export-27-8-2026'!$A:$A,0),MATCH(AQ$1,'product-export-27-8-2026'!$1:$1,0)),IF(_xlpm.v="","",_xlpm.v)),"")</f>
        <v/>
      </c>
      <c r="AR137" s="12" t="str">
        <f>IFERROR(_xlfn.LET(_xlpm.v,INDEX('product-export-27-8-2026'!$A:$AJ,MATCH($A137,'product-export-27-8-2026'!$A:$A,0),MATCH(AR$1,'product-export-27-8-2026'!$1:$1,0)),IF(_xlpm.v="","",_xlpm.v)),"")</f>
        <v>Notebooks &gt; A5 Notebooks, Conscious Collection, Notebooks &gt; Eco, Notebooks</v>
      </c>
      <c r="AS137" s="12" t="str">
        <f>IFERROR(_xlfn.LET(_xlpm.v,INDEX('product-export-27-8-2026'!$A:$AJ,MATCH($A137,'product-export-27-8-2026'!$A:$A,0),MATCH(AS$1,'product-export-27-8-2026'!$1:$1,0)),IF(_xlpm.v="","",_xlpm.v)),"")</f>
        <v>peel-A5-Notebook</v>
      </c>
      <c r="BC137" s="15"/>
    </row>
    <row r="138" spans="1:55" s="14" customFormat="1" ht="27.6" customHeight="1" x14ac:dyDescent="0.3">
      <c r="A138" s="11">
        <v>1337</v>
      </c>
      <c r="B138" s="12" t="s">
        <v>469</v>
      </c>
      <c r="C138" s="12" t="s">
        <v>13</v>
      </c>
      <c r="D138" s="12" t="s">
        <v>210</v>
      </c>
      <c r="E138" s="13" t="s">
        <v>210</v>
      </c>
      <c r="F138" s="12" t="s">
        <v>211</v>
      </c>
      <c r="G138" s="12" t="s">
        <v>14</v>
      </c>
      <c r="H138" s="12" t="s">
        <v>1591</v>
      </c>
      <c r="I138" s="12"/>
      <c r="J138" s="12" t="s">
        <v>87</v>
      </c>
      <c r="K138" s="12" t="s">
        <v>1665</v>
      </c>
      <c r="L138" s="60">
        <v>0.48</v>
      </c>
      <c r="M138" s="11">
        <v>19.5</v>
      </c>
      <c r="N138" s="12" t="s">
        <v>212</v>
      </c>
      <c r="O138" s="56">
        <f t="shared" si="12"/>
        <v>18.11</v>
      </c>
      <c r="P138" s="56">
        <f t="shared" si="12"/>
        <v>16.48</v>
      </c>
      <c r="Q138" s="56">
        <f t="shared" si="12"/>
        <v>11.01</v>
      </c>
      <c r="R138" s="56">
        <f t="shared" si="12"/>
        <v>9.15</v>
      </c>
      <c r="S138" s="56">
        <f t="shared" si="12"/>
        <v>7.62</v>
      </c>
      <c r="T138" s="56">
        <f t="shared" si="12"/>
        <v>6.31</v>
      </c>
      <c r="U138" s="56">
        <f t="shared" si="12"/>
        <v>5.41</v>
      </c>
      <c r="V138" s="56">
        <f t="shared" si="12"/>
        <v>5.28</v>
      </c>
      <c r="W138" s="56">
        <f t="shared" si="12"/>
        <v>4.84</v>
      </c>
      <c r="X138" s="30" t="str" cm="1">
        <f t="array" ref="X138">IF(Y138="","",_xlfn.TEXTJOIN(";",TRUE,SUBSTITUTE($Y$1:$AG$1,"Qty ","")&amp;":"&amp;TEXT(Y138:AG138,"0.00"))&amp;";")</f>
        <v>1:23.33;10:20.88;25:14.58;50:12.12;100:10.35;250:8.69;500:7.78;750:7.59;1000:7.09;</v>
      </c>
      <c r="Y138" s="56">
        <f>'Blocking Prices'!$C$15+O138</f>
        <v>23.33</v>
      </c>
      <c r="Z138" s="56">
        <f>'Blocking Prices'!$D$15+P138</f>
        <v>20.880000000000003</v>
      </c>
      <c r="AA138" s="56">
        <f>'Blocking Prices'!$E$15+Q138</f>
        <v>14.58</v>
      </c>
      <c r="AB138" s="56">
        <f>'Blocking Prices'!$F$15+R138</f>
        <v>12.120000000000001</v>
      </c>
      <c r="AC138" s="56">
        <f>'Blocking Prices'!$G$15+S138</f>
        <v>10.35</v>
      </c>
      <c r="AD138" s="56">
        <f>'Blocking Prices'!$H$15+T138</f>
        <v>8.69</v>
      </c>
      <c r="AE138" s="56">
        <f>'Blocking Prices'!$I$15+U138</f>
        <v>7.78</v>
      </c>
      <c r="AF138" s="56">
        <f>'Blocking Prices'!$J$15+V138</f>
        <v>7.59</v>
      </c>
      <c r="AG138" s="56">
        <f>'Blocking Prices'!$K$15+W138</f>
        <v>7.09</v>
      </c>
      <c r="AH138" s="11"/>
      <c r="AI138" s="11"/>
      <c r="AJ138" s="11"/>
      <c r="AK138" s="11"/>
      <c r="AL138" s="12" t="s">
        <v>1232</v>
      </c>
      <c r="AM138" s="12" t="s">
        <v>1233</v>
      </c>
      <c r="AN138" s="12" t="str">
        <f>IFERROR(_xlfn.LET(_xlpm.v,INDEX('product-export-27-8-2026'!$A:$AJ,MATCH($A138,'product-export-27-8-2026'!$A:$A,0),MATCH(AN$1,'product-export-27-8-2026'!$1:$1,0)),IF(_xlpm.v="","",_xlpm.v)),"")</f>
        <v/>
      </c>
      <c r="AO138" s="12" t="str">
        <f>IFERROR(_xlfn.LET(_xlpm.v,INDEX('product-export-27-8-2026'!$A:$AJ,MATCH($A138,'product-export-27-8-2026'!$A:$A,0),MATCH(AO$1,'product-export-27-8-2026'!$1:$1,0)),IF(_xlpm.v="","",_xlpm.v)),"")</f>
        <v/>
      </c>
      <c r="AP138" s="12" t="str">
        <f>IFERROR(_xlfn.LET(_xlpm.v,INDEX('product-export-27-8-2026'!$A:$AJ,MATCH($A138,'product-export-27-8-2026'!$A:$A,0),MATCH(AP$1,'product-export-27-8-2026'!$1:$1,0)),IF(_xlpm.v="","",_xlpm.v)),"")</f>
        <v/>
      </c>
      <c r="AQ138" s="12" t="str">
        <f>IFERROR(_xlfn.LET(_xlpm.v,INDEX('product-export-27-8-2026'!$A:$AJ,MATCH($A138,'product-export-27-8-2026'!$A:$A,0),MATCH(AQ$1,'product-export-27-8-2026'!$1:$1,0)),IF(_xlpm.v="","",_xlpm.v)),"")</f>
        <v/>
      </c>
      <c r="AR138" s="12" t="str">
        <f>IFERROR(_xlfn.LET(_xlpm.v,INDEX('product-export-27-8-2026'!$A:$AJ,MATCH($A138,'product-export-27-8-2026'!$A:$A,0),MATCH(AR$1,'product-export-27-8-2026'!$1:$1,0)),IF(_xlpm.v="","",_xlpm.v)),"")</f>
        <v>Notebooks &gt; A5 Notebooks, Conscious Collection, Notebooks &gt; Eco, Notebooks</v>
      </c>
      <c r="AS138" s="12" t="str">
        <f>IFERROR(_xlfn.LET(_xlpm.v,INDEX('product-export-27-8-2026'!$A:$AJ,MATCH($A138,'product-export-27-8-2026'!$A:$A,0),MATCH(AS$1,'product-export-27-8-2026'!$1:$1,0)),IF(_xlpm.v="","",_xlpm.v)),"")</f>
        <v>eco-notebooks</v>
      </c>
      <c r="BC138" s="15"/>
    </row>
    <row r="139" spans="1:55" s="14" customFormat="1" ht="27.6" customHeight="1" x14ac:dyDescent="0.3">
      <c r="A139" s="11">
        <v>1341</v>
      </c>
      <c r="B139" s="12" t="s">
        <v>470</v>
      </c>
      <c r="C139" s="12" t="s">
        <v>13</v>
      </c>
      <c r="D139" s="12" t="s">
        <v>213</v>
      </c>
      <c r="E139" s="13" t="s">
        <v>213</v>
      </c>
      <c r="F139" s="12" t="s">
        <v>211</v>
      </c>
      <c r="G139" s="12" t="s">
        <v>14</v>
      </c>
      <c r="H139" s="12" t="s">
        <v>789</v>
      </c>
      <c r="I139" s="12"/>
      <c r="J139" s="12" t="s">
        <v>87</v>
      </c>
      <c r="K139" s="12" t="s">
        <v>1665</v>
      </c>
      <c r="L139" s="60">
        <v>0.48</v>
      </c>
      <c r="M139" s="11">
        <v>19.5</v>
      </c>
      <c r="N139" s="12" t="s">
        <v>212</v>
      </c>
      <c r="O139" s="56">
        <f t="shared" si="12"/>
        <v>18.11</v>
      </c>
      <c r="P139" s="56">
        <f t="shared" si="12"/>
        <v>16.48</v>
      </c>
      <c r="Q139" s="56">
        <f t="shared" si="12"/>
        <v>11.01</v>
      </c>
      <c r="R139" s="56">
        <f t="shared" si="12"/>
        <v>9.15</v>
      </c>
      <c r="S139" s="56">
        <f t="shared" si="12"/>
        <v>7.62</v>
      </c>
      <c r="T139" s="56">
        <f t="shared" si="12"/>
        <v>6.31</v>
      </c>
      <c r="U139" s="56">
        <f t="shared" si="12"/>
        <v>5.41</v>
      </c>
      <c r="V139" s="56">
        <f t="shared" si="12"/>
        <v>5.28</v>
      </c>
      <c r="W139" s="56">
        <f t="shared" si="12"/>
        <v>4.84</v>
      </c>
      <c r="X139" s="30" t="str" cm="1">
        <f t="array" ref="X139">IF(Y139="","",_xlfn.TEXTJOIN(";",TRUE,SUBSTITUTE($Y$1:$AG$1,"Qty ","")&amp;":"&amp;TEXT(Y139:AG139,"0.00"))&amp;";")</f>
        <v>1:23.33;10:20.88;25:14.58;50:12.12;100:10.35;250:8.69;500:7.78;750:7.59;1000:7.09;</v>
      </c>
      <c r="Y139" s="56">
        <f>'Blocking Prices'!$C$15+O139</f>
        <v>23.33</v>
      </c>
      <c r="Z139" s="56">
        <f>'Blocking Prices'!$D$15+P139</f>
        <v>20.880000000000003</v>
      </c>
      <c r="AA139" s="56">
        <f>'Blocking Prices'!$E$15+Q139</f>
        <v>14.58</v>
      </c>
      <c r="AB139" s="56">
        <f>'Blocking Prices'!$F$15+R139</f>
        <v>12.120000000000001</v>
      </c>
      <c r="AC139" s="56">
        <f>'Blocking Prices'!$G$15+S139</f>
        <v>10.35</v>
      </c>
      <c r="AD139" s="56">
        <f>'Blocking Prices'!$H$15+T139</f>
        <v>8.69</v>
      </c>
      <c r="AE139" s="56">
        <f>'Blocking Prices'!$I$15+U139</f>
        <v>7.78</v>
      </c>
      <c r="AF139" s="56">
        <f>'Blocking Prices'!$J$15+V139</f>
        <v>7.59</v>
      </c>
      <c r="AG139" s="56">
        <f>'Blocking Prices'!$K$15+W139</f>
        <v>7.09</v>
      </c>
      <c r="AH139" s="11"/>
      <c r="AI139" s="11"/>
      <c r="AJ139" s="11"/>
      <c r="AK139" s="11"/>
      <c r="AL139" s="12" t="s">
        <v>1240</v>
      </c>
      <c r="AM139" s="12" t="s">
        <v>1233</v>
      </c>
      <c r="AN139" s="12" t="str">
        <f>IFERROR(_xlfn.LET(_xlpm.v,INDEX('product-export-27-8-2026'!$A:$AJ,MATCH($A139,'product-export-27-8-2026'!$A:$A,0),MATCH(AN$1,'product-export-27-8-2026'!$1:$1,0)),IF(_xlpm.v="","",_xlpm.v)),"")</f>
        <v/>
      </c>
      <c r="AO139" s="12" t="str">
        <f>IFERROR(_xlfn.LET(_xlpm.v,INDEX('product-export-27-8-2026'!$A:$AJ,MATCH($A139,'product-export-27-8-2026'!$A:$A,0),MATCH(AO$1,'product-export-27-8-2026'!$1:$1,0)),IF(_xlpm.v="","",_xlpm.v)),"")</f>
        <v/>
      </c>
      <c r="AP139" s="12" t="str">
        <f>IFERROR(_xlfn.LET(_xlpm.v,INDEX('product-export-27-8-2026'!$A:$AJ,MATCH($A139,'product-export-27-8-2026'!$A:$A,0),MATCH(AP$1,'product-export-27-8-2026'!$1:$1,0)),IF(_xlpm.v="","",_xlpm.v)),"")</f>
        <v/>
      </c>
      <c r="AQ139" s="12" t="str">
        <f>IFERROR(_xlfn.LET(_xlpm.v,INDEX('product-export-27-8-2026'!$A:$AJ,MATCH($A139,'product-export-27-8-2026'!$A:$A,0),MATCH(AQ$1,'product-export-27-8-2026'!$1:$1,0)),IF(_xlpm.v="","",_xlpm.v)),"")</f>
        <v/>
      </c>
      <c r="AR139" s="12" t="str">
        <f>IFERROR(_xlfn.LET(_xlpm.v,INDEX('product-export-27-8-2026'!$A:$AJ,MATCH($A139,'product-export-27-8-2026'!$A:$A,0),MATCH(AR$1,'product-export-27-8-2026'!$1:$1,0)),IF(_xlpm.v="","",_xlpm.v)),"")</f>
        <v>Notebooks &gt; A5 Notebooks, Conscious Collection, Notebooks &gt; Eco, Notebooks</v>
      </c>
      <c r="AS139" s="12" t="str">
        <f>IFERROR(_xlfn.LET(_xlpm.v,INDEX('product-export-27-8-2026'!$A:$AJ,MATCH($A139,'product-export-27-8-2026'!$A:$A,0),MATCH(AS$1,'product-export-27-8-2026'!$1:$1,0)),IF(_xlpm.v="","",_xlpm.v)),"")</f>
        <v>eco-notebooks</v>
      </c>
      <c r="BC139" s="15"/>
    </row>
    <row r="140" spans="1:55" s="14" customFormat="1" ht="27.6" customHeight="1" x14ac:dyDescent="0.3">
      <c r="A140" s="11">
        <v>1342</v>
      </c>
      <c r="B140" s="12" t="s">
        <v>471</v>
      </c>
      <c r="C140" s="12" t="s">
        <v>13</v>
      </c>
      <c r="D140" s="12" t="s">
        <v>214</v>
      </c>
      <c r="E140" s="13" t="s">
        <v>214</v>
      </c>
      <c r="F140" s="12" t="s">
        <v>211</v>
      </c>
      <c r="G140" s="12" t="s">
        <v>14</v>
      </c>
      <c r="H140" s="12" t="s">
        <v>1587</v>
      </c>
      <c r="I140" s="12"/>
      <c r="J140" s="12" t="s">
        <v>87</v>
      </c>
      <c r="K140" s="12" t="s">
        <v>1665</v>
      </c>
      <c r="L140" s="60">
        <v>0.48</v>
      </c>
      <c r="M140" s="11">
        <v>19.5</v>
      </c>
      <c r="N140" s="12" t="s">
        <v>212</v>
      </c>
      <c r="O140" s="56">
        <f t="shared" si="12"/>
        <v>18.11</v>
      </c>
      <c r="P140" s="56">
        <f t="shared" si="12"/>
        <v>16.48</v>
      </c>
      <c r="Q140" s="56">
        <f t="shared" si="12"/>
        <v>11.01</v>
      </c>
      <c r="R140" s="56">
        <f t="shared" si="12"/>
        <v>9.15</v>
      </c>
      <c r="S140" s="56">
        <f t="shared" si="12"/>
        <v>7.62</v>
      </c>
      <c r="T140" s="56">
        <f t="shared" si="12"/>
        <v>6.31</v>
      </c>
      <c r="U140" s="56">
        <f t="shared" si="12"/>
        <v>5.41</v>
      </c>
      <c r="V140" s="56">
        <f t="shared" si="12"/>
        <v>5.28</v>
      </c>
      <c r="W140" s="56">
        <f t="shared" si="12"/>
        <v>4.84</v>
      </c>
      <c r="X140" s="30" t="str" cm="1">
        <f t="array" ref="X140">IF(Y140="","",_xlfn.TEXTJOIN(";",TRUE,SUBSTITUTE($Y$1:$AG$1,"Qty ","")&amp;":"&amp;TEXT(Y140:AG140,"0.00"))&amp;";")</f>
        <v>1:23.33;10:20.88;25:14.58;50:12.12;100:10.35;250:8.69;500:7.78;750:7.59;1000:7.09;</v>
      </c>
      <c r="Y140" s="56">
        <f>'Blocking Prices'!$C$15+O140</f>
        <v>23.33</v>
      </c>
      <c r="Z140" s="56">
        <f>'Blocking Prices'!$D$15+P140</f>
        <v>20.880000000000003</v>
      </c>
      <c r="AA140" s="56">
        <f>'Blocking Prices'!$E$15+Q140</f>
        <v>14.58</v>
      </c>
      <c r="AB140" s="56">
        <f>'Blocking Prices'!$F$15+R140</f>
        <v>12.120000000000001</v>
      </c>
      <c r="AC140" s="56">
        <f>'Blocking Prices'!$G$15+S140</f>
        <v>10.35</v>
      </c>
      <c r="AD140" s="56">
        <f>'Blocking Prices'!$H$15+T140</f>
        <v>8.69</v>
      </c>
      <c r="AE140" s="56">
        <f>'Blocking Prices'!$I$15+U140</f>
        <v>7.78</v>
      </c>
      <c r="AF140" s="56">
        <f>'Blocking Prices'!$J$15+V140</f>
        <v>7.59</v>
      </c>
      <c r="AG140" s="56">
        <f>'Blocking Prices'!$K$15+W140</f>
        <v>7.09</v>
      </c>
      <c r="AH140" s="11"/>
      <c r="AI140" s="11"/>
      <c r="AJ140" s="11"/>
      <c r="AK140" s="11"/>
      <c r="AL140" s="12" t="s">
        <v>1240</v>
      </c>
      <c r="AM140" s="12" t="s">
        <v>1233</v>
      </c>
      <c r="AN140" s="12" t="str">
        <f>IFERROR(_xlfn.LET(_xlpm.v,INDEX('product-export-27-8-2026'!$A:$AJ,MATCH($A140,'product-export-27-8-2026'!$A:$A,0),MATCH(AN$1,'product-export-27-8-2026'!$1:$1,0)),IF(_xlpm.v="","",_xlpm.v)),"")</f>
        <v/>
      </c>
      <c r="AO140" s="12" t="str">
        <f>IFERROR(_xlfn.LET(_xlpm.v,INDEX('product-export-27-8-2026'!$A:$AJ,MATCH($A140,'product-export-27-8-2026'!$A:$A,0),MATCH(AO$1,'product-export-27-8-2026'!$1:$1,0)),IF(_xlpm.v="","",_xlpm.v)),"")</f>
        <v/>
      </c>
      <c r="AP140" s="12" t="str">
        <f>IFERROR(_xlfn.LET(_xlpm.v,INDEX('product-export-27-8-2026'!$A:$AJ,MATCH($A140,'product-export-27-8-2026'!$A:$A,0),MATCH(AP$1,'product-export-27-8-2026'!$1:$1,0)),IF(_xlpm.v="","",_xlpm.v)),"")</f>
        <v/>
      </c>
      <c r="AQ140" s="12" t="str">
        <f>IFERROR(_xlfn.LET(_xlpm.v,INDEX('product-export-27-8-2026'!$A:$AJ,MATCH($A140,'product-export-27-8-2026'!$A:$A,0),MATCH(AQ$1,'product-export-27-8-2026'!$1:$1,0)),IF(_xlpm.v="","",_xlpm.v)),"")</f>
        <v/>
      </c>
      <c r="AR140" s="12" t="str">
        <f>IFERROR(_xlfn.LET(_xlpm.v,INDEX('product-export-27-8-2026'!$A:$AJ,MATCH($A140,'product-export-27-8-2026'!$A:$A,0),MATCH(AR$1,'product-export-27-8-2026'!$1:$1,0)),IF(_xlpm.v="","",_xlpm.v)),"")</f>
        <v>Notebooks &gt; A5 Notebooks, Conscious Collection, Notebooks &gt; Eco, Notebooks</v>
      </c>
      <c r="AS140" s="12" t="str">
        <f>IFERROR(_xlfn.LET(_xlpm.v,INDEX('product-export-27-8-2026'!$A:$AJ,MATCH($A140,'product-export-27-8-2026'!$A:$A,0),MATCH(AS$1,'product-export-27-8-2026'!$1:$1,0)),IF(_xlpm.v="","",_xlpm.v)),"")</f>
        <v>eco-notebooks</v>
      </c>
      <c r="BC140" s="15"/>
    </row>
    <row r="141" spans="1:55" s="14" customFormat="1" ht="27.6" customHeight="1" x14ac:dyDescent="0.3">
      <c r="A141" s="11">
        <v>1343</v>
      </c>
      <c r="B141" s="12" t="s">
        <v>472</v>
      </c>
      <c r="C141" s="12" t="s">
        <v>13</v>
      </c>
      <c r="D141" s="12" t="s">
        <v>215</v>
      </c>
      <c r="E141" s="13" t="s">
        <v>215</v>
      </c>
      <c r="F141" s="12" t="s">
        <v>211</v>
      </c>
      <c r="G141" s="12" t="s">
        <v>14</v>
      </c>
      <c r="H141" s="12" t="s">
        <v>1592</v>
      </c>
      <c r="I141" s="12"/>
      <c r="J141" s="12" t="s">
        <v>87</v>
      </c>
      <c r="K141" s="12" t="s">
        <v>1665</v>
      </c>
      <c r="L141" s="60">
        <v>0.48</v>
      </c>
      <c r="M141" s="11">
        <v>19.5</v>
      </c>
      <c r="N141" s="12" t="s">
        <v>212</v>
      </c>
      <c r="O141" s="56">
        <f t="shared" si="12"/>
        <v>18.11</v>
      </c>
      <c r="P141" s="56">
        <f t="shared" si="12"/>
        <v>16.48</v>
      </c>
      <c r="Q141" s="56">
        <f t="shared" si="12"/>
        <v>11.01</v>
      </c>
      <c r="R141" s="56">
        <f t="shared" si="12"/>
        <v>9.15</v>
      </c>
      <c r="S141" s="56">
        <f t="shared" si="12"/>
        <v>7.62</v>
      </c>
      <c r="T141" s="56">
        <f t="shared" si="12"/>
        <v>6.31</v>
      </c>
      <c r="U141" s="56">
        <f t="shared" si="12"/>
        <v>5.41</v>
      </c>
      <c r="V141" s="56">
        <f t="shared" si="12"/>
        <v>5.28</v>
      </c>
      <c r="W141" s="56">
        <f t="shared" si="12"/>
        <v>4.84</v>
      </c>
      <c r="X141" s="30" t="str" cm="1">
        <f t="array" ref="X141">IF(Y141="","",_xlfn.TEXTJOIN(";",TRUE,SUBSTITUTE($Y$1:$AG$1,"Qty ","")&amp;":"&amp;TEXT(Y141:AG141,"0.00"))&amp;";")</f>
        <v>1:23.33;10:20.88;25:14.58;50:12.12;100:10.35;250:8.69;500:7.78;750:7.59;1000:7.09;</v>
      </c>
      <c r="Y141" s="56">
        <f>'Blocking Prices'!$C$15+O141</f>
        <v>23.33</v>
      </c>
      <c r="Z141" s="56">
        <f>'Blocking Prices'!$D$15+P141</f>
        <v>20.880000000000003</v>
      </c>
      <c r="AA141" s="56">
        <f>'Blocking Prices'!$E$15+Q141</f>
        <v>14.58</v>
      </c>
      <c r="AB141" s="56">
        <f>'Blocking Prices'!$F$15+R141</f>
        <v>12.120000000000001</v>
      </c>
      <c r="AC141" s="56">
        <f>'Blocking Prices'!$G$15+S141</f>
        <v>10.35</v>
      </c>
      <c r="AD141" s="56">
        <f>'Blocking Prices'!$H$15+T141</f>
        <v>8.69</v>
      </c>
      <c r="AE141" s="56">
        <f>'Blocking Prices'!$I$15+U141</f>
        <v>7.78</v>
      </c>
      <c r="AF141" s="56">
        <f>'Blocking Prices'!$J$15+V141</f>
        <v>7.59</v>
      </c>
      <c r="AG141" s="56">
        <f>'Blocking Prices'!$K$15+W141</f>
        <v>7.09</v>
      </c>
      <c r="AH141" s="11"/>
      <c r="AI141" s="11"/>
      <c r="AJ141" s="11"/>
      <c r="AK141" s="11"/>
      <c r="AL141" s="12" t="s">
        <v>1240</v>
      </c>
      <c r="AM141" s="12" t="s">
        <v>1233</v>
      </c>
      <c r="AN141" s="12" t="str">
        <f>IFERROR(_xlfn.LET(_xlpm.v,INDEX('product-export-27-8-2026'!$A:$AJ,MATCH($A141,'product-export-27-8-2026'!$A:$A,0),MATCH(AN$1,'product-export-27-8-2026'!$1:$1,0)),IF(_xlpm.v="","",_xlpm.v)),"")</f>
        <v/>
      </c>
      <c r="AO141" s="12" t="str">
        <f>IFERROR(_xlfn.LET(_xlpm.v,INDEX('product-export-27-8-2026'!$A:$AJ,MATCH($A141,'product-export-27-8-2026'!$A:$A,0),MATCH(AO$1,'product-export-27-8-2026'!$1:$1,0)),IF(_xlpm.v="","",_xlpm.v)),"")</f>
        <v/>
      </c>
      <c r="AP141" s="12" t="str">
        <f>IFERROR(_xlfn.LET(_xlpm.v,INDEX('product-export-27-8-2026'!$A:$AJ,MATCH($A141,'product-export-27-8-2026'!$A:$A,0),MATCH(AP$1,'product-export-27-8-2026'!$1:$1,0)),IF(_xlpm.v="","",_xlpm.v)),"")</f>
        <v/>
      </c>
      <c r="AQ141" s="12" t="str">
        <f>IFERROR(_xlfn.LET(_xlpm.v,INDEX('product-export-27-8-2026'!$A:$AJ,MATCH($A141,'product-export-27-8-2026'!$A:$A,0),MATCH(AQ$1,'product-export-27-8-2026'!$1:$1,0)),IF(_xlpm.v="","",_xlpm.v)),"")</f>
        <v/>
      </c>
      <c r="AR141" s="12" t="str">
        <f>IFERROR(_xlfn.LET(_xlpm.v,INDEX('product-export-27-8-2026'!$A:$AJ,MATCH($A141,'product-export-27-8-2026'!$A:$A,0),MATCH(AR$1,'product-export-27-8-2026'!$1:$1,0)),IF(_xlpm.v="","",_xlpm.v)),"")</f>
        <v>Notebooks &gt; A5 Notebooks, Conscious Collection, Notebooks &gt; Eco, Notebooks</v>
      </c>
      <c r="AS141" s="12" t="str">
        <f>IFERROR(_xlfn.LET(_xlpm.v,INDEX('product-export-27-8-2026'!$A:$AJ,MATCH($A141,'product-export-27-8-2026'!$A:$A,0),MATCH(AS$1,'product-export-27-8-2026'!$1:$1,0)),IF(_xlpm.v="","",_xlpm.v)),"")</f>
        <v>eco-notebooks</v>
      </c>
      <c r="BC141" s="15"/>
    </row>
    <row r="142" spans="1:55" s="14" customFormat="1" ht="27.6" customHeight="1" x14ac:dyDescent="0.3">
      <c r="A142" s="11">
        <v>1344</v>
      </c>
      <c r="B142" s="12" t="s">
        <v>473</v>
      </c>
      <c r="C142" s="12" t="s">
        <v>13</v>
      </c>
      <c r="D142" s="12" t="s">
        <v>216</v>
      </c>
      <c r="E142" s="13" t="s">
        <v>216</v>
      </c>
      <c r="F142" s="12" t="s">
        <v>211</v>
      </c>
      <c r="G142" s="12" t="s">
        <v>14</v>
      </c>
      <c r="H142" s="12" t="s">
        <v>1593</v>
      </c>
      <c r="I142" s="12"/>
      <c r="J142" s="12" t="s">
        <v>87</v>
      </c>
      <c r="K142" s="12" t="s">
        <v>1665</v>
      </c>
      <c r="L142" s="60">
        <v>0.48</v>
      </c>
      <c r="M142" s="11">
        <v>19.5</v>
      </c>
      <c r="N142" s="12" t="s">
        <v>212</v>
      </c>
      <c r="O142" s="56">
        <f t="shared" ref="O142:W151" si="13">IFERROR(VALUE(_xlfn.TEXTBEFORE(_xlfn.TEXTAFTER(";"&amp;$N142,";"&amp;SUBSTITUTE(O$1,"Qty ","")&amp;":"),";")),"")</f>
        <v>18.11</v>
      </c>
      <c r="P142" s="56">
        <f t="shared" si="13"/>
        <v>16.48</v>
      </c>
      <c r="Q142" s="56">
        <f t="shared" si="13"/>
        <v>11.01</v>
      </c>
      <c r="R142" s="56">
        <f t="shared" si="13"/>
        <v>9.15</v>
      </c>
      <c r="S142" s="56">
        <f t="shared" si="13"/>
        <v>7.62</v>
      </c>
      <c r="T142" s="56">
        <f t="shared" si="13"/>
        <v>6.31</v>
      </c>
      <c r="U142" s="56">
        <f t="shared" si="13"/>
        <v>5.41</v>
      </c>
      <c r="V142" s="56">
        <f t="shared" si="13"/>
        <v>5.28</v>
      </c>
      <c r="W142" s="56">
        <f t="shared" si="13"/>
        <v>4.84</v>
      </c>
      <c r="X142" s="30" t="str" cm="1">
        <f t="array" ref="X142">IF(Y142="","",_xlfn.TEXTJOIN(";",TRUE,SUBSTITUTE($Y$1:$AG$1,"Qty ","")&amp;":"&amp;TEXT(Y142:AG142,"0.00"))&amp;";")</f>
        <v>1:23.33;10:20.88;25:14.58;50:12.12;100:10.35;250:8.69;500:7.78;750:7.59;1000:7.09;</v>
      </c>
      <c r="Y142" s="56">
        <f>'Blocking Prices'!$C$15+O142</f>
        <v>23.33</v>
      </c>
      <c r="Z142" s="56">
        <f>'Blocking Prices'!$D$15+P142</f>
        <v>20.880000000000003</v>
      </c>
      <c r="AA142" s="56">
        <f>'Blocking Prices'!$E$15+Q142</f>
        <v>14.58</v>
      </c>
      <c r="AB142" s="56">
        <f>'Blocking Prices'!$F$15+R142</f>
        <v>12.120000000000001</v>
      </c>
      <c r="AC142" s="56">
        <f>'Blocking Prices'!$G$15+S142</f>
        <v>10.35</v>
      </c>
      <c r="AD142" s="56">
        <f>'Blocking Prices'!$H$15+T142</f>
        <v>8.69</v>
      </c>
      <c r="AE142" s="56">
        <f>'Blocking Prices'!$I$15+U142</f>
        <v>7.78</v>
      </c>
      <c r="AF142" s="56">
        <f>'Blocking Prices'!$J$15+V142</f>
        <v>7.59</v>
      </c>
      <c r="AG142" s="56">
        <f>'Blocking Prices'!$K$15+W142</f>
        <v>7.09</v>
      </c>
      <c r="AH142" s="11"/>
      <c r="AI142" s="11"/>
      <c r="AJ142" s="11"/>
      <c r="AK142" s="11"/>
      <c r="AL142" s="12" t="s">
        <v>1240</v>
      </c>
      <c r="AM142" s="12" t="s">
        <v>1233</v>
      </c>
      <c r="AN142" s="12" t="str">
        <f>IFERROR(_xlfn.LET(_xlpm.v,INDEX('product-export-27-8-2026'!$A:$AJ,MATCH($A142,'product-export-27-8-2026'!$A:$A,0),MATCH(AN$1,'product-export-27-8-2026'!$1:$1,0)),IF(_xlpm.v="","",_xlpm.v)),"")</f>
        <v/>
      </c>
      <c r="AO142" s="12" t="str">
        <f>IFERROR(_xlfn.LET(_xlpm.v,INDEX('product-export-27-8-2026'!$A:$AJ,MATCH($A142,'product-export-27-8-2026'!$A:$A,0),MATCH(AO$1,'product-export-27-8-2026'!$1:$1,0)),IF(_xlpm.v="","",_xlpm.v)),"")</f>
        <v/>
      </c>
      <c r="AP142" s="12" t="str">
        <f>IFERROR(_xlfn.LET(_xlpm.v,INDEX('product-export-27-8-2026'!$A:$AJ,MATCH($A142,'product-export-27-8-2026'!$A:$A,0),MATCH(AP$1,'product-export-27-8-2026'!$1:$1,0)),IF(_xlpm.v="","",_xlpm.v)),"")</f>
        <v/>
      </c>
      <c r="AQ142" s="12" t="str">
        <f>IFERROR(_xlfn.LET(_xlpm.v,INDEX('product-export-27-8-2026'!$A:$AJ,MATCH($A142,'product-export-27-8-2026'!$A:$A,0),MATCH(AQ$1,'product-export-27-8-2026'!$1:$1,0)),IF(_xlpm.v="","",_xlpm.v)),"")</f>
        <v/>
      </c>
      <c r="AR142" s="12" t="str">
        <f>IFERROR(_xlfn.LET(_xlpm.v,INDEX('product-export-27-8-2026'!$A:$AJ,MATCH($A142,'product-export-27-8-2026'!$A:$A,0),MATCH(AR$1,'product-export-27-8-2026'!$1:$1,0)),IF(_xlpm.v="","",_xlpm.v)),"")</f>
        <v>Notebooks &gt; A5 Notebooks, Conscious Collection, Notebooks &gt; Eco, Notebooks</v>
      </c>
      <c r="AS142" s="12" t="str">
        <f>IFERROR(_xlfn.LET(_xlpm.v,INDEX('product-export-27-8-2026'!$A:$AJ,MATCH($A142,'product-export-27-8-2026'!$A:$A,0),MATCH(AS$1,'product-export-27-8-2026'!$1:$1,0)),IF(_xlpm.v="","",_xlpm.v)),"")</f>
        <v>eco-notebooks</v>
      </c>
      <c r="BC142" s="15"/>
    </row>
    <row r="143" spans="1:55" s="24" customFormat="1" ht="27.6" customHeight="1" x14ac:dyDescent="0.3">
      <c r="A143" s="22">
        <v>1369</v>
      </c>
      <c r="B143" s="10" t="s">
        <v>554</v>
      </c>
      <c r="C143" s="10" t="s">
        <v>13</v>
      </c>
      <c r="D143" s="10" t="s">
        <v>217</v>
      </c>
      <c r="E143" s="23" t="s">
        <v>217</v>
      </c>
      <c r="F143" s="10" t="s">
        <v>15</v>
      </c>
      <c r="G143" s="10" t="s">
        <v>14</v>
      </c>
      <c r="H143" s="10" t="s">
        <v>728</v>
      </c>
      <c r="I143" s="10"/>
      <c r="J143" s="10" t="s">
        <v>1541</v>
      </c>
      <c r="K143" s="12" t="s">
        <v>1665</v>
      </c>
      <c r="L143" s="60">
        <v>0.48</v>
      </c>
      <c r="M143" s="22">
        <v>16.989999999999998</v>
      </c>
      <c r="N143" s="10" t="s">
        <v>16</v>
      </c>
      <c r="O143" s="59">
        <f t="shared" si="13"/>
        <v>16.23</v>
      </c>
      <c r="P143" s="59">
        <f t="shared" si="13"/>
        <v>14.81</v>
      </c>
      <c r="Q143" s="59">
        <f t="shared" si="13"/>
        <v>9.76</v>
      </c>
      <c r="R143" s="59">
        <f t="shared" si="13"/>
        <v>8.1</v>
      </c>
      <c r="S143" s="59">
        <f t="shared" si="13"/>
        <v>6.77</v>
      </c>
      <c r="T143" s="59">
        <f t="shared" si="13"/>
        <v>5.62</v>
      </c>
      <c r="U143" s="59">
        <f t="shared" si="13"/>
        <v>4.82</v>
      </c>
      <c r="V143" s="59">
        <f t="shared" si="13"/>
        <v>4.71</v>
      </c>
      <c r="W143" s="59">
        <f t="shared" si="13"/>
        <v>4.32</v>
      </c>
      <c r="X143" s="32" t="str" cm="1">
        <f t="array" ref="X143">IF(Y143="","",_xlfn.TEXTJOIN(";",TRUE,SUBSTITUTE($Y$1:$AG$1,"Qty ","")&amp;":"&amp;TEXT(Y143:AG143,"0.00"))&amp;";")</f>
        <v>1:21.45;10:19.21;25:13.33;50:11.07;100:9.50;250:8.00;500:7.19;750:7.02;1000:6.57;</v>
      </c>
      <c r="Y143" s="56">
        <f>'Blocking Prices'!$C$15+O143</f>
        <v>21.45</v>
      </c>
      <c r="Z143" s="56">
        <f>'Blocking Prices'!$D$15+P143</f>
        <v>19.21</v>
      </c>
      <c r="AA143" s="56">
        <f>'Blocking Prices'!$E$15+Q143</f>
        <v>13.33</v>
      </c>
      <c r="AB143" s="56">
        <f>'Blocking Prices'!$F$15+R143</f>
        <v>11.07</v>
      </c>
      <c r="AC143" s="56">
        <f>'Blocking Prices'!$G$15+S143</f>
        <v>9.5</v>
      </c>
      <c r="AD143" s="56">
        <f>'Blocking Prices'!$H$15+T143</f>
        <v>8</v>
      </c>
      <c r="AE143" s="56">
        <f>'Blocking Prices'!$I$15+U143</f>
        <v>7.19</v>
      </c>
      <c r="AF143" s="56">
        <f>'Blocking Prices'!$J$15+V143</f>
        <v>7.02</v>
      </c>
      <c r="AG143" s="56">
        <f>'Blocking Prices'!$K$15+W143</f>
        <v>6.57</v>
      </c>
      <c r="AH143" s="22"/>
      <c r="AI143" s="22"/>
      <c r="AJ143" s="22"/>
      <c r="AK143" s="22"/>
      <c r="AL143" s="10" t="s">
        <v>1249</v>
      </c>
      <c r="AM143" s="10" t="s">
        <v>1250</v>
      </c>
      <c r="AN143" s="10" t="str">
        <f>IFERROR(_xlfn.LET(_xlpm.v,INDEX('product-export-27-8-2026'!$A:$AJ,MATCH($A143,'product-export-27-8-2026'!$A:$A,0),MATCH(AN$1,'product-export-27-8-2026'!$1:$1,0)),IF(_xlpm.v="","",_xlpm.v)),"")</f>
        <v/>
      </c>
      <c r="AO143" s="10" t="str">
        <f>IFERROR(_xlfn.LET(_xlpm.v,INDEX('product-export-27-8-2026'!$A:$AJ,MATCH($A143,'product-export-27-8-2026'!$A:$A,0),MATCH(AO$1,'product-export-27-8-2026'!$1:$1,0)),IF(_xlpm.v="","",_xlpm.v)),"")</f>
        <v/>
      </c>
      <c r="AP143" s="10" t="str">
        <f>IFERROR(_xlfn.LET(_xlpm.v,INDEX('product-export-27-8-2026'!$A:$AJ,MATCH($A143,'product-export-27-8-2026'!$A:$A,0),MATCH(AP$1,'product-export-27-8-2026'!$1:$1,0)),IF(_xlpm.v="","",_xlpm.v)),"")</f>
        <v/>
      </c>
      <c r="AQ143" s="10" t="str">
        <f>IFERROR(_xlfn.LET(_xlpm.v,INDEX('product-export-27-8-2026'!$A:$AJ,MATCH($A143,'product-export-27-8-2026'!$A:$A,0),MATCH(AQ$1,'product-export-27-8-2026'!$1:$1,0)),IF(_xlpm.v="","",_xlpm.v)),"")</f>
        <v/>
      </c>
      <c r="AR143" s="10" t="str">
        <f>IFERROR(_xlfn.LET(_xlpm.v,INDEX('product-export-27-8-2026'!$A:$AJ,MATCH($A143,'product-export-27-8-2026'!$A:$A,0),MATCH(AR$1,'product-export-27-8-2026'!$1:$1,0)),IF(_xlpm.v="","",_xlpm.v)),"")</f>
        <v>Notebooks &gt; A5 Notebooks, Chelsea Collection, Foil blocked, Notebooks, Notebooks &gt; Real Leather Notebooks</v>
      </c>
      <c r="AS143" s="10" t="str">
        <f>IFERROR(_xlfn.LET(_xlpm.v,INDEX('product-export-27-8-2026'!$A:$AJ,MATCH($A143,'product-export-27-8-2026'!$A:$A,0),MATCH(AS$1,'product-export-27-8-2026'!$1:$1,0)),IF(_xlpm.v="","",_xlpm.v)),"")</f>
        <v>Chelsea-Leather-A5-Notebook-Feint-Ruled</v>
      </c>
      <c r="BC143" s="25"/>
    </row>
    <row r="144" spans="1:55" s="14" customFormat="1" ht="27.6" customHeight="1" x14ac:dyDescent="0.3">
      <c r="A144" s="11">
        <v>1804</v>
      </c>
      <c r="B144" s="12" t="s">
        <v>409</v>
      </c>
      <c r="C144" s="12" t="s">
        <v>18</v>
      </c>
      <c r="D144" s="12" t="s">
        <v>218</v>
      </c>
      <c r="E144" s="13" t="s">
        <v>170</v>
      </c>
      <c r="F144" s="12" t="s">
        <v>166</v>
      </c>
      <c r="G144" s="12" t="s">
        <v>151</v>
      </c>
      <c r="H144" s="12" t="s">
        <v>792</v>
      </c>
      <c r="I144" s="12" t="s">
        <v>41</v>
      </c>
      <c r="J144" s="12" t="s">
        <v>87</v>
      </c>
      <c r="K144" s="18" t="s">
        <v>1667</v>
      </c>
      <c r="L144" s="54">
        <v>0.48</v>
      </c>
      <c r="M144" s="11">
        <v>17.5</v>
      </c>
      <c r="N144" s="12" t="s">
        <v>157</v>
      </c>
      <c r="O144" s="56">
        <f t="shared" si="13"/>
        <v>18.48</v>
      </c>
      <c r="P144" s="56">
        <f t="shared" si="13"/>
        <v>17.75</v>
      </c>
      <c r="Q144" s="56">
        <f t="shared" si="13"/>
        <v>13.19</v>
      </c>
      <c r="R144" s="56">
        <f t="shared" si="13"/>
        <v>9.89</v>
      </c>
      <c r="S144" s="56">
        <f t="shared" si="13"/>
        <v>9.2200000000000006</v>
      </c>
      <c r="T144" s="56">
        <f t="shared" si="13"/>
        <v>8.35</v>
      </c>
      <c r="U144" s="56">
        <f t="shared" si="13"/>
        <v>7.67</v>
      </c>
      <c r="V144" s="56">
        <f t="shared" si="13"/>
        <v>7.28</v>
      </c>
      <c r="W144" s="56">
        <f t="shared" si="13"/>
        <v>6.97</v>
      </c>
      <c r="X144" s="30" t="str" cm="1">
        <f t="array" ref="X144">IF(Y144="","",_xlfn.TEXTJOIN(";",TRUE,SUBSTITUTE($Y$1:$AG$1,"Qty ","")&amp;":"&amp;TEXT(Y144:AG144,"0.00"))&amp;";")</f>
        <v>1:24.60;10:23.26;25:18.08;50:13.97;100:12.94;250:11.74;500:10.94;750:10.55;1000:10.15;</v>
      </c>
      <c r="Y144" s="56">
        <f>'Blocking Prices'!$C$16+O144</f>
        <v>24.6</v>
      </c>
      <c r="Z144" s="56">
        <f>'Blocking Prices'!$D$16+P144</f>
        <v>23.259999999999998</v>
      </c>
      <c r="AA144" s="56">
        <f>'Blocking Prices'!$E$16+Q144</f>
        <v>18.079999999999998</v>
      </c>
      <c r="AB144" s="56">
        <f>'Blocking Prices'!$F$16+R144</f>
        <v>13.97</v>
      </c>
      <c r="AC144" s="56">
        <f>'Blocking Prices'!$G$16+S144</f>
        <v>12.940000000000001</v>
      </c>
      <c r="AD144" s="56">
        <f>'Blocking Prices'!$H$16+T144</f>
        <v>11.74</v>
      </c>
      <c r="AE144" s="56">
        <f>'Blocking Prices'!$I$16+U144</f>
        <v>10.94</v>
      </c>
      <c r="AF144" s="56">
        <f>'Blocking Prices'!$J$16+V144</f>
        <v>10.55</v>
      </c>
      <c r="AG144" s="56">
        <f>'Blocking Prices'!$K$16+W144</f>
        <v>10.15</v>
      </c>
      <c r="AH144" s="11"/>
      <c r="AI144" s="11"/>
      <c r="AJ144" s="11"/>
      <c r="AK144" s="11"/>
      <c r="AL144" s="12" t="s">
        <v>1073</v>
      </c>
      <c r="AM144" s="12" t="s">
        <v>1087</v>
      </c>
      <c r="AN144" s="12" t="str">
        <f>IFERROR(_xlfn.LET(_xlpm.v,INDEX('product-export-27-8-2026'!$A:$AJ,MATCH($A144,'product-export-27-8-2026'!$A:$A,0),MATCH(AN$1,'product-export-27-8-2026'!$1:$1,0)),IF(_xlpm.v="","",_xlpm.v)),"")</f>
        <v/>
      </c>
      <c r="AO144" s="12" t="str">
        <f>IFERROR(_xlfn.LET(_xlpm.v,INDEX('product-export-27-8-2026'!$A:$AJ,MATCH($A144,'product-export-27-8-2026'!$A:$A,0),MATCH(AO$1,'product-export-27-8-2026'!$1:$1,0)),IF(_xlpm.v="","",_xlpm.v)),"")</f>
        <v/>
      </c>
      <c r="AP144" s="12" t="str">
        <f>IFERROR(_xlfn.LET(_xlpm.v,INDEX('product-export-27-8-2026'!$A:$AJ,MATCH($A144,'product-export-27-8-2026'!$A:$A,0),MATCH(AP$1,'product-export-27-8-2026'!$1:$1,0)),IF(_xlpm.v="","",_xlpm.v)),"")</f>
        <v/>
      </c>
      <c r="AQ144" s="12" t="str">
        <f>IFERROR(_xlfn.LET(_xlpm.v,INDEX('product-export-27-8-2026'!$A:$AJ,MATCH($A144,'product-export-27-8-2026'!$A:$A,0),MATCH(AQ$1,'product-export-27-8-2026'!$1:$1,0)),IF(_xlpm.v="","",_xlpm.v)),"")</f>
        <v/>
      </c>
      <c r="AR144" s="12" t="str">
        <f>IFERROR(_xlfn.LET(_xlpm.v,INDEX('product-export-27-8-2026'!$A:$AJ,MATCH($A144,'product-export-27-8-2026'!$A:$A,0),MATCH(AR$1,'product-export-27-8-2026'!$1:$1,0)),IF(_xlpm.v="","",_xlpm.v)),"")</f>
        <v>Diaries &gt; A4 Diary, Diaries, Foil blocked, Richmond Collection</v>
      </c>
      <c r="AS144" s="12" t="str">
        <f>IFERROR(_xlfn.LET(_xlpm.v,INDEX('product-export-27-8-2026'!$A:$AJ,MATCH($A144,'product-export-27-8-2026'!$A:$A,0),MATCH(AS$1,'product-export-27-8-2026'!$1:$1,0)),IF(_xlpm.v="","",_xlpm.v)),"")</f>
        <v>Richmond-FineGrain-A4-Desk-Diary</v>
      </c>
      <c r="BC144" s="15"/>
    </row>
    <row r="145" spans="1:55" s="20" customFormat="1" ht="27.6" customHeight="1" x14ac:dyDescent="0.3">
      <c r="A145" s="17">
        <v>3618</v>
      </c>
      <c r="B145" s="18" t="s">
        <v>474</v>
      </c>
      <c r="C145" s="18" t="s">
        <v>220</v>
      </c>
      <c r="D145" s="18" t="s">
        <v>219</v>
      </c>
      <c r="E145" s="19" t="s">
        <v>219</v>
      </c>
      <c r="F145" s="18" t="s">
        <v>222</v>
      </c>
      <c r="G145" s="18" t="s">
        <v>221</v>
      </c>
      <c r="H145" s="18" t="s">
        <v>672</v>
      </c>
      <c r="I145" s="18"/>
      <c r="J145" s="18" t="s">
        <v>576</v>
      </c>
      <c r="K145" s="18"/>
      <c r="L145" s="54"/>
      <c r="M145" s="26">
        <v>5.5</v>
      </c>
      <c r="N145" s="18" t="s">
        <v>223</v>
      </c>
      <c r="O145" s="58">
        <f t="shared" si="13"/>
        <v>6.41</v>
      </c>
      <c r="P145" s="58">
        <f t="shared" si="13"/>
        <v>5.95</v>
      </c>
      <c r="Q145" s="58">
        <f t="shared" si="13"/>
        <v>3.47</v>
      </c>
      <c r="R145" s="58">
        <f t="shared" si="13"/>
        <v>2.89</v>
      </c>
      <c r="S145" s="58">
        <f t="shared" si="13"/>
        <v>2.42</v>
      </c>
      <c r="T145" s="58">
        <f t="shared" si="13"/>
        <v>2.02</v>
      </c>
      <c r="U145" s="58">
        <f t="shared" si="13"/>
        <v>1.79</v>
      </c>
      <c r="V145" s="58">
        <f t="shared" si="13"/>
        <v>1.71</v>
      </c>
      <c r="W145" s="58">
        <f t="shared" si="13"/>
        <v>1.6</v>
      </c>
      <c r="X145" s="31" t="str" cm="1">
        <f t="array" ref="X145">IF(Y145="","",_xlfn.TEXTJOIN(";",TRUE,SUBSTITUTE($Y$1:$AG$1,"Qty ","")&amp;":"&amp;TEXT(Y145:AG145,"0.00"))&amp;";")</f>
        <v>1:9.83;10:8.58;25:5.30;50:4.39;100:3.80;250:3.28;500:2.99;750:2.88;1000:2.74;</v>
      </c>
      <c r="Y145" s="56">
        <f>'Blocking Prices'!$C$14+O145</f>
        <v>9.83</v>
      </c>
      <c r="Z145" s="56">
        <f>'Blocking Prices'!$D$14+P145</f>
        <v>8.58</v>
      </c>
      <c r="AA145" s="56">
        <f>'Blocking Prices'!$E$14+Q145</f>
        <v>5.3000000000000007</v>
      </c>
      <c r="AB145" s="56">
        <f>'Blocking Prices'!$F$14+R145</f>
        <v>4.3900000000000006</v>
      </c>
      <c r="AC145" s="56">
        <f>'Blocking Prices'!$G$14+S145</f>
        <v>3.8</v>
      </c>
      <c r="AD145" s="56">
        <f>'Blocking Prices'!$H$14+T145</f>
        <v>3.2800000000000002</v>
      </c>
      <c r="AE145" s="56">
        <f>'Blocking Prices'!$I$14+U145</f>
        <v>2.99</v>
      </c>
      <c r="AF145" s="56">
        <f>'Blocking Prices'!$J$14+V145</f>
        <v>2.88</v>
      </c>
      <c r="AG145" s="56">
        <f>'Blocking Prices'!$K$14+W145</f>
        <v>2.74</v>
      </c>
      <c r="AH145" s="17"/>
      <c r="AI145" s="17"/>
      <c r="AJ145" s="17"/>
      <c r="AK145" s="17"/>
      <c r="AL145" s="18" t="s">
        <v>1256</v>
      </c>
      <c r="AM145" s="18" t="s">
        <v>1257</v>
      </c>
      <c r="AN145" s="18" t="str">
        <f>IFERROR(_xlfn.LET(_xlpm.v,INDEX('product-export-27-8-2026'!$A:$AJ,MATCH($A145,'product-export-27-8-2026'!$A:$A,0),MATCH(AN$1,'product-export-27-8-2026'!$1:$1,0)),IF(_xlpm.v="","",_xlpm.v)),"")</f>
        <v/>
      </c>
      <c r="AO145" s="18" t="str">
        <f>IFERROR(_xlfn.LET(_xlpm.v,INDEX('product-export-27-8-2026'!$A:$AJ,MATCH($A145,'product-export-27-8-2026'!$A:$A,0),MATCH(AO$1,'product-export-27-8-2026'!$1:$1,0)),IF(_xlpm.v="","",_xlpm.v)),"")</f>
        <v/>
      </c>
      <c r="AP145" s="18" t="str">
        <f>IFERROR(_xlfn.LET(_xlpm.v,INDEX('product-export-27-8-2026'!$A:$AJ,MATCH($A145,'product-export-27-8-2026'!$A:$A,0),MATCH(AP$1,'product-export-27-8-2026'!$1:$1,0)),IF(_xlpm.v="","",_xlpm.v)),"")</f>
        <v/>
      </c>
      <c r="AQ145" s="18" t="str">
        <f>IFERROR(_xlfn.LET(_xlpm.v,INDEX('product-export-27-8-2026'!$A:$AJ,MATCH($A145,'product-export-27-8-2026'!$A:$A,0),MATCH(AQ$1,'product-export-27-8-2026'!$1:$1,0)),IF(_xlpm.v="","",_xlpm.v)),"")</f>
        <v/>
      </c>
      <c r="AR145" s="18" t="str">
        <f>IFERROR(_xlfn.LET(_xlpm.v,INDEX('product-export-27-8-2026'!$A:$AJ,MATCH($A145,'product-export-27-8-2026'!$A:$A,0),MATCH(AR$1,'product-export-27-8-2026'!$1:$1,0)),IF(_xlpm.v="","",_xlpm.v)),"")</f>
        <v>Card Holder, Dorchester Collection, Gifts</v>
      </c>
      <c r="AS145" s="18" t="str">
        <f>IFERROR(_xlfn.LET(_xlpm.v,INDEX('product-export-27-8-2026'!$A:$AJ,MATCH($A145,'product-export-27-8-2026'!$A:$A,0),MATCH(AS$1,'product-export-27-8-2026'!$1:$1,0)),IF(_xlpm.v="","",_xlpm.v)),"")</f>
        <v>Dorchester NewHide Card Holder</v>
      </c>
      <c r="BC145" s="15"/>
    </row>
    <row r="146" spans="1:55" s="20" customFormat="1" ht="27.6" customHeight="1" x14ac:dyDescent="0.3">
      <c r="A146" s="17">
        <v>3623</v>
      </c>
      <c r="B146" s="18" t="s">
        <v>475</v>
      </c>
      <c r="C146" s="18" t="s">
        <v>220</v>
      </c>
      <c r="D146" s="18" t="s">
        <v>224</v>
      </c>
      <c r="E146" s="19" t="s">
        <v>224</v>
      </c>
      <c r="F146" s="18" t="s">
        <v>222</v>
      </c>
      <c r="G146" s="18" t="s">
        <v>221</v>
      </c>
      <c r="H146" s="18" t="s">
        <v>796</v>
      </c>
      <c r="I146" s="18"/>
      <c r="J146" s="18" t="s">
        <v>576</v>
      </c>
      <c r="K146" s="18"/>
      <c r="L146" s="54"/>
      <c r="M146" s="26">
        <v>5.5</v>
      </c>
      <c r="N146" s="18" t="s">
        <v>223</v>
      </c>
      <c r="O146" s="58">
        <f t="shared" si="13"/>
        <v>6.41</v>
      </c>
      <c r="P146" s="58">
        <f t="shared" si="13"/>
        <v>5.95</v>
      </c>
      <c r="Q146" s="58">
        <f t="shared" si="13"/>
        <v>3.47</v>
      </c>
      <c r="R146" s="58">
        <f t="shared" si="13"/>
        <v>2.89</v>
      </c>
      <c r="S146" s="58">
        <f t="shared" si="13"/>
        <v>2.42</v>
      </c>
      <c r="T146" s="58">
        <f t="shared" si="13"/>
        <v>2.02</v>
      </c>
      <c r="U146" s="58">
        <f t="shared" si="13"/>
        <v>1.79</v>
      </c>
      <c r="V146" s="58">
        <f t="shared" si="13"/>
        <v>1.71</v>
      </c>
      <c r="W146" s="58">
        <f t="shared" si="13"/>
        <v>1.6</v>
      </c>
      <c r="X146" s="31" t="str" cm="1">
        <f t="array" ref="X146">IF(Y146="","",_xlfn.TEXTJOIN(";",TRUE,SUBSTITUTE($Y$1:$AG$1,"Qty ","")&amp;":"&amp;TEXT(Y146:AG146,"0.00"))&amp;";")</f>
        <v>1:9.83;10:8.58;25:5.30;50:4.39;100:3.80;250:3.28;500:2.99;750:2.88;1000:2.74;</v>
      </c>
      <c r="Y146" s="56">
        <f>'Blocking Prices'!$C$14+O146</f>
        <v>9.83</v>
      </c>
      <c r="Z146" s="56">
        <f>'Blocking Prices'!$D$14+P146</f>
        <v>8.58</v>
      </c>
      <c r="AA146" s="56">
        <f>'Blocking Prices'!$E$14+Q146</f>
        <v>5.3000000000000007</v>
      </c>
      <c r="AB146" s="56">
        <f>'Blocking Prices'!$F$14+R146</f>
        <v>4.3900000000000006</v>
      </c>
      <c r="AC146" s="56">
        <f>'Blocking Prices'!$G$14+S146</f>
        <v>3.8</v>
      </c>
      <c r="AD146" s="56">
        <f>'Blocking Prices'!$H$14+T146</f>
        <v>3.2800000000000002</v>
      </c>
      <c r="AE146" s="56">
        <f>'Blocking Prices'!$I$14+U146</f>
        <v>2.99</v>
      </c>
      <c r="AF146" s="56">
        <f>'Blocking Prices'!$J$14+V146</f>
        <v>2.88</v>
      </c>
      <c r="AG146" s="56">
        <f>'Blocking Prices'!$K$14+W146</f>
        <v>2.74</v>
      </c>
      <c r="AH146" s="17"/>
      <c r="AI146" s="17"/>
      <c r="AJ146" s="17"/>
      <c r="AK146" s="17"/>
      <c r="AL146" s="18" t="s">
        <v>1256</v>
      </c>
      <c r="AM146" s="18" t="s">
        <v>1257</v>
      </c>
      <c r="AN146" s="18" t="str">
        <f>IFERROR(_xlfn.LET(_xlpm.v,INDEX('product-export-27-8-2026'!$A:$AJ,MATCH($A146,'product-export-27-8-2026'!$A:$A,0),MATCH(AN$1,'product-export-27-8-2026'!$1:$1,0)),IF(_xlpm.v="","",_xlpm.v)),"")</f>
        <v/>
      </c>
      <c r="AO146" s="18" t="str">
        <f>IFERROR(_xlfn.LET(_xlpm.v,INDEX('product-export-27-8-2026'!$A:$AJ,MATCH($A146,'product-export-27-8-2026'!$A:$A,0),MATCH(AO$1,'product-export-27-8-2026'!$1:$1,0)),IF(_xlpm.v="","",_xlpm.v)),"")</f>
        <v/>
      </c>
      <c r="AP146" s="18" t="str">
        <f>IFERROR(_xlfn.LET(_xlpm.v,INDEX('product-export-27-8-2026'!$A:$AJ,MATCH($A146,'product-export-27-8-2026'!$A:$A,0),MATCH(AP$1,'product-export-27-8-2026'!$1:$1,0)),IF(_xlpm.v="","",_xlpm.v)),"")</f>
        <v/>
      </c>
      <c r="AQ146" s="18" t="str">
        <f>IFERROR(_xlfn.LET(_xlpm.v,INDEX('product-export-27-8-2026'!$A:$AJ,MATCH($A146,'product-export-27-8-2026'!$A:$A,0),MATCH(AQ$1,'product-export-27-8-2026'!$1:$1,0)),IF(_xlpm.v="","",_xlpm.v)),"")</f>
        <v/>
      </c>
      <c r="AR146" s="18" t="str">
        <f>IFERROR(_xlfn.LET(_xlpm.v,INDEX('product-export-27-8-2026'!$A:$AJ,MATCH($A146,'product-export-27-8-2026'!$A:$A,0),MATCH(AR$1,'product-export-27-8-2026'!$1:$1,0)),IF(_xlpm.v="","",_xlpm.v)),"")</f>
        <v>Card Holder, Dorchester Collection, Gifts</v>
      </c>
      <c r="AS146" s="18" t="str">
        <f>IFERROR(_xlfn.LET(_xlpm.v,INDEX('product-export-27-8-2026'!$A:$AJ,MATCH($A146,'product-export-27-8-2026'!$A:$A,0),MATCH(AS$1,'product-export-27-8-2026'!$1:$1,0)),IF(_xlpm.v="","",_xlpm.v)),"")</f>
        <v>Dorchester NewHide Card Holder</v>
      </c>
      <c r="BC146" s="15"/>
    </row>
    <row r="147" spans="1:55" s="20" customFormat="1" ht="27.6" customHeight="1" x14ac:dyDescent="0.3">
      <c r="A147" s="17">
        <v>3630</v>
      </c>
      <c r="B147" s="18" t="s">
        <v>476</v>
      </c>
      <c r="C147" s="18" t="s">
        <v>220</v>
      </c>
      <c r="D147" s="18" t="s">
        <v>225</v>
      </c>
      <c r="E147" s="19" t="s">
        <v>225</v>
      </c>
      <c r="F147" s="18" t="s">
        <v>222</v>
      </c>
      <c r="G147" s="18" t="s">
        <v>221</v>
      </c>
      <c r="H147" s="18" t="s">
        <v>792</v>
      </c>
      <c r="I147" s="18"/>
      <c r="J147" s="18" t="s">
        <v>576</v>
      </c>
      <c r="K147" s="18"/>
      <c r="L147" s="54"/>
      <c r="M147" s="26">
        <v>5.5</v>
      </c>
      <c r="N147" s="18" t="s">
        <v>223</v>
      </c>
      <c r="O147" s="58">
        <f t="shared" si="13"/>
        <v>6.41</v>
      </c>
      <c r="P147" s="58">
        <f t="shared" si="13"/>
        <v>5.95</v>
      </c>
      <c r="Q147" s="58">
        <f t="shared" si="13"/>
        <v>3.47</v>
      </c>
      <c r="R147" s="58">
        <f t="shared" si="13"/>
        <v>2.89</v>
      </c>
      <c r="S147" s="58">
        <f t="shared" si="13"/>
        <v>2.42</v>
      </c>
      <c r="T147" s="58">
        <f t="shared" si="13"/>
        <v>2.02</v>
      </c>
      <c r="U147" s="58">
        <f t="shared" si="13"/>
        <v>1.79</v>
      </c>
      <c r="V147" s="58">
        <f t="shared" si="13"/>
        <v>1.71</v>
      </c>
      <c r="W147" s="58">
        <f t="shared" si="13"/>
        <v>1.6</v>
      </c>
      <c r="X147" s="31" t="str" cm="1">
        <f t="array" ref="X147">IF(Y147="","",_xlfn.TEXTJOIN(";",TRUE,SUBSTITUTE($Y$1:$AG$1,"Qty ","")&amp;":"&amp;TEXT(Y147:AG147,"0.00"))&amp;";")</f>
        <v>1:9.83;10:8.58;25:5.30;50:4.39;100:3.80;250:3.28;500:2.99;750:2.88;1000:2.74;</v>
      </c>
      <c r="Y147" s="56">
        <f>'Blocking Prices'!$C$14+O147</f>
        <v>9.83</v>
      </c>
      <c r="Z147" s="56">
        <f>'Blocking Prices'!$D$14+P147</f>
        <v>8.58</v>
      </c>
      <c r="AA147" s="56">
        <f>'Blocking Prices'!$E$14+Q147</f>
        <v>5.3000000000000007</v>
      </c>
      <c r="AB147" s="56">
        <f>'Blocking Prices'!$F$14+R147</f>
        <v>4.3900000000000006</v>
      </c>
      <c r="AC147" s="56">
        <f>'Blocking Prices'!$G$14+S147</f>
        <v>3.8</v>
      </c>
      <c r="AD147" s="56">
        <f>'Blocking Prices'!$H$14+T147</f>
        <v>3.2800000000000002</v>
      </c>
      <c r="AE147" s="56">
        <f>'Blocking Prices'!$I$14+U147</f>
        <v>2.99</v>
      </c>
      <c r="AF147" s="56">
        <f>'Blocking Prices'!$J$14+V147</f>
        <v>2.88</v>
      </c>
      <c r="AG147" s="56">
        <f>'Blocking Prices'!$K$14+W147</f>
        <v>2.74</v>
      </c>
      <c r="AH147" s="17"/>
      <c r="AI147" s="17"/>
      <c r="AJ147" s="17"/>
      <c r="AK147" s="17"/>
      <c r="AL147" s="18" t="s">
        <v>1256</v>
      </c>
      <c r="AM147" s="18" t="s">
        <v>1257</v>
      </c>
      <c r="AN147" s="18" t="str">
        <f>IFERROR(_xlfn.LET(_xlpm.v,INDEX('product-export-27-8-2026'!$A:$AJ,MATCH($A147,'product-export-27-8-2026'!$A:$A,0),MATCH(AN$1,'product-export-27-8-2026'!$1:$1,0)),IF(_xlpm.v="","",_xlpm.v)),"")</f>
        <v/>
      </c>
      <c r="AO147" s="18" t="str">
        <f>IFERROR(_xlfn.LET(_xlpm.v,INDEX('product-export-27-8-2026'!$A:$AJ,MATCH($A147,'product-export-27-8-2026'!$A:$A,0),MATCH(AO$1,'product-export-27-8-2026'!$1:$1,0)),IF(_xlpm.v="","",_xlpm.v)),"")</f>
        <v/>
      </c>
      <c r="AP147" s="18" t="str">
        <f>IFERROR(_xlfn.LET(_xlpm.v,INDEX('product-export-27-8-2026'!$A:$AJ,MATCH($A147,'product-export-27-8-2026'!$A:$A,0),MATCH(AP$1,'product-export-27-8-2026'!$1:$1,0)),IF(_xlpm.v="","",_xlpm.v)),"")</f>
        <v/>
      </c>
      <c r="AQ147" s="18" t="str">
        <f>IFERROR(_xlfn.LET(_xlpm.v,INDEX('product-export-27-8-2026'!$A:$AJ,MATCH($A147,'product-export-27-8-2026'!$A:$A,0),MATCH(AQ$1,'product-export-27-8-2026'!$1:$1,0)),IF(_xlpm.v="","",_xlpm.v)),"")</f>
        <v/>
      </c>
      <c r="AR147" s="18" t="str">
        <f>IFERROR(_xlfn.LET(_xlpm.v,INDEX('product-export-27-8-2026'!$A:$AJ,MATCH($A147,'product-export-27-8-2026'!$A:$A,0),MATCH(AR$1,'product-export-27-8-2026'!$1:$1,0)),IF(_xlpm.v="","",_xlpm.v)),"")</f>
        <v>Card Holder, Dorchester Collection, Gifts</v>
      </c>
      <c r="AS147" s="18" t="str">
        <f>IFERROR(_xlfn.LET(_xlpm.v,INDEX('product-export-27-8-2026'!$A:$AJ,MATCH($A147,'product-export-27-8-2026'!$A:$A,0),MATCH(AS$1,'product-export-27-8-2026'!$1:$1,0)),IF(_xlpm.v="","",_xlpm.v)),"")</f>
        <v>Dorchester NewHide Card Holder</v>
      </c>
      <c r="BC147" s="15"/>
    </row>
    <row r="148" spans="1:55" s="20" customFormat="1" ht="27.6" customHeight="1" x14ac:dyDescent="0.3">
      <c r="A148" s="17">
        <v>3632</v>
      </c>
      <c r="B148" s="18" t="s">
        <v>477</v>
      </c>
      <c r="C148" s="18" t="s">
        <v>220</v>
      </c>
      <c r="D148" s="18" t="s">
        <v>226</v>
      </c>
      <c r="E148" s="19" t="s">
        <v>226</v>
      </c>
      <c r="F148" s="18" t="s">
        <v>222</v>
      </c>
      <c r="G148" s="18" t="s">
        <v>221</v>
      </c>
      <c r="H148" s="18" t="s">
        <v>1051</v>
      </c>
      <c r="I148" s="18"/>
      <c r="J148" s="18" t="s">
        <v>576</v>
      </c>
      <c r="K148" s="18"/>
      <c r="L148" s="54"/>
      <c r="M148" s="26">
        <v>5.5</v>
      </c>
      <c r="N148" s="18" t="s">
        <v>223</v>
      </c>
      <c r="O148" s="58">
        <f t="shared" si="13"/>
        <v>6.41</v>
      </c>
      <c r="P148" s="58">
        <f t="shared" si="13"/>
        <v>5.95</v>
      </c>
      <c r="Q148" s="58">
        <f t="shared" si="13"/>
        <v>3.47</v>
      </c>
      <c r="R148" s="58">
        <f t="shared" si="13"/>
        <v>2.89</v>
      </c>
      <c r="S148" s="58">
        <f t="shared" si="13"/>
        <v>2.42</v>
      </c>
      <c r="T148" s="58">
        <f t="shared" si="13"/>
        <v>2.02</v>
      </c>
      <c r="U148" s="58">
        <f t="shared" si="13"/>
        <v>1.79</v>
      </c>
      <c r="V148" s="58">
        <f t="shared" si="13"/>
        <v>1.71</v>
      </c>
      <c r="W148" s="58">
        <f t="shared" si="13"/>
        <v>1.6</v>
      </c>
      <c r="X148" s="31" t="str" cm="1">
        <f t="array" ref="X148">IF(Y148="","",_xlfn.TEXTJOIN(";",TRUE,SUBSTITUTE($Y$1:$AG$1,"Qty ","")&amp;":"&amp;TEXT(Y148:AG148,"0.00"))&amp;";")</f>
        <v>1:9.83;10:8.58;25:5.30;50:4.39;100:3.80;250:3.28;500:2.99;750:2.88;1000:2.74;</v>
      </c>
      <c r="Y148" s="56">
        <f>'Blocking Prices'!$C$14+O148</f>
        <v>9.83</v>
      </c>
      <c r="Z148" s="56">
        <f>'Blocking Prices'!$D$14+P148</f>
        <v>8.58</v>
      </c>
      <c r="AA148" s="56">
        <f>'Blocking Prices'!$E$14+Q148</f>
        <v>5.3000000000000007</v>
      </c>
      <c r="AB148" s="56">
        <f>'Blocking Prices'!$F$14+R148</f>
        <v>4.3900000000000006</v>
      </c>
      <c r="AC148" s="56">
        <f>'Blocking Prices'!$G$14+S148</f>
        <v>3.8</v>
      </c>
      <c r="AD148" s="56">
        <f>'Blocking Prices'!$H$14+T148</f>
        <v>3.2800000000000002</v>
      </c>
      <c r="AE148" s="56">
        <f>'Blocking Prices'!$I$14+U148</f>
        <v>2.99</v>
      </c>
      <c r="AF148" s="56">
        <f>'Blocking Prices'!$J$14+V148</f>
        <v>2.88</v>
      </c>
      <c r="AG148" s="56">
        <f>'Blocking Prices'!$K$14+W148</f>
        <v>2.74</v>
      </c>
      <c r="AH148" s="17"/>
      <c r="AI148" s="17"/>
      <c r="AJ148" s="17"/>
      <c r="AK148" s="17"/>
      <c r="AL148" s="18" t="s">
        <v>1256</v>
      </c>
      <c r="AM148" s="18" t="s">
        <v>1257</v>
      </c>
      <c r="AN148" s="18" t="str">
        <f>IFERROR(_xlfn.LET(_xlpm.v,INDEX('product-export-27-8-2026'!$A:$AJ,MATCH($A148,'product-export-27-8-2026'!$A:$A,0),MATCH(AN$1,'product-export-27-8-2026'!$1:$1,0)),IF(_xlpm.v="","",_xlpm.v)),"")</f>
        <v/>
      </c>
      <c r="AO148" s="18" t="str">
        <f>IFERROR(_xlfn.LET(_xlpm.v,INDEX('product-export-27-8-2026'!$A:$AJ,MATCH($A148,'product-export-27-8-2026'!$A:$A,0),MATCH(AO$1,'product-export-27-8-2026'!$1:$1,0)),IF(_xlpm.v="","",_xlpm.v)),"")</f>
        <v/>
      </c>
      <c r="AP148" s="18" t="str">
        <f>IFERROR(_xlfn.LET(_xlpm.v,INDEX('product-export-27-8-2026'!$A:$AJ,MATCH($A148,'product-export-27-8-2026'!$A:$A,0),MATCH(AP$1,'product-export-27-8-2026'!$1:$1,0)),IF(_xlpm.v="","",_xlpm.v)),"")</f>
        <v/>
      </c>
      <c r="AQ148" s="18" t="str">
        <f>IFERROR(_xlfn.LET(_xlpm.v,INDEX('product-export-27-8-2026'!$A:$AJ,MATCH($A148,'product-export-27-8-2026'!$A:$A,0),MATCH(AQ$1,'product-export-27-8-2026'!$1:$1,0)),IF(_xlpm.v="","",_xlpm.v)),"")</f>
        <v/>
      </c>
      <c r="AR148" s="18" t="str">
        <f>IFERROR(_xlfn.LET(_xlpm.v,INDEX('product-export-27-8-2026'!$A:$AJ,MATCH($A148,'product-export-27-8-2026'!$A:$A,0),MATCH(AR$1,'product-export-27-8-2026'!$1:$1,0)),IF(_xlpm.v="","",_xlpm.v)),"")</f>
        <v>Gifts</v>
      </c>
      <c r="AS148" s="18" t="str">
        <f>IFERROR(_xlfn.LET(_xlpm.v,INDEX('product-export-27-8-2026'!$A:$AJ,MATCH($A148,'product-export-27-8-2026'!$A:$A,0),MATCH(AS$1,'product-export-27-8-2026'!$1:$1,0)),IF(_xlpm.v="","",_xlpm.v)),"")</f>
        <v>Dorchester NewHide Card Holder</v>
      </c>
      <c r="BC148" s="15"/>
    </row>
    <row r="149" spans="1:55" s="20" customFormat="1" ht="27.6" customHeight="1" x14ac:dyDescent="0.3">
      <c r="A149" s="17">
        <v>3634</v>
      </c>
      <c r="B149" s="18" t="s">
        <v>478</v>
      </c>
      <c r="C149" s="18" t="s">
        <v>220</v>
      </c>
      <c r="D149" s="18" t="s">
        <v>227</v>
      </c>
      <c r="E149" s="19" t="s">
        <v>227</v>
      </c>
      <c r="F149" s="18" t="s">
        <v>222</v>
      </c>
      <c r="G149" s="18" t="s">
        <v>221</v>
      </c>
      <c r="H149" s="18" t="s">
        <v>789</v>
      </c>
      <c r="I149" s="18"/>
      <c r="J149" s="18" t="s">
        <v>576</v>
      </c>
      <c r="K149" s="18"/>
      <c r="L149" s="54"/>
      <c r="M149" s="26">
        <v>5.5</v>
      </c>
      <c r="N149" s="18" t="s">
        <v>223</v>
      </c>
      <c r="O149" s="58">
        <f t="shared" si="13"/>
        <v>6.41</v>
      </c>
      <c r="P149" s="58">
        <f t="shared" si="13"/>
        <v>5.95</v>
      </c>
      <c r="Q149" s="58">
        <f t="shared" si="13"/>
        <v>3.47</v>
      </c>
      <c r="R149" s="58">
        <f t="shared" si="13"/>
        <v>2.89</v>
      </c>
      <c r="S149" s="58">
        <f t="shared" si="13"/>
        <v>2.42</v>
      </c>
      <c r="T149" s="58">
        <f t="shared" si="13"/>
        <v>2.02</v>
      </c>
      <c r="U149" s="58">
        <f t="shared" si="13"/>
        <v>1.79</v>
      </c>
      <c r="V149" s="58">
        <f t="shared" si="13"/>
        <v>1.71</v>
      </c>
      <c r="W149" s="58">
        <f t="shared" si="13"/>
        <v>1.6</v>
      </c>
      <c r="X149" s="31" t="str" cm="1">
        <f t="array" ref="X149">IF(Y149="","",_xlfn.TEXTJOIN(";",TRUE,SUBSTITUTE($Y$1:$AG$1,"Qty ","")&amp;":"&amp;TEXT(Y149:AG149,"0.00"))&amp;";")</f>
        <v>1:9.83;10:8.58;25:5.30;50:4.39;100:3.80;250:3.28;500:2.99;750:2.88;1000:2.74;</v>
      </c>
      <c r="Y149" s="56">
        <f>'Blocking Prices'!$C$14+O149</f>
        <v>9.83</v>
      </c>
      <c r="Z149" s="56">
        <f>'Blocking Prices'!$D$14+P149</f>
        <v>8.58</v>
      </c>
      <c r="AA149" s="56">
        <f>'Blocking Prices'!$E$14+Q149</f>
        <v>5.3000000000000007</v>
      </c>
      <c r="AB149" s="56">
        <f>'Blocking Prices'!$F$14+R149</f>
        <v>4.3900000000000006</v>
      </c>
      <c r="AC149" s="56">
        <f>'Blocking Prices'!$G$14+S149</f>
        <v>3.8</v>
      </c>
      <c r="AD149" s="56">
        <f>'Blocking Prices'!$H$14+T149</f>
        <v>3.2800000000000002</v>
      </c>
      <c r="AE149" s="56">
        <f>'Blocking Prices'!$I$14+U149</f>
        <v>2.99</v>
      </c>
      <c r="AF149" s="56">
        <f>'Blocking Prices'!$J$14+V149</f>
        <v>2.88</v>
      </c>
      <c r="AG149" s="56">
        <f>'Blocking Prices'!$K$14+W149</f>
        <v>2.74</v>
      </c>
      <c r="AH149" s="17"/>
      <c r="AI149" s="17"/>
      <c r="AJ149" s="17"/>
      <c r="AK149" s="17"/>
      <c r="AL149" s="18" t="s">
        <v>1256</v>
      </c>
      <c r="AM149" s="18" t="s">
        <v>1257</v>
      </c>
      <c r="AN149" s="18" t="str">
        <f>IFERROR(_xlfn.LET(_xlpm.v,INDEX('product-export-27-8-2026'!$A:$AJ,MATCH($A149,'product-export-27-8-2026'!$A:$A,0),MATCH(AN$1,'product-export-27-8-2026'!$1:$1,0)),IF(_xlpm.v="","",_xlpm.v)),"")</f>
        <v/>
      </c>
      <c r="AO149" s="18" t="str">
        <f>IFERROR(_xlfn.LET(_xlpm.v,INDEX('product-export-27-8-2026'!$A:$AJ,MATCH($A149,'product-export-27-8-2026'!$A:$A,0),MATCH(AO$1,'product-export-27-8-2026'!$1:$1,0)),IF(_xlpm.v="","",_xlpm.v)),"")</f>
        <v/>
      </c>
      <c r="AP149" s="18" t="str">
        <f>IFERROR(_xlfn.LET(_xlpm.v,INDEX('product-export-27-8-2026'!$A:$AJ,MATCH($A149,'product-export-27-8-2026'!$A:$A,0),MATCH(AP$1,'product-export-27-8-2026'!$1:$1,0)),IF(_xlpm.v="","",_xlpm.v)),"")</f>
        <v/>
      </c>
      <c r="AQ149" s="18" t="str">
        <f>IFERROR(_xlfn.LET(_xlpm.v,INDEX('product-export-27-8-2026'!$A:$AJ,MATCH($A149,'product-export-27-8-2026'!$A:$A,0),MATCH(AQ$1,'product-export-27-8-2026'!$1:$1,0)),IF(_xlpm.v="","",_xlpm.v)),"")</f>
        <v/>
      </c>
      <c r="AR149" s="18" t="str">
        <f>IFERROR(_xlfn.LET(_xlpm.v,INDEX('product-export-27-8-2026'!$A:$AJ,MATCH($A149,'product-export-27-8-2026'!$A:$A,0),MATCH(AR$1,'product-export-27-8-2026'!$1:$1,0)),IF(_xlpm.v="","",_xlpm.v)),"")</f>
        <v>Gifts</v>
      </c>
      <c r="AS149" s="18" t="str">
        <f>IFERROR(_xlfn.LET(_xlpm.v,INDEX('product-export-27-8-2026'!$A:$AJ,MATCH($A149,'product-export-27-8-2026'!$A:$A,0),MATCH(AS$1,'product-export-27-8-2026'!$1:$1,0)),IF(_xlpm.v="","",_xlpm.v)),"")</f>
        <v>Dorchester NewHide Card Holder</v>
      </c>
      <c r="BC149" s="15"/>
    </row>
    <row r="150" spans="1:55" s="20" customFormat="1" ht="27.6" customHeight="1" x14ac:dyDescent="0.3">
      <c r="A150" s="17">
        <v>3638</v>
      </c>
      <c r="B150" s="18" t="s">
        <v>479</v>
      </c>
      <c r="C150" s="18" t="s">
        <v>220</v>
      </c>
      <c r="D150" s="18" t="s">
        <v>228</v>
      </c>
      <c r="E150" s="19" t="s">
        <v>228</v>
      </c>
      <c r="F150" s="18" t="s">
        <v>222</v>
      </c>
      <c r="G150" s="18" t="s">
        <v>221</v>
      </c>
      <c r="H150" s="18" t="s">
        <v>1594</v>
      </c>
      <c r="I150" s="18"/>
      <c r="J150" s="18" t="s">
        <v>576</v>
      </c>
      <c r="K150" s="18"/>
      <c r="L150" s="54"/>
      <c r="M150" s="26">
        <v>5.5</v>
      </c>
      <c r="N150" s="18" t="s">
        <v>223</v>
      </c>
      <c r="O150" s="58">
        <f t="shared" si="13"/>
        <v>6.41</v>
      </c>
      <c r="P150" s="58">
        <f t="shared" si="13"/>
        <v>5.95</v>
      </c>
      <c r="Q150" s="58">
        <f t="shared" si="13"/>
        <v>3.47</v>
      </c>
      <c r="R150" s="58">
        <f t="shared" si="13"/>
        <v>2.89</v>
      </c>
      <c r="S150" s="58">
        <f t="shared" si="13"/>
        <v>2.42</v>
      </c>
      <c r="T150" s="58">
        <f t="shared" si="13"/>
        <v>2.02</v>
      </c>
      <c r="U150" s="58">
        <f t="shared" si="13"/>
        <v>1.79</v>
      </c>
      <c r="V150" s="58">
        <f t="shared" si="13"/>
        <v>1.71</v>
      </c>
      <c r="W150" s="58">
        <f t="shared" si="13"/>
        <v>1.6</v>
      </c>
      <c r="X150" s="31" t="str" cm="1">
        <f t="array" ref="X150">IF(Y150="","",_xlfn.TEXTJOIN(";",TRUE,SUBSTITUTE($Y$1:$AG$1,"Qty ","")&amp;":"&amp;TEXT(Y150:AG150,"0.00"))&amp;";")</f>
        <v>1:9.83;10:8.58;25:5.30;50:4.39;100:3.80;250:3.28;500:2.99;750:2.88;1000:2.74;</v>
      </c>
      <c r="Y150" s="56">
        <f>'Blocking Prices'!$C$14+O150</f>
        <v>9.83</v>
      </c>
      <c r="Z150" s="56">
        <f>'Blocking Prices'!$D$14+P150</f>
        <v>8.58</v>
      </c>
      <c r="AA150" s="56">
        <f>'Blocking Prices'!$E$14+Q150</f>
        <v>5.3000000000000007</v>
      </c>
      <c r="AB150" s="56">
        <f>'Blocking Prices'!$F$14+R150</f>
        <v>4.3900000000000006</v>
      </c>
      <c r="AC150" s="56">
        <f>'Blocking Prices'!$G$14+S150</f>
        <v>3.8</v>
      </c>
      <c r="AD150" s="56">
        <f>'Blocking Prices'!$H$14+T150</f>
        <v>3.2800000000000002</v>
      </c>
      <c r="AE150" s="56">
        <f>'Blocking Prices'!$I$14+U150</f>
        <v>2.99</v>
      </c>
      <c r="AF150" s="56">
        <f>'Blocking Prices'!$J$14+V150</f>
        <v>2.88</v>
      </c>
      <c r="AG150" s="56">
        <f>'Blocking Prices'!$K$14+W150</f>
        <v>2.74</v>
      </c>
      <c r="AH150" s="17"/>
      <c r="AI150" s="17"/>
      <c r="AJ150" s="17"/>
      <c r="AK150" s="17"/>
      <c r="AL150" s="18" t="s">
        <v>1256</v>
      </c>
      <c r="AM150" s="18" t="s">
        <v>1257</v>
      </c>
      <c r="AN150" s="18" t="str">
        <f>IFERROR(_xlfn.LET(_xlpm.v,INDEX('product-export-27-8-2026'!$A:$AJ,MATCH($A150,'product-export-27-8-2026'!$A:$A,0),MATCH(AN$1,'product-export-27-8-2026'!$1:$1,0)),IF(_xlpm.v="","",_xlpm.v)),"")</f>
        <v/>
      </c>
      <c r="AO150" s="18" t="str">
        <f>IFERROR(_xlfn.LET(_xlpm.v,INDEX('product-export-27-8-2026'!$A:$AJ,MATCH($A150,'product-export-27-8-2026'!$A:$A,0),MATCH(AO$1,'product-export-27-8-2026'!$1:$1,0)),IF(_xlpm.v="","",_xlpm.v)),"")</f>
        <v/>
      </c>
      <c r="AP150" s="18" t="str">
        <f>IFERROR(_xlfn.LET(_xlpm.v,INDEX('product-export-27-8-2026'!$A:$AJ,MATCH($A150,'product-export-27-8-2026'!$A:$A,0),MATCH(AP$1,'product-export-27-8-2026'!$1:$1,0)),IF(_xlpm.v="","",_xlpm.v)),"")</f>
        <v/>
      </c>
      <c r="AQ150" s="18" t="str">
        <f>IFERROR(_xlfn.LET(_xlpm.v,INDEX('product-export-27-8-2026'!$A:$AJ,MATCH($A150,'product-export-27-8-2026'!$A:$A,0),MATCH(AQ$1,'product-export-27-8-2026'!$1:$1,0)),IF(_xlpm.v="","",_xlpm.v)),"")</f>
        <v/>
      </c>
      <c r="AR150" s="18" t="str">
        <f>IFERROR(_xlfn.LET(_xlpm.v,INDEX('product-export-27-8-2026'!$A:$AJ,MATCH($A150,'product-export-27-8-2026'!$A:$A,0),MATCH(AR$1,'product-export-27-8-2026'!$1:$1,0)),IF(_xlpm.v="","",_xlpm.v)),"")</f>
        <v>Gifts</v>
      </c>
      <c r="AS150" s="18" t="str">
        <f>IFERROR(_xlfn.LET(_xlpm.v,INDEX('product-export-27-8-2026'!$A:$AJ,MATCH($A150,'product-export-27-8-2026'!$A:$A,0),MATCH(AS$1,'product-export-27-8-2026'!$1:$1,0)),IF(_xlpm.v="","",_xlpm.v)),"")</f>
        <v>Dorchester NewHide Card Holder</v>
      </c>
      <c r="BC150" s="15"/>
    </row>
    <row r="151" spans="1:55" s="20" customFormat="1" ht="27.6" customHeight="1" x14ac:dyDescent="0.3">
      <c r="A151" s="17">
        <v>3640</v>
      </c>
      <c r="B151" s="18" t="s">
        <v>480</v>
      </c>
      <c r="C151" s="18" t="s">
        <v>220</v>
      </c>
      <c r="D151" s="18" t="s">
        <v>229</v>
      </c>
      <c r="E151" s="19" t="s">
        <v>229</v>
      </c>
      <c r="F151" s="18" t="s">
        <v>222</v>
      </c>
      <c r="G151" s="18" t="s">
        <v>221</v>
      </c>
      <c r="H151" s="18" t="s">
        <v>728</v>
      </c>
      <c r="I151" s="18"/>
      <c r="J151" s="18" t="s">
        <v>576</v>
      </c>
      <c r="K151" s="18"/>
      <c r="L151" s="54"/>
      <c r="M151" s="26">
        <v>5.5</v>
      </c>
      <c r="N151" s="18" t="s">
        <v>223</v>
      </c>
      <c r="O151" s="58">
        <f t="shared" si="13"/>
        <v>6.41</v>
      </c>
      <c r="P151" s="58">
        <f t="shared" si="13"/>
        <v>5.95</v>
      </c>
      <c r="Q151" s="58">
        <f t="shared" si="13"/>
        <v>3.47</v>
      </c>
      <c r="R151" s="58">
        <f t="shared" si="13"/>
        <v>2.89</v>
      </c>
      <c r="S151" s="58">
        <f t="shared" si="13"/>
        <v>2.42</v>
      </c>
      <c r="T151" s="58">
        <f t="shared" si="13"/>
        <v>2.02</v>
      </c>
      <c r="U151" s="58">
        <f t="shared" si="13"/>
        <v>1.79</v>
      </c>
      <c r="V151" s="58">
        <f t="shared" si="13"/>
        <v>1.71</v>
      </c>
      <c r="W151" s="58">
        <f t="shared" si="13"/>
        <v>1.6</v>
      </c>
      <c r="X151" s="31" t="str" cm="1">
        <f t="array" ref="X151">IF(Y151="","",_xlfn.TEXTJOIN(";",TRUE,SUBSTITUTE($Y$1:$AG$1,"Qty ","")&amp;":"&amp;TEXT(Y151:AG151,"0.00"))&amp;";")</f>
        <v>1:9.83;10:8.58;25:5.30;50:4.39;100:3.80;250:3.28;500:2.99;750:2.88;1000:2.74;</v>
      </c>
      <c r="Y151" s="56">
        <f>'Blocking Prices'!$C$14+O151</f>
        <v>9.83</v>
      </c>
      <c r="Z151" s="56">
        <f>'Blocking Prices'!$D$14+P151</f>
        <v>8.58</v>
      </c>
      <c r="AA151" s="56">
        <f>'Blocking Prices'!$E$14+Q151</f>
        <v>5.3000000000000007</v>
      </c>
      <c r="AB151" s="56">
        <f>'Blocking Prices'!$F$14+R151</f>
        <v>4.3900000000000006</v>
      </c>
      <c r="AC151" s="56">
        <f>'Blocking Prices'!$G$14+S151</f>
        <v>3.8</v>
      </c>
      <c r="AD151" s="56">
        <f>'Blocking Prices'!$H$14+T151</f>
        <v>3.2800000000000002</v>
      </c>
      <c r="AE151" s="56">
        <f>'Blocking Prices'!$I$14+U151</f>
        <v>2.99</v>
      </c>
      <c r="AF151" s="56">
        <f>'Blocking Prices'!$J$14+V151</f>
        <v>2.88</v>
      </c>
      <c r="AG151" s="56">
        <f>'Blocking Prices'!$K$14+W151</f>
        <v>2.74</v>
      </c>
      <c r="AH151" s="17"/>
      <c r="AI151" s="17"/>
      <c r="AJ151" s="17"/>
      <c r="AK151" s="17"/>
      <c r="AL151" s="18" t="s">
        <v>1256</v>
      </c>
      <c r="AM151" s="18" t="s">
        <v>1257</v>
      </c>
      <c r="AN151" s="18" t="str">
        <f>IFERROR(_xlfn.LET(_xlpm.v,INDEX('product-export-27-8-2026'!$A:$AJ,MATCH($A151,'product-export-27-8-2026'!$A:$A,0),MATCH(AN$1,'product-export-27-8-2026'!$1:$1,0)),IF(_xlpm.v="","",_xlpm.v)),"")</f>
        <v/>
      </c>
      <c r="AO151" s="18" t="str">
        <f>IFERROR(_xlfn.LET(_xlpm.v,INDEX('product-export-27-8-2026'!$A:$AJ,MATCH($A151,'product-export-27-8-2026'!$A:$A,0),MATCH(AO$1,'product-export-27-8-2026'!$1:$1,0)),IF(_xlpm.v="","",_xlpm.v)),"")</f>
        <v/>
      </c>
      <c r="AP151" s="18" t="str">
        <f>IFERROR(_xlfn.LET(_xlpm.v,INDEX('product-export-27-8-2026'!$A:$AJ,MATCH($A151,'product-export-27-8-2026'!$A:$A,0),MATCH(AP$1,'product-export-27-8-2026'!$1:$1,0)),IF(_xlpm.v="","",_xlpm.v)),"")</f>
        <v/>
      </c>
      <c r="AQ151" s="18" t="str">
        <f>IFERROR(_xlfn.LET(_xlpm.v,INDEX('product-export-27-8-2026'!$A:$AJ,MATCH($A151,'product-export-27-8-2026'!$A:$A,0),MATCH(AQ$1,'product-export-27-8-2026'!$1:$1,0)),IF(_xlpm.v="","",_xlpm.v)),"")</f>
        <v/>
      </c>
      <c r="AR151" s="18" t="str">
        <f>IFERROR(_xlfn.LET(_xlpm.v,INDEX('product-export-27-8-2026'!$A:$AJ,MATCH($A151,'product-export-27-8-2026'!$A:$A,0),MATCH(AR$1,'product-export-27-8-2026'!$1:$1,0)),IF(_xlpm.v="","",_xlpm.v)),"")</f>
        <v>Gifts</v>
      </c>
      <c r="AS151" s="18" t="str">
        <f>IFERROR(_xlfn.LET(_xlpm.v,INDEX('product-export-27-8-2026'!$A:$AJ,MATCH($A151,'product-export-27-8-2026'!$A:$A,0),MATCH(AS$1,'product-export-27-8-2026'!$1:$1,0)),IF(_xlpm.v="","",_xlpm.v)),"")</f>
        <v>Dorchester NewHide Card Holder</v>
      </c>
      <c r="BC151" s="15"/>
    </row>
    <row r="152" spans="1:55" s="20" customFormat="1" ht="27.6" customHeight="1" x14ac:dyDescent="0.3">
      <c r="A152" s="17">
        <v>3643</v>
      </c>
      <c r="B152" s="18" t="s">
        <v>507</v>
      </c>
      <c r="C152" s="18" t="s">
        <v>220</v>
      </c>
      <c r="D152" s="18" t="s">
        <v>261</v>
      </c>
      <c r="E152" s="19" t="s">
        <v>229</v>
      </c>
      <c r="F152" s="18" t="s">
        <v>222</v>
      </c>
      <c r="G152" s="18" t="s">
        <v>221</v>
      </c>
      <c r="H152" s="18" t="s">
        <v>720</v>
      </c>
      <c r="I152" s="18"/>
      <c r="J152" s="18" t="s">
        <v>576</v>
      </c>
      <c r="K152" s="18"/>
      <c r="L152" s="54"/>
      <c r="M152" s="26">
        <v>5.5</v>
      </c>
      <c r="N152" s="18" t="s">
        <v>223</v>
      </c>
      <c r="O152" s="58">
        <f t="shared" ref="O152:W161" si="14">IFERROR(VALUE(_xlfn.TEXTBEFORE(_xlfn.TEXTAFTER(";"&amp;$N152,";"&amp;SUBSTITUTE(O$1,"Qty ","")&amp;":"),";")),"")</f>
        <v>6.41</v>
      </c>
      <c r="P152" s="58">
        <f t="shared" si="14"/>
        <v>5.95</v>
      </c>
      <c r="Q152" s="58">
        <f t="shared" si="14"/>
        <v>3.47</v>
      </c>
      <c r="R152" s="58">
        <f t="shared" si="14"/>
        <v>2.89</v>
      </c>
      <c r="S152" s="58">
        <f t="shared" si="14"/>
        <v>2.42</v>
      </c>
      <c r="T152" s="58">
        <f t="shared" si="14"/>
        <v>2.02</v>
      </c>
      <c r="U152" s="58">
        <f t="shared" si="14"/>
        <v>1.79</v>
      </c>
      <c r="V152" s="58">
        <f t="shared" si="14"/>
        <v>1.71</v>
      </c>
      <c r="W152" s="58">
        <f t="shared" si="14"/>
        <v>1.6</v>
      </c>
      <c r="X152" s="31" t="str" cm="1">
        <f t="array" ref="X152">IF(Y152="","",_xlfn.TEXTJOIN(";",TRUE,SUBSTITUTE($Y$1:$AG$1,"Qty ","")&amp;":"&amp;TEXT(Y152:AG152,"0.00"))&amp;";")</f>
        <v>1:9.83;10:8.58;25:5.30;50:4.39;100:3.80;250:3.28;500:2.99;750:2.88;1000:2.74;</v>
      </c>
      <c r="Y152" s="56">
        <f>'Blocking Prices'!$C$14+O152</f>
        <v>9.83</v>
      </c>
      <c r="Z152" s="56">
        <f>'Blocking Prices'!$D$14+P152</f>
        <v>8.58</v>
      </c>
      <c r="AA152" s="56">
        <f>'Blocking Prices'!$E$14+Q152</f>
        <v>5.3000000000000007</v>
      </c>
      <c r="AB152" s="56">
        <f>'Blocking Prices'!$F$14+R152</f>
        <v>4.3900000000000006</v>
      </c>
      <c r="AC152" s="56">
        <f>'Blocking Prices'!$G$14+S152</f>
        <v>3.8</v>
      </c>
      <c r="AD152" s="56">
        <f>'Blocking Prices'!$H$14+T152</f>
        <v>3.2800000000000002</v>
      </c>
      <c r="AE152" s="56">
        <f>'Blocking Prices'!$I$14+U152</f>
        <v>2.99</v>
      </c>
      <c r="AF152" s="56">
        <f>'Blocking Prices'!$J$14+V152</f>
        <v>2.88</v>
      </c>
      <c r="AG152" s="56">
        <f>'Blocking Prices'!$K$14+W152</f>
        <v>2.74</v>
      </c>
      <c r="AH152" s="17"/>
      <c r="AI152" s="17"/>
      <c r="AJ152" s="17"/>
      <c r="AK152" s="17"/>
      <c r="AL152" s="18" t="s">
        <v>1256</v>
      </c>
      <c r="AM152" s="18" t="s">
        <v>1257</v>
      </c>
      <c r="AN152" s="18" t="str">
        <f>IFERROR(_xlfn.LET(_xlpm.v,INDEX('product-export-27-8-2026'!$A:$AJ,MATCH($A152,'product-export-27-8-2026'!$A:$A,0),MATCH(AN$1,'product-export-27-8-2026'!$1:$1,0)),IF(_xlpm.v="","",_xlpm.v)),"")</f>
        <v/>
      </c>
      <c r="AO152" s="18" t="str">
        <f>IFERROR(_xlfn.LET(_xlpm.v,INDEX('product-export-27-8-2026'!$A:$AJ,MATCH($A152,'product-export-27-8-2026'!$A:$A,0),MATCH(AO$1,'product-export-27-8-2026'!$1:$1,0)),IF(_xlpm.v="","",_xlpm.v)),"")</f>
        <v/>
      </c>
      <c r="AP152" s="18" t="str">
        <f>IFERROR(_xlfn.LET(_xlpm.v,INDEX('product-export-27-8-2026'!$A:$AJ,MATCH($A152,'product-export-27-8-2026'!$A:$A,0),MATCH(AP$1,'product-export-27-8-2026'!$1:$1,0)),IF(_xlpm.v="","",_xlpm.v)),"")</f>
        <v/>
      </c>
      <c r="AQ152" s="18" t="str">
        <f>IFERROR(_xlfn.LET(_xlpm.v,INDEX('product-export-27-8-2026'!$A:$AJ,MATCH($A152,'product-export-27-8-2026'!$A:$A,0),MATCH(AQ$1,'product-export-27-8-2026'!$1:$1,0)),IF(_xlpm.v="","",_xlpm.v)),"")</f>
        <v/>
      </c>
      <c r="AR152" s="18" t="str">
        <f>IFERROR(_xlfn.LET(_xlpm.v,INDEX('product-export-27-8-2026'!$A:$AJ,MATCH($A152,'product-export-27-8-2026'!$A:$A,0),MATCH(AR$1,'product-export-27-8-2026'!$1:$1,0)),IF(_xlpm.v="","",_xlpm.v)),"")</f>
        <v>Card Holder, Dorchester Collection, Gifts</v>
      </c>
      <c r="AS152" s="18" t="str">
        <f>IFERROR(_xlfn.LET(_xlpm.v,INDEX('product-export-27-8-2026'!$A:$AJ,MATCH($A152,'product-export-27-8-2026'!$A:$A,0),MATCH(AS$1,'product-export-27-8-2026'!$1:$1,0)),IF(_xlpm.v="","",_xlpm.v)),"")</f>
        <v>Dorchester NewHide Card Holder</v>
      </c>
      <c r="BC152" s="15"/>
    </row>
    <row r="153" spans="1:55" s="20" customFormat="1" ht="27.6" customHeight="1" x14ac:dyDescent="0.3">
      <c r="A153" s="17">
        <v>4185</v>
      </c>
      <c r="B153" s="18" t="s">
        <v>481</v>
      </c>
      <c r="C153" s="18" t="s">
        <v>18</v>
      </c>
      <c r="D153" s="18" t="s">
        <v>230</v>
      </c>
      <c r="E153" s="19" t="s">
        <v>230</v>
      </c>
      <c r="F153" s="18" t="s">
        <v>35</v>
      </c>
      <c r="G153" s="18" t="s">
        <v>19</v>
      </c>
      <c r="H153" s="18" t="s">
        <v>696</v>
      </c>
      <c r="I153" s="12" t="s">
        <v>20</v>
      </c>
      <c r="J153" s="18" t="s">
        <v>87</v>
      </c>
      <c r="K153" s="12" t="s">
        <v>1666</v>
      </c>
      <c r="L153" s="60">
        <v>0.42</v>
      </c>
      <c r="M153" s="26">
        <v>8.99</v>
      </c>
      <c r="N153" s="18" t="s">
        <v>36</v>
      </c>
      <c r="O153" s="58">
        <f t="shared" si="14"/>
        <v>9.09</v>
      </c>
      <c r="P153" s="58">
        <f t="shared" si="14"/>
        <v>8.7100000000000009</v>
      </c>
      <c r="Q153" s="58">
        <f t="shared" si="14"/>
        <v>5.2</v>
      </c>
      <c r="R153" s="58">
        <f t="shared" si="14"/>
        <v>4.33</v>
      </c>
      <c r="S153" s="58">
        <f t="shared" si="14"/>
        <v>3.6</v>
      </c>
      <c r="T153" s="58">
        <f t="shared" si="14"/>
        <v>2.98</v>
      </c>
      <c r="U153" s="58">
        <f t="shared" si="14"/>
        <v>2.61</v>
      </c>
      <c r="V153" s="58">
        <f t="shared" si="14"/>
        <v>2.5</v>
      </c>
      <c r="W153" s="58">
        <f t="shared" si="14"/>
        <v>2.31</v>
      </c>
      <c r="X153" s="31" t="str" cm="1">
        <f t="array" ref="X153">IF(Y153="","",_xlfn.TEXTJOIN(";",TRUE,SUBSTITUTE($Y$1:$AG$1,"Qty ","")&amp;":"&amp;TEXT(Y153:AG153,"0.00"))&amp;";")</f>
        <v>1:12.51;10:11.34;25:7.03;50:5.83;100:4.98;250:4.24;500:3.81;750:3.67;1000:3.45;</v>
      </c>
      <c r="Y153" s="56">
        <f>'Blocking Prices'!$C$14+O153</f>
        <v>12.51</v>
      </c>
      <c r="Z153" s="56">
        <f>'Blocking Prices'!$D$14+P153</f>
        <v>11.34</v>
      </c>
      <c r="AA153" s="56">
        <f>'Blocking Prices'!$E$14+Q153</f>
        <v>7.03</v>
      </c>
      <c r="AB153" s="56">
        <f>'Blocking Prices'!$F$14+R153</f>
        <v>5.83</v>
      </c>
      <c r="AC153" s="56">
        <f>'Blocking Prices'!$G$14+S153</f>
        <v>4.9800000000000004</v>
      </c>
      <c r="AD153" s="56">
        <f>'Blocking Prices'!$H$14+T153</f>
        <v>4.24</v>
      </c>
      <c r="AE153" s="56">
        <f>'Blocking Prices'!$I$14+U153</f>
        <v>3.8099999999999996</v>
      </c>
      <c r="AF153" s="56">
        <f>'Blocking Prices'!$J$14+V153</f>
        <v>3.67</v>
      </c>
      <c r="AG153" s="56">
        <f>'Blocking Prices'!$K$14+W153</f>
        <v>3.45</v>
      </c>
      <c r="AH153" s="17"/>
      <c r="AI153" s="17"/>
      <c r="AJ153" s="17"/>
      <c r="AK153" s="17"/>
      <c r="AL153" s="18" t="s">
        <v>724</v>
      </c>
      <c r="AM153" s="18" t="s">
        <v>576</v>
      </c>
      <c r="AN153" s="18" t="str">
        <f>IFERROR(_xlfn.LET(_xlpm.v,INDEX('product-export-27-8-2026'!$A:$AJ,MATCH($A153,'product-export-27-8-2026'!$A:$A,0),MATCH(AN$1,'product-export-27-8-2026'!$1:$1,0)),IF(_xlpm.v="","",_xlpm.v)),"")</f>
        <v/>
      </c>
      <c r="AO153" s="18" t="str">
        <f>IFERROR(_xlfn.LET(_xlpm.v,INDEX('product-export-27-8-2026'!$A:$AJ,MATCH($A153,'product-export-27-8-2026'!$A:$A,0),MATCH(AO$1,'product-export-27-8-2026'!$1:$1,0)),IF(_xlpm.v="","",_xlpm.v)),"")</f>
        <v/>
      </c>
      <c r="AP153" s="18" t="str">
        <f>IFERROR(_xlfn.LET(_xlpm.v,INDEX('product-export-27-8-2026'!$A:$AJ,MATCH($A153,'product-export-27-8-2026'!$A:$A,0),MATCH(AP$1,'product-export-27-8-2026'!$1:$1,0)),IF(_xlpm.v="","",_xlpm.v)),"")</f>
        <v/>
      </c>
      <c r="AQ153" s="18" t="str">
        <f>IFERROR(_xlfn.LET(_xlpm.v,INDEX('product-export-27-8-2026'!$A:$AJ,MATCH($A153,'product-export-27-8-2026'!$A:$A,0),MATCH(AQ$1,'product-export-27-8-2026'!$1:$1,0)),IF(_xlpm.v="","",_xlpm.v)),"")</f>
        <v/>
      </c>
      <c r="AR153" s="18" t="str">
        <f>IFERROR(_xlfn.LET(_xlpm.v,INDEX('product-export-27-8-2026'!$A:$AJ,MATCH($A153,'product-export-27-8-2026'!$A:$A,0),MATCH(AR$1,'product-export-27-8-2026'!$1:$1,0)),IF(_xlpm.v="","",_xlpm.v)),"")</f>
        <v>Diaries, Dorchester Collection, Diaries &gt; Pocket Diaries</v>
      </c>
      <c r="AS153" s="18" t="str">
        <f>IFERROR(_xlfn.LET(_xlpm.v,INDEX('product-export-27-8-2026'!$A:$AJ,MATCH($A153,'product-export-27-8-2026'!$A:$A,0),MATCH(AS$1,'product-export-27-8-2026'!$1:$1,0)),IF(_xlpm.v="","",_xlpm.v)),"")</f>
        <v>Dorchester-NewHide-Pocket-Week-to-View</v>
      </c>
      <c r="BC153" s="15"/>
    </row>
    <row r="154" spans="1:55" s="20" customFormat="1" ht="27.6" customHeight="1" x14ac:dyDescent="0.3">
      <c r="A154" s="17">
        <v>4188</v>
      </c>
      <c r="B154" s="18" t="s">
        <v>482</v>
      </c>
      <c r="C154" s="18" t="s">
        <v>18</v>
      </c>
      <c r="D154" s="18" t="s">
        <v>231</v>
      </c>
      <c r="E154" s="19" t="s">
        <v>231</v>
      </c>
      <c r="F154" s="18" t="s">
        <v>35</v>
      </c>
      <c r="G154" s="18" t="s">
        <v>19</v>
      </c>
      <c r="H154" s="18" t="s">
        <v>789</v>
      </c>
      <c r="I154" s="12" t="s">
        <v>20</v>
      </c>
      <c r="J154" s="18" t="s">
        <v>87</v>
      </c>
      <c r="K154" s="12" t="s">
        <v>1666</v>
      </c>
      <c r="L154" s="60">
        <v>0.42</v>
      </c>
      <c r="M154" s="26">
        <v>8.99</v>
      </c>
      <c r="N154" s="18" t="s">
        <v>36</v>
      </c>
      <c r="O154" s="58">
        <f t="shared" si="14"/>
        <v>9.09</v>
      </c>
      <c r="P154" s="58">
        <f t="shared" si="14"/>
        <v>8.7100000000000009</v>
      </c>
      <c r="Q154" s="58">
        <f t="shared" si="14"/>
        <v>5.2</v>
      </c>
      <c r="R154" s="58">
        <f t="shared" si="14"/>
        <v>4.33</v>
      </c>
      <c r="S154" s="58">
        <f t="shared" si="14"/>
        <v>3.6</v>
      </c>
      <c r="T154" s="58">
        <f t="shared" si="14"/>
        <v>2.98</v>
      </c>
      <c r="U154" s="58">
        <f t="shared" si="14"/>
        <v>2.61</v>
      </c>
      <c r="V154" s="58">
        <f t="shared" si="14"/>
        <v>2.5</v>
      </c>
      <c r="W154" s="58">
        <f t="shared" si="14"/>
        <v>2.31</v>
      </c>
      <c r="X154" s="31" t="str" cm="1">
        <f t="array" ref="X154">IF(Y154="","",_xlfn.TEXTJOIN(";",TRUE,SUBSTITUTE($Y$1:$AG$1,"Qty ","")&amp;":"&amp;TEXT(Y154:AG154,"0.00"))&amp;";")</f>
        <v>1:12.51;10:11.34;25:7.03;50:5.83;100:4.98;250:4.24;500:3.81;750:3.67;1000:3.45;</v>
      </c>
      <c r="Y154" s="56">
        <f>'Blocking Prices'!$C$14+O154</f>
        <v>12.51</v>
      </c>
      <c r="Z154" s="56">
        <f>'Blocking Prices'!$D$14+P154</f>
        <v>11.34</v>
      </c>
      <c r="AA154" s="56">
        <f>'Blocking Prices'!$E$14+Q154</f>
        <v>7.03</v>
      </c>
      <c r="AB154" s="56">
        <f>'Blocking Prices'!$F$14+R154</f>
        <v>5.83</v>
      </c>
      <c r="AC154" s="56">
        <f>'Blocking Prices'!$G$14+S154</f>
        <v>4.9800000000000004</v>
      </c>
      <c r="AD154" s="56">
        <f>'Blocking Prices'!$H$14+T154</f>
        <v>4.24</v>
      </c>
      <c r="AE154" s="56">
        <f>'Blocking Prices'!$I$14+U154</f>
        <v>3.8099999999999996</v>
      </c>
      <c r="AF154" s="56">
        <f>'Blocking Prices'!$J$14+V154</f>
        <v>3.67</v>
      </c>
      <c r="AG154" s="56">
        <f>'Blocking Prices'!$K$14+W154</f>
        <v>3.45</v>
      </c>
      <c r="AH154" s="17"/>
      <c r="AI154" s="17"/>
      <c r="AJ154" s="17"/>
      <c r="AK154" s="17"/>
      <c r="AL154" s="18" t="s">
        <v>724</v>
      </c>
      <c r="AM154" s="18" t="s">
        <v>576</v>
      </c>
      <c r="AN154" s="18" t="str">
        <f>IFERROR(_xlfn.LET(_xlpm.v,INDEX('product-export-27-8-2026'!$A:$AJ,MATCH($A154,'product-export-27-8-2026'!$A:$A,0),MATCH(AN$1,'product-export-27-8-2026'!$1:$1,0)),IF(_xlpm.v="","",_xlpm.v)),"")</f>
        <v/>
      </c>
      <c r="AO154" s="18" t="str">
        <f>IFERROR(_xlfn.LET(_xlpm.v,INDEX('product-export-27-8-2026'!$A:$AJ,MATCH($A154,'product-export-27-8-2026'!$A:$A,0),MATCH(AO$1,'product-export-27-8-2026'!$1:$1,0)),IF(_xlpm.v="","",_xlpm.v)),"")</f>
        <v/>
      </c>
      <c r="AP154" s="18" t="str">
        <f>IFERROR(_xlfn.LET(_xlpm.v,INDEX('product-export-27-8-2026'!$A:$AJ,MATCH($A154,'product-export-27-8-2026'!$A:$A,0),MATCH(AP$1,'product-export-27-8-2026'!$1:$1,0)),IF(_xlpm.v="","",_xlpm.v)),"")</f>
        <v/>
      </c>
      <c r="AQ154" s="18" t="str">
        <f>IFERROR(_xlfn.LET(_xlpm.v,INDEX('product-export-27-8-2026'!$A:$AJ,MATCH($A154,'product-export-27-8-2026'!$A:$A,0),MATCH(AQ$1,'product-export-27-8-2026'!$1:$1,0)),IF(_xlpm.v="","",_xlpm.v)),"")</f>
        <v/>
      </c>
      <c r="AR154" s="18" t="str">
        <f>IFERROR(_xlfn.LET(_xlpm.v,INDEX('product-export-27-8-2026'!$A:$AJ,MATCH($A154,'product-export-27-8-2026'!$A:$A,0),MATCH(AR$1,'product-export-27-8-2026'!$1:$1,0)),IF(_xlpm.v="","",_xlpm.v)),"")</f>
        <v>Diaries, Dorchester Collection, Diaries &gt; Pocket Diaries</v>
      </c>
      <c r="AS154" s="18" t="str">
        <f>IFERROR(_xlfn.LET(_xlpm.v,INDEX('product-export-27-8-2026'!$A:$AJ,MATCH($A154,'product-export-27-8-2026'!$A:$A,0),MATCH(AS$1,'product-export-27-8-2026'!$1:$1,0)),IF(_xlpm.v="","",_xlpm.v)),"")</f>
        <v>Dorchester-NewHide-Pocket-Week-to-View</v>
      </c>
      <c r="BC154" s="15"/>
    </row>
    <row r="155" spans="1:55" s="20" customFormat="1" ht="27.6" customHeight="1" x14ac:dyDescent="0.3">
      <c r="A155" s="17">
        <v>4190</v>
      </c>
      <c r="B155" s="18" t="s">
        <v>483</v>
      </c>
      <c r="C155" s="18" t="s">
        <v>18</v>
      </c>
      <c r="D155" s="18" t="s">
        <v>232</v>
      </c>
      <c r="E155" s="19" t="s">
        <v>232</v>
      </c>
      <c r="F155" s="18" t="s">
        <v>35</v>
      </c>
      <c r="G155" s="18" t="s">
        <v>19</v>
      </c>
      <c r="H155" s="18" t="s">
        <v>1051</v>
      </c>
      <c r="I155" s="12" t="s">
        <v>20</v>
      </c>
      <c r="J155" s="18" t="s">
        <v>87</v>
      </c>
      <c r="K155" s="12" t="s">
        <v>1666</v>
      </c>
      <c r="L155" s="60">
        <v>0.42</v>
      </c>
      <c r="M155" s="26">
        <v>8.99</v>
      </c>
      <c r="N155" s="18" t="s">
        <v>36</v>
      </c>
      <c r="O155" s="58">
        <f t="shared" si="14"/>
        <v>9.09</v>
      </c>
      <c r="P155" s="58">
        <f t="shared" si="14"/>
        <v>8.7100000000000009</v>
      </c>
      <c r="Q155" s="58">
        <f t="shared" si="14"/>
        <v>5.2</v>
      </c>
      <c r="R155" s="58">
        <f t="shared" si="14"/>
        <v>4.33</v>
      </c>
      <c r="S155" s="58">
        <f t="shared" si="14"/>
        <v>3.6</v>
      </c>
      <c r="T155" s="58">
        <f t="shared" si="14"/>
        <v>2.98</v>
      </c>
      <c r="U155" s="58">
        <f t="shared" si="14"/>
        <v>2.61</v>
      </c>
      <c r="V155" s="58">
        <f t="shared" si="14"/>
        <v>2.5</v>
      </c>
      <c r="W155" s="58">
        <f t="shared" si="14"/>
        <v>2.31</v>
      </c>
      <c r="X155" s="31" t="str" cm="1">
        <f t="array" ref="X155">IF(Y155="","",_xlfn.TEXTJOIN(";",TRUE,SUBSTITUTE($Y$1:$AG$1,"Qty ","")&amp;":"&amp;TEXT(Y155:AG155,"0.00"))&amp;";")</f>
        <v>1:12.51;10:11.34;25:7.03;50:5.83;100:4.98;250:4.24;500:3.81;750:3.67;1000:3.45;</v>
      </c>
      <c r="Y155" s="56">
        <f>'Blocking Prices'!$C$14+O155</f>
        <v>12.51</v>
      </c>
      <c r="Z155" s="56">
        <f>'Blocking Prices'!$D$14+P155</f>
        <v>11.34</v>
      </c>
      <c r="AA155" s="56">
        <f>'Blocking Prices'!$E$14+Q155</f>
        <v>7.03</v>
      </c>
      <c r="AB155" s="56">
        <f>'Blocking Prices'!$F$14+R155</f>
        <v>5.83</v>
      </c>
      <c r="AC155" s="56">
        <f>'Blocking Prices'!$G$14+S155</f>
        <v>4.9800000000000004</v>
      </c>
      <c r="AD155" s="56">
        <f>'Blocking Prices'!$H$14+T155</f>
        <v>4.24</v>
      </c>
      <c r="AE155" s="56">
        <f>'Blocking Prices'!$I$14+U155</f>
        <v>3.8099999999999996</v>
      </c>
      <c r="AF155" s="56">
        <f>'Blocking Prices'!$J$14+V155</f>
        <v>3.67</v>
      </c>
      <c r="AG155" s="56">
        <f>'Blocking Prices'!$K$14+W155</f>
        <v>3.45</v>
      </c>
      <c r="AH155" s="17"/>
      <c r="AI155" s="17"/>
      <c r="AJ155" s="17"/>
      <c r="AK155" s="17"/>
      <c r="AL155" s="18" t="s">
        <v>724</v>
      </c>
      <c r="AM155" s="18" t="s">
        <v>576</v>
      </c>
      <c r="AN155" s="18" t="str">
        <f>IFERROR(_xlfn.LET(_xlpm.v,INDEX('product-export-27-8-2026'!$A:$AJ,MATCH($A155,'product-export-27-8-2026'!$A:$A,0),MATCH(AN$1,'product-export-27-8-2026'!$1:$1,0)),IF(_xlpm.v="","",_xlpm.v)),"")</f>
        <v/>
      </c>
      <c r="AO155" s="18" t="str">
        <f>IFERROR(_xlfn.LET(_xlpm.v,INDEX('product-export-27-8-2026'!$A:$AJ,MATCH($A155,'product-export-27-8-2026'!$A:$A,0),MATCH(AO$1,'product-export-27-8-2026'!$1:$1,0)),IF(_xlpm.v="","",_xlpm.v)),"")</f>
        <v/>
      </c>
      <c r="AP155" s="18" t="str">
        <f>IFERROR(_xlfn.LET(_xlpm.v,INDEX('product-export-27-8-2026'!$A:$AJ,MATCH($A155,'product-export-27-8-2026'!$A:$A,0),MATCH(AP$1,'product-export-27-8-2026'!$1:$1,0)),IF(_xlpm.v="","",_xlpm.v)),"")</f>
        <v/>
      </c>
      <c r="AQ155" s="18" t="str">
        <f>IFERROR(_xlfn.LET(_xlpm.v,INDEX('product-export-27-8-2026'!$A:$AJ,MATCH($A155,'product-export-27-8-2026'!$A:$A,0),MATCH(AQ$1,'product-export-27-8-2026'!$1:$1,0)),IF(_xlpm.v="","",_xlpm.v)),"")</f>
        <v/>
      </c>
      <c r="AR155" s="18" t="str">
        <f>IFERROR(_xlfn.LET(_xlpm.v,INDEX('product-export-27-8-2026'!$A:$AJ,MATCH($A155,'product-export-27-8-2026'!$A:$A,0),MATCH(AR$1,'product-export-27-8-2026'!$1:$1,0)),IF(_xlpm.v="","",_xlpm.v)),"")</f>
        <v>Diaries, Dorchester Collection, Diaries &gt; Pocket Diaries</v>
      </c>
      <c r="AS155" s="18" t="str">
        <f>IFERROR(_xlfn.LET(_xlpm.v,INDEX('product-export-27-8-2026'!$A:$AJ,MATCH($A155,'product-export-27-8-2026'!$A:$A,0),MATCH(AS$1,'product-export-27-8-2026'!$1:$1,0)),IF(_xlpm.v="","",_xlpm.v)),"")</f>
        <v>Dorchester-NewHide-Pocket-Week-to-View</v>
      </c>
      <c r="BC155" s="15"/>
    </row>
    <row r="156" spans="1:55" s="20" customFormat="1" ht="27.6" customHeight="1" x14ac:dyDescent="0.3">
      <c r="A156" s="17">
        <v>4192</v>
      </c>
      <c r="B156" s="18" t="s">
        <v>484</v>
      </c>
      <c r="C156" s="18" t="s">
        <v>18</v>
      </c>
      <c r="D156" s="18" t="s">
        <v>233</v>
      </c>
      <c r="E156" s="19" t="s">
        <v>233</v>
      </c>
      <c r="F156" s="18" t="s">
        <v>35</v>
      </c>
      <c r="G156" s="18" t="s">
        <v>19</v>
      </c>
      <c r="H156" s="18" t="s">
        <v>893</v>
      </c>
      <c r="I156" s="12" t="s">
        <v>20</v>
      </c>
      <c r="J156" s="18" t="s">
        <v>87</v>
      </c>
      <c r="K156" s="12" t="s">
        <v>1666</v>
      </c>
      <c r="L156" s="60">
        <v>0.42</v>
      </c>
      <c r="M156" s="26">
        <v>8.99</v>
      </c>
      <c r="N156" s="18" t="s">
        <v>36</v>
      </c>
      <c r="O156" s="58">
        <f t="shared" si="14"/>
        <v>9.09</v>
      </c>
      <c r="P156" s="58">
        <f t="shared" si="14"/>
        <v>8.7100000000000009</v>
      </c>
      <c r="Q156" s="58">
        <f t="shared" si="14"/>
        <v>5.2</v>
      </c>
      <c r="R156" s="58">
        <f t="shared" si="14"/>
        <v>4.33</v>
      </c>
      <c r="S156" s="58">
        <f t="shared" si="14"/>
        <v>3.6</v>
      </c>
      <c r="T156" s="58">
        <f t="shared" si="14"/>
        <v>2.98</v>
      </c>
      <c r="U156" s="58">
        <f t="shared" si="14"/>
        <v>2.61</v>
      </c>
      <c r="V156" s="58">
        <f t="shared" si="14"/>
        <v>2.5</v>
      </c>
      <c r="W156" s="58">
        <f t="shared" si="14"/>
        <v>2.31</v>
      </c>
      <c r="X156" s="31" t="str" cm="1">
        <f t="array" ref="X156">IF(Y156="","",_xlfn.TEXTJOIN(";",TRUE,SUBSTITUTE($Y$1:$AG$1,"Qty ","")&amp;":"&amp;TEXT(Y156:AG156,"0.00"))&amp;";")</f>
        <v>1:12.51;10:11.34;25:7.03;50:5.83;100:4.98;250:4.24;500:3.81;750:3.67;1000:3.45;</v>
      </c>
      <c r="Y156" s="56">
        <f>'Blocking Prices'!$C$14+O156</f>
        <v>12.51</v>
      </c>
      <c r="Z156" s="56">
        <f>'Blocking Prices'!$D$14+P156</f>
        <v>11.34</v>
      </c>
      <c r="AA156" s="56">
        <f>'Blocking Prices'!$E$14+Q156</f>
        <v>7.03</v>
      </c>
      <c r="AB156" s="56">
        <f>'Blocking Prices'!$F$14+R156</f>
        <v>5.83</v>
      </c>
      <c r="AC156" s="56">
        <f>'Blocking Prices'!$G$14+S156</f>
        <v>4.9800000000000004</v>
      </c>
      <c r="AD156" s="56">
        <f>'Blocking Prices'!$H$14+T156</f>
        <v>4.24</v>
      </c>
      <c r="AE156" s="56">
        <f>'Blocking Prices'!$I$14+U156</f>
        <v>3.8099999999999996</v>
      </c>
      <c r="AF156" s="56">
        <f>'Blocking Prices'!$J$14+V156</f>
        <v>3.67</v>
      </c>
      <c r="AG156" s="56">
        <f>'Blocking Prices'!$K$14+W156</f>
        <v>3.45</v>
      </c>
      <c r="AH156" s="17"/>
      <c r="AI156" s="17"/>
      <c r="AJ156" s="17"/>
      <c r="AK156" s="17"/>
      <c r="AL156" s="18" t="s">
        <v>724</v>
      </c>
      <c r="AM156" s="18" t="s">
        <v>576</v>
      </c>
      <c r="AN156" s="18" t="str">
        <f>IFERROR(_xlfn.LET(_xlpm.v,INDEX('product-export-27-8-2026'!$A:$AJ,MATCH($A156,'product-export-27-8-2026'!$A:$A,0),MATCH(AN$1,'product-export-27-8-2026'!$1:$1,0)),IF(_xlpm.v="","",_xlpm.v)),"")</f>
        <v/>
      </c>
      <c r="AO156" s="18" t="str">
        <f>IFERROR(_xlfn.LET(_xlpm.v,INDEX('product-export-27-8-2026'!$A:$AJ,MATCH($A156,'product-export-27-8-2026'!$A:$A,0),MATCH(AO$1,'product-export-27-8-2026'!$1:$1,0)),IF(_xlpm.v="","",_xlpm.v)),"")</f>
        <v/>
      </c>
      <c r="AP156" s="18" t="str">
        <f>IFERROR(_xlfn.LET(_xlpm.v,INDEX('product-export-27-8-2026'!$A:$AJ,MATCH($A156,'product-export-27-8-2026'!$A:$A,0),MATCH(AP$1,'product-export-27-8-2026'!$1:$1,0)),IF(_xlpm.v="","",_xlpm.v)),"")</f>
        <v/>
      </c>
      <c r="AQ156" s="18" t="str">
        <f>IFERROR(_xlfn.LET(_xlpm.v,INDEX('product-export-27-8-2026'!$A:$AJ,MATCH($A156,'product-export-27-8-2026'!$A:$A,0),MATCH(AQ$1,'product-export-27-8-2026'!$1:$1,0)),IF(_xlpm.v="","",_xlpm.v)),"")</f>
        <v/>
      </c>
      <c r="AR156" s="18" t="str">
        <f>IFERROR(_xlfn.LET(_xlpm.v,INDEX('product-export-27-8-2026'!$A:$AJ,MATCH($A156,'product-export-27-8-2026'!$A:$A,0),MATCH(AR$1,'product-export-27-8-2026'!$1:$1,0)),IF(_xlpm.v="","",_xlpm.v)),"")</f>
        <v>Diaries, Dorchester Collection, Diaries &gt; Pocket Diaries</v>
      </c>
      <c r="AS156" s="18" t="str">
        <f>IFERROR(_xlfn.LET(_xlpm.v,INDEX('product-export-27-8-2026'!$A:$AJ,MATCH($A156,'product-export-27-8-2026'!$A:$A,0),MATCH(AS$1,'product-export-27-8-2026'!$1:$1,0)),IF(_xlpm.v="","",_xlpm.v)),"")</f>
        <v>Dorchester-NewHide-Pocket-Week-to-View</v>
      </c>
      <c r="BC156" s="15"/>
    </row>
    <row r="157" spans="1:55" s="20" customFormat="1" ht="27.6" customHeight="1" x14ac:dyDescent="0.3">
      <c r="A157" s="17">
        <v>4194</v>
      </c>
      <c r="B157" s="18" t="s">
        <v>485</v>
      </c>
      <c r="C157" s="18" t="s">
        <v>18</v>
      </c>
      <c r="D157" s="18" t="s">
        <v>234</v>
      </c>
      <c r="E157" s="19" t="s">
        <v>234</v>
      </c>
      <c r="F157" s="18" t="s">
        <v>35</v>
      </c>
      <c r="G157" s="18" t="s">
        <v>19</v>
      </c>
      <c r="H157" s="18" t="s">
        <v>792</v>
      </c>
      <c r="I157" s="12" t="s">
        <v>20</v>
      </c>
      <c r="J157" s="18" t="s">
        <v>87</v>
      </c>
      <c r="K157" s="12" t="s">
        <v>1666</v>
      </c>
      <c r="L157" s="60">
        <v>0.42</v>
      </c>
      <c r="M157" s="26">
        <v>8.99</v>
      </c>
      <c r="N157" s="18" t="s">
        <v>36</v>
      </c>
      <c r="O157" s="58">
        <f t="shared" si="14"/>
        <v>9.09</v>
      </c>
      <c r="P157" s="58">
        <f t="shared" si="14"/>
        <v>8.7100000000000009</v>
      </c>
      <c r="Q157" s="58">
        <f t="shared" si="14"/>
        <v>5.2</v>
      </c>
      <c r="R157" s="58">
        <f t="shared" si="14"/>
        <v>4.33</v>
      </c>
      <c r="S157" s="58">
        <f t="shared" si="14"/>
        <v>3.6</v>
      </c>
      <c r="T157" s="58">
        <f t="shared" si="14"/>
        <v>2.98</v>
      </c>
      <c r="U157" s="58">
        <f t="shared" si="14"/>
        <v>2.61</v>
      </c>
      <c r="V157" s="58">
        <f t="shared" si="14"/>
        <v>2.5</v>
      </c>
      <c r="W157" s="58">
        <f t="shared" si="14"/>
        <v>2.31</v>
      </c>
      <c r="X157" s="31" t="str" cm="1">
        <f t="array" ref="X157">IF(Y157="","",_xlfn.TEXTJOIN(";",TRUE,SUBSTITUTE($Y$1:$AG$1,"Qty ","")&amp;":"&amp;TEXT(Y157:AG157,"0.00"))&amp;";")</f>
        <v>1:12.51;10:11.34;25:7.03;50:5.83;100:4.98;250:4.24;500:3.81;750:3.67;1000:3.45;</v>
      </c>
      <c r="Y157" s="56">
        <f>'Blocking Prices'!$C$14+O157</f>
        <v>12.51</v>
      </c>
      <c r="Z157" s="56">
        <f>'Blocking Prices'!$D$14+P157</f>
        <v>11.34</v>
      </c>
      <c r="AA157" s="56">
        <f>'Blocking Prices'!$E$14+Q157</f>
        <v>7.03</v>
      </c>
      <c r="AB157" s="56">
        <f>'Blocking Prices'!$F$14+R157</f>
        <v>5.83</v>
      </c>
      <c r="AC157" s="56">
        <f>'Blocking Prices'!$G$14+S157</f>
        <v>4.9800000000000004</v>
      </c>
      <c r="AD157" s="56">
        <f>'Blocking Prices'!$H$14+T157</f>
        <v>4.24</v>
      </c>
      <c r="AE157" s="56">
        <f>'Blocking Prices'!$I$14+U157</f>
        <v>3.8099999999999996</v>
      </c>
      <c r="AF157" s="56">
        <f>'Blocking Prices'!$J$14+V157</f>
        <v>3.67</v>
      </c>
      <c r="AG157" s="56">
        <f>'Blocking Prices'!$K$14+W157</f>
        <v>3.45</v>
      </c>
      <c r="AH157" s="17"/>
      <c r="AI157" s="17"/>
      <c r="AJ157" s="17"/>
      <c r="AK157" s="17"/>
      <c r="AL157" s="18" t="s">
        <v>724</v>
      </c>
      <c r="AM157" s="18" t="s">
        <v>576</v>
      </c>
      <c r="AN157" s="18" t="str">
        <f>IFERROR(_xlfn.LET(_xlpm.v,INDEX('product-export-27-8-2026'!$A:$AJ,MATCH($A157,'product-export-27-8-2026'!$A:$A,0),MATCH(AN$1,'product-export-27-8-2026'!$1:$1,0)),IF(_xlpm.v="","",_xlpm.v)),"")</f>
        <v/>
      </c>
      <c r="AO157" s="18" t="str">
        <f>IFERROR(_xlfn.LET(_xlpm.v,INDEX('product-export-27-8-2026'!$A:$AJ,MATCH($A157,'product-export-27-8-2026'!$A:$A,0),MATCH(AO$1,'product-export-27-8-2026'!$1:$1,0)),IF(_xlpm.v="","",_xlpm.v)),"")</f>
        <v/>
      </c>
      <c r="AP157" s="18" t="str">
        <f>IFERROR(_xlfn.LET(_xlpm.v,INDEX('product-export-27-8-2026'!$A:$AJ,MATCH($A157,'product-export-27-8-2026'!$A:$A,0),MATCH(AP$1,'product-export-27-8-2026'!$1:$1,0)),IF(_xlpm.v="","",_xlpm.v)),"")</f>
        <v/>
      </c>
      <c r="AQ157" s="18" t="str">
        <f>IFERROR(_xlfn.LET(_xlpm.v,INDEX('product-export-27-8-2026'!$A:$AJ,MATCH($A157,'product-export-27-8-2026'!$A:$A,0),MATCH(AQ$1,'product-export-27-8-2026'!$1:$1,0)),IF(_xlpm.v="","",_xlpm.v)),"")</f>
        <v/>
      </c>
      <c r="AR157" s="18" t="str">
        <f>IFERROR(_xlfn.LET(_xlpm.v,INDEX('product-export-27-8-2026'!$A:$AJ,MATCH($A157,'product-export-27-8-2026'!$A:$A,0),MATCH(AR$1,'product-export-27-8-2026'!$1:$1,0)),IF(_xlpm.v="","",_xlpm.v)),"")</f>
        <v>Diaries, Dorchester Collection, Diaries &gt; Pocket Diaries</v>
      </c>
      <c r="AS157" s="18" t="str">
        <f>IFERROR(_xlfn.LET(_xlpm.v,INDEX('product-export-27-8-2026'!$A:$AJ,MATCH($A157,'product-export-27-8-2026'!$A:$A,0),MATCH(AS$1,'product-export-27-8-2026'!$1:$1,0)),IF(_xlpm.v="","",_xlpm.v)),"")</f>
        <v>Dorchester-NewHide-Pocket-Week-to-View</v>
      </c>
      <c r="BC157" s="15"/>
    </row>
    <row r="158" spans="1:55" s="20" customFormat="1" ht="27.6" customHeight="1" x14ac:dyDescent="0.3">
      <c r="A158" s="17">
        <v>4196</v>
      </c>
      <c r="B158" s="18" t="s">
        <v>486</v>
      </c>
      <c r="C158" s="18" t="s">
        <v>18</v>
      </c>
      <c r="D158" s="18" t="s">
        <v>235</v>
      </c>
      <c r="E158" s="19" t="s">
        <v>235</v>
      </c>
      <c r="F158" s="18" t="s">
        <v>35</v>
      </c>
      <c r="G158" s="18" t="s">
        <v>19</v>
      </c>
      <c r="H158" s="18" t="s">
        <v>1580</v>
      </c>
      <c r="I158" s="12" t="s">
        <v>20</v>
      </c>
      <c r="J158" s="18" t="s">
        <v>87</v>
      </c>
      <c r="K158" s="12" t="s">
        <v>1666</v>
      </c>
      <c r="L158" s="60">
        <v>0.42</v>
      </c>
      <c r="M158" s="26">
        <v>8.99</v>
      </c>
      <c r="N158" s="18" t="s">
        <v>36</v>
      </c>
      <c r="O158" s="58">
        <f t="shared" si="14"/>
        <v>9.09</v>
      </c>
      <c r="P158" s="58">
        <f t="shared" si="14"/>
        <v>8.7100000000000009</v>
      </c>
      <c r="Q158" s="58">
        <f t="shared" si="14"/>
        <v>5.2</v>
      </c>
      <c r="R158" s="58">
        <f t="shared" si="14"/>
        <v>4.33</v>
      </c>
      <c r="S158" s="58">
        <f t="shared" si="14"/>
        <v>3.6</v>
      </c>
      <c r="T158" s="58">
        <f t="shared" si="14"/>
        <v>2.98</v>
      </c>
      <c r="U158" s="58">
        <f t="shared" si="14"/>
        <v>2.61</v>
      </c>
      <c r="V158" s="58">
        <f t="shared" si="14"/>
        <v>2.5</v>
      </c>
      <c r="W158" s="58">
        <f t="shared" si="14"/>
        <v>2.31</v>
      </c>
      <c r="X158" s="31" t="str" cm="1">
        <f t="array" ref="X158">IF(Y158="","",_xlfn.TEXTJOIN(";",TRUE,SUBSTITUTE($Y$1:$AG$1,"Qty ","")&amp;":"&amp;TEXT(Y158:AG158,"0.00"))&amp;";")</f>
        <v>1:12.51;10:11.34;25:7.03;50:5.83;100:4.98;250:4.24;500:3.81;750:3.67;1000:3.45;</v>
      </c>
      <c r="Y158" s="56">
        <f>'Blocking Prices'!$C$14+O158</f>
        <v>12.51</v>
      </c>
      <c r="Z158" s="56">
        <f>'Blocking Prices'!$D$14+P158</f>
        <v>11.34</v>
      </c>
      <c r="AA158" s="56">
        <f>'Blocking Prices'!$E$14+Q158</f>
        <v>7.03</v>
      </c>
      <c r="AB158" s="56">
        <f>'Blocking Prices'!$F$14+R158</f>
        <v>5.83</v>
      </c>
      <c r="AC158" s="56">
        <f>'Blocking Prices'!$G$14+S158</f>
        <v>4.9800000000000004</v>
      </c>
      <c r="AD158" s="56">
        <f>'Blocking Prices'!$H$14+T158</f>
        <v>4.24</v>
      </c>
      <c r="AE158" s="56">
        <f>'Blocking Prices'!$I$14+U158</f>
        <v>3.8099999999999996</v>
      </c>
      <c r="AF158" s="56">
        <f>'Blocking Prices'!$J$14+V158</f>
        <v>3.67</v>
      </c>
      <c r="AG158" s="56">
        <f>'Blocking Prices'!$K$14+W158</f>
        <v>3.45</v>
      </c>
      <c r="AH158" s="17"/>
      <c r="AI158" s="17"/>
      <c r="AJ158" s="17"/>
      <c r="AK158" s="17"/>
      <c r="AL158" s="18" t="s">
        <v>1289</v>
      </c>
      <c r="AM158" s="18" t="s">
        <v>576</v>
      </c>
      <c r="AN158" s="18" t="str">
        <f>IFERROR(_xlfn.LET(_xlpm.v,INDEX('product-export-27-8-2026'!$A:$AJ,MATCH($A158,'product-export-27-8-2026'!$A:$A,0),MATCH(AN$1,'product-export-27-8-2026'!$1:$1,0)),IF(_xlpm.v="","",_xlpm.v)),"")</f>
        <v/>
      </c>
      <c r="AO158" s="18" t="str">
        <f>IFERROR(_xlfn.LET(_xlpm.v,INDEX('product-export-27-8-2026'!$A:$AJ,MATCH($A158,'product-export-27-8-2026'!$A:$A,0),MATCH(AO$1,'product-export-27-8-2026'!$1:$1,0)),IF(_xlpm.v="","",_xlpm.v)),"")</f>
        <v/>
      </c>
      <c r="AP158" s="18" t="str">
        <f>IFERROR(_xlfn.LET(_xlpm.v,INDEX('product-export-27-8-2026'!$A:$AJ,MATCH($A158,'product-export-27-8-2026'!$A:$A,0),MATCH(AP$1,'product-export-27-8-2026'!$1:$1,0)),IF(_xlpm.v="","",_xlpm.v)),"")</f>
        <v/>
      </c>
      <c r="AQ158" s="18" t="str">
        <f>IFERROR(_xlfn.LET(_xlpm.v,INDEX('product-export-27-8-2026'!$A:$AJ,MATCH($A158,'product-export-27-8-2026'!$A:$A,0),MATCH(AQ$1,'product-export-27-8-2026'!$1:$1,0)),IF(_xlpm.v="","",_xlpm.v)),"")</f>
        <v/>
      </c>
      <c r="AR158" s="18" t="str">
        <f>IFERROR(_xlfn.LET(_xlpm.v,INDEX('product-export-27-8-2026'!$A:$AJ,MATCH($A158,'product-export-27-8-2026'!$A:$A,0),MATCH(AR$1,'product-export-27-8-2026'!$1:$1,0)),IF(_xlpm.v="","",_xlpm.v)),"")</f>
        <v>Diaries, Dorchester Collection, Diaries &gt; Pocket Diaries</v>
      </c>
      <c r="AS158" s="18" t="str">
        <f>IFERROR(_xlfn.LET(_xlpm.v,INDEX('product-export-27-8-2026'!$A:$AJ,MATCH($A158,'product-export-27-8-2026'!$A:$A,0),MATCH(AS$1,'product-export-27-8-2026'!$1:$1,0)),IF(_xlpm.v="","",_xlpm.v)),"")</f>
        <v>Dorchester-NewHide-Pocket-Week-to-View</v>
      </c>
      <c r="BC158" s="15"/>
    </row>
    <row r="159" spans="1:55" s="20" customFormat="1" ht="27.6" customHeight="1" x14ac:dyDescent="0.3">
      <c r="A159" s="17">
        <v>4198</v>
      </c>
      <c r="B159" s="18" t="s">
        <v>487</v>
      </c>
      <c r="C159" s="18" t="s">
        <v>18</v>
      </c>
      <c r="D159" s="18" t="s">
        <v>236</v>
      </c>
      <c r="E159" s="19" t="s">
        <v>236</v>
      </c>
      <c r="F159" s="18" t="s">
        <v>35</v>
      </c>
      <c r="G159" s="18" t="s">
        <v>19</v>
      </c>
      <c r="H159" s="18" t="s">
        <v>796</v>
      </c>
      <c r="I159" s="12" t="s">
        <v>20</v>
      </c>
      <c r="J159" s="18" t="s">
        <v>87</v>
      </c>
      <c r="K159" s="12" t="s">
        <v>1666</v>
      </c>
      <c r="L159" s="60">
        <v>0.42</v>
      </c>
      <c r="M159" s="26">
        <v>8.99</v>
      </c>
      <c r="N159" s="18" t="s">
        <v>36</v>
      </c>
      <c r="O159" s="58">
        <f t="shared" si="14"/>
        <v>9.09</v>
      </c>
      <c r="P159" s="58">
        <f t="shared" si="14"/>
        <v>8.7100000000000009</v>
      </c>
      <c r="Q159" s="58">
        <f t="shared" si="14"/>
        <v>5.2</v>
      </c>
      <c r="R159" s="58">
        <f t="shared" si="14"/>
        <v>4.33</v>
      </c>
      <c r="S159" s="58">
        <f t="shared" si="14"/>
        <v>3.6</v>
      </c>
      <c r="T159" s="58">
        <f t="shared" si="14"/>
        <v>2.98</v>
      </c>
      <c r="U159" s="58">
        <f t="shared" si="14"/>
        <v>2.61</v>
      </c>
      <c r="V159" s="58">
        <f t="shared" si="14"/>
        <v>2.5</v>
      </c>
      <c r="W159" s="58">
        <f t="shared" si="14"/>
        <v>2.31</v>
      </c>
      <c r="X159" s="31" t="str" cm="1">
        <f t="array" ref="X159">IF(Y159="","",_xlfn.TEXTJOIN(";",TRUE,SUBSTITUTE($Y$1:$AG$1,"Qty ","")&amp;":"&amp;TEXT(Y159:AG159,"0.00"))&amp;";")</f>
        <v>1:12.51;10:11.34;25:7.03;50:5.83;100:4.98;250:4.24;500:3.81;750:3.67;1000:3.45;</v>
      </c>
      <c r="Y159" s="56">
        <f>'Blocking Prices'!$C$14+O159</f>
        <v>12.51</v>
      </c>
      <c r="Z159" s="56">
        <f>'Blocking Prices'!$D$14+P159</f>
        <v>11.34</v>
      </c>
      <c r="AA159" s="56">
        <f>'Blocking Prices'!$E$14+Q159</f>
        <v>7.03</v>
      </c>
      <c r="AB159" s="56">
        <f>'Blocking Prices'!$F$14+R159</f>
        <v>5.83</v>
      </c>
      <c r="AC159" s="56">
        <f>'Blocking Prices'!$G$14+S159</f>
        <v>4.9800000000000004</v>
      </c>
      <c r="AD159" s="56">
        <f>'Blocking Prices'!$H$14+T159</f>
        <v>4.24</v>
      </c>
      <c r="AE159" s="56">
        <f>'Blocking Prices'!$I$14+U159</f>
        <v>3.8099999999999996</v>
      </c>
      <c r="AF159" s="56">
        <f>'Blocking Prices'!$J$14+V159</f>
        <v>3.67</v>
      </c>
      <c r="AG159" s="56">
        <f>'Blocking Prices'!$K$14+W159</f>
        <v>3.45</v>
      </c>
      <c r="AH159" s="17"/>
      <c r="AI159" s="17"/>
      <c r="AJ159" s="17"/>
      <c r="AK159" s="17"/>
      <c r="AL159" s="18" t="s">
        <v>1289</v>
      </c>
      <c r="AM159" s="18" t="s">
        <v>576</v>
      </c>
      <c r="AN159" s="18" t="str">
        <f>IFERROR(_xlfn.LET(_xlpm.v,INDEX('product-export-27-8-2026'!$A:$AJ,MATCH($A159,'product-export-27-8-2026'!$A:$A,0),MATCH(AN$1,'product-export-27-8-2026'!$1:$1,0)),IF(_xlpm.v="","",_xlpm.v)),"")</f>
        <v/>
      </c>
      <c r="AO159" s="18" t="str">
        <f>IFERROR(_xlfn.LET(_xlpm.v,INDEX('product-export-27-8-2026'!$A:$AJ,MATCH($A159,'product-export-27-8-2026'!$A:$A,0),MATCH(AO$1,'product-export-27-8-2026'!$1:$1,0)),IF(_xlpm.v="","",_xlpm.v)),"")</f>
        <v/>
      </c>
      <c r="AP159" s="18" t="str">
        <f>IFERROR(_xlfn.LET(_xlpm.v,INDEX('product-export-27-8-2026'!$A:$AJ,MATCH($A159,'product-export-27-8-2026'!$A:$A,0),MATCH(AP$1,'product-export-27-8-2026'!$1:$1,0)),IF(_xlpm.v="","",_xlpm.v)),"")</f>
        <v/>
      </c>
      <c r="AQ159" s="18" t="str">
        <f>IFERROR(_xlfn.LET(_xlpm.v,INDEX('product-export-27-8-2026'!$A:$AJ,MATCH($A159,'product-export-27-8-2026'!$A:$A,0),MATCH(AQ$1,'product-export-27-8-2026'!$1:$1,0)),IF(_xlpm.v="","",_xlpm.v)),"")</f>
        <v/>
      </c>
      <c r="AR159" s="18" t="str">
        <f>IFERROR(_xlfn.LET(_xlpm.v,INDEX('product-export-27-8-2026'!$A:$AJ,MATCH($A159,'product-export-27-8-2026'!$A:$A,0),MATCH(AR$1,'product-export-27-8-2026'!$1:$1,0)),IF(_xlpm.v="","",_xlpm.v)),"")</f>
        <v>Diaries, Dorchester Collection, Diaries &gt; Pocket Diaries</v>
      </c>
      <c r="AS159" s="18" t="str">
        <f>IFERROR(_xlfn.LET(_xlpm.v,INDEX('product-export-27-8-2026'!$A:$AJ,MATCH($A159,'product-export-27-8-2026'!$A:$A,0),MATCH(AS$1,'product-export-27-8-2026'!$1:$1,0)),IF(_xlpm.v="","",_xlpm.v)),"")</f>
        <v>Dorchester-NewHide-Pocket-Week-to-View</v>
      </c>
      <c r="BC159" s="15"/>
    </row>
    <row r="160" spans="1:55" s="20" customFormat="1" ht="27.6" customHeight="1" x14ac:dyDescent="0.3">
      <c r="A160" s="17">
        <v>4200</v>
      </c>
      <c r="B160" s="18" t="s">
        <v>488</v>
      </c>
      <c r="C160" s="18" t="s">
        <v>18</v>
      </c>
      <c r="D160" s="18" t="s">
        <v>237</v>
      </c>
      <c r="E160" s="19" t="s">
        <v>237</v>
      </c>
      <c r="F160" s="18" t="s">
        <v>35</v>
      </c>
      <c r="G160" s="18" t="s">
        <v>19</v>
      </c>
      <c r="H160" s="18" t="s">
        <v>1154</v>
      </c>
      <c r="I160" s="12" t="s">
        <v>20</v>
      </c>
      <c r="J160" s="18" t="s">
        <v>87</v>
      </c>
      <c r="K160" s="12" t="s">
        <v>1666</v>
      </c>
      <c r="L160" s="60">
        <v>0.42</v>
      </c>
      <c r="M160" s="26">
        <v>8.99</v>
      </c>
      <c r="N160" s="18" t="s">
        <v>36</v>
      </c>
      <c r="O160" s="58">
        <f t="shared" si="14"/>
        <v>9.09</v>
      </c>
      <c r="P160" s="58">
        <f t="shared" si="14"/>
        <v>8.7100000000000009</v>
      </c>
      <c r="Q160" s="58">
        <f t="shared" si="14"/>
        <v>5.2</v>
      </c>
      <c r="R160" s="58">
        <f t="shared" si="14"/>
        <v>4.33</v>
      </c>
      <c r="S160" s="58">
        <f t="shared" si="14"/>
        <v>3.6</v>
      </c>
      <c r="T160" s="58">
        <f t="shared" si="14"/>
        <v>2.98</v>
      </c>
      <c r="U160" s="58">
        <f t="shared" si="14"/>
        <v>2.61</v>
      </c>
      <c r="V160" s="58">
        <f t="shared" si="14"/>
        <v>2.5</v>
      </c>
      <c r="W160" s="58">
        <f t="shared" si="14"/>
        <v>2.31</v>
      </c>
      <c r="X160" s="31" t="str" cm="1">
        <f t="array" ref="X160">IF(Y160="","",_xlfn.TEXTJOIN(";",TRUE,SUBSTITUTE($Y$1:$AG$1,"Qty ","")&amp;":"&amp;TEXT(Y160:AG160,"0.00"))&amp;";")</f>
        <v>1:12.51;10:11.34;25:7.03;50:5.83;100:4.98;250:4.24;500:3.81;750:3.67;1000:3.45;</v>
      </c>
      <c r="Y160" s="56">
        <f>'Blocking Prices'!$C$14+O160</f>
        <v>12.51</v>
      </c>
      <c r="Z160" s="56">
        <f>'Blocking Prices'!$D$14+P160</f>
        <v>11.34</v>
      </c>
      <c r="AA160" s="56">
        <f>'Blocking Prices'!$E$14+Q160</f>
        <v>7.03</v>
      </c>
      <c r="AB160" s="56">
        <f>'Blocking Prices'!$F$14+R160</f>
        <v>5.83</v>
      </c>
      <c r="AC160" s="56">
        <f>'Blocking Prices'!$G$14+S160</f>
        <v>4.9800000000000004</v>
      </c>
      <c r="AD160" s="56">
        <f>'Blocking Prices'!$H$14+T160</f>
        <v>4.24</v>
      </c>
      <c r="AE160" s="56">
        <f>'Blocking Prices'!$I$14+U160</f>
        <v>3.8099999999999996</v>
      </c>
      <c r="AF160" s="56">
        <f>'Blocking Prices'!$J$14+V160</f>
        <v>3.67</v>
      </c>
      <c r="AG160" s="56">
        <f>'Blocking Prices'!$K$14+W160</f>
        <v>3.45</v>
      </c>
      <c r="AH160" s="17"/>
      <c r="AI160" s="17"/>
      <c r="AJ160" s="17"/>
      <c r="AK160" s="17"/>
      <c r="AL160" s="18" t="s">
        <v>1289</v>
      </c>
      <c r="AM160" s="18" t="s">
        <v>576</v>
      </c>
      <c r="AN160" s="18" t="str">
        <f>IFERROR(_xlfn.LET(_xlpm.v,INDEX('product-export-27-8-2026'!$A:$AJ,MATCH($A160,'product-export-27-8-2026'!$A:$A,0),MATCH(AN$1,'product-export-27-8-2026'!$1:$1,0)),IF(_xlpm.v="","",_xlpm.v)),"")</f>
        <v/>
      </c>
      <c r="AO160" s="18" t="str">
        <f>IFERROR(_xlfn.LET(_xlpm.v,INDEX('product-export-27-8-2026'!$A:$AJ,MATCH($A160,'product-export-27-8-2026'!$A:$A,0),MATCH(AO$1,'product-export-27-8-2026'!$1:$1,0)),IF(_xlpm.v="","",_xlpm.v)),"")</f>
        <v/>
      </c>
      <c r="AP160" s="18" t="str">
        <f>IFERROR(_xlfn.LET(_xlpm.v,INDEX('product-export-27-8-2026'!$A:$AJ,MATCH($A160,'product-export-27-8-2026'!$A:$A,0),MATCH(AP$1,'product-export-27-8-2026'!$1:$1,0)),IF(_xlpm.v="","",_xlpm.v)),"")</f>
        <v/>
      </c>
      <c r="AQ160" s="18" t="str">
        <f>IFERROR(_xlfn.LET(_xlpm.v,INDEX('product-export-27-8-2026'!$A:$AJ,MATCH($A160,'product-export-27-8-2026'!$A:$A,0),MATCH(AQ$1,'product-export-27-8-2026'!$1:$1,0)),IF(_xlpm.v="","",_xlpm.v)),"")</f>
        <v/>
      </c>
      <c r="AR160" s="18" t="str">
        <f>IFERROR(_xlfn.LET(_xlpm.v,INDEX('product-export-27-8-2026'!$A:$AJ,MATCH($A160,'product-export-27-8-2026'!$A:$A,0),MATCH(AR$1,'product-export-27-8-2026'!$1:$1,0)),IF(_xlpm.v="","",_xlpm.v)),"")</f>
        <v>Diaries, Dorchester Collection, Diaries &gt; Pocket Diaries</v>
      </c>
      <c r="AS160" s="18" t="str">
        <f>IFERROR(_xlfn.LET(_xlpm.v,INDEX('product-export-27-8-2026'!$A:$AJ,MATCH($A160,'product-export-27-8-2026'!$A:$A,0),MATCH(AS$1,'product-export-27-8-2026'!$1:$1,0)),IF(_xlpm.v="","",_xlpm.v)),"")</f>
        <v>Dorchester-NewHide-Pocket-Week-to-View</v>
      </c>
      <c r="BC160" s="15"/>
    </row>
    <row r="161" spans="1:55" s="20" customFormat="1" ht="27.6" customHeight="1" x14ac:dyDescent="0.3">
      <c r="A161" s="17">
        <v>4203</v>
      </c>
      <c r="B161" s="18" t="s">
        <v>489</v>
      </c>
      <c r="C161" s="18" t="s">
        <v>18</v>
      </c>
      <c r="D161" s="18" t="s">
        <v>238</v>
      </c>
      <c r="E161" s="19" t="s">
        <v>238</v>
      </c>
      <c r="F161" s="18" t="s">
        <v>35</v>
      </c>
      <c r="G161" s="18" t="s">
        <v>19</v>
      </c>
      <c r="H161" s="18" t="s">
        <v>1157</v>
      </c>
      <c r="I161" s="12" t="s">
        <v>20</v>
      </c>
      <c r="J161" s="18" t="s">
        <v>87</v>
      </c>
      <c r="K161" s="12" t="s">
        <v>1666</v>
      </c>
      <c r="L161" s="60">
        <v>0.42</v>
      </c>
      <c r="M161" s="26">
        <v>8.99</v>
      </c>
      <c r="N161" s="18" t="s">
        <v>36</v>
      </c>
      <c r="O161" s="58">
        <f t="shared" si="14"/>
        <v>9.09</v>
      </c>
      <c r="P161" s="58">
        <f t="shared" si="14"/>
        <v>8.7100000000000009</v>
      </c>
      <c r="Q161" s="58">
        <f t="shared" si="14"/>
        <v>5.2</v>
      </c>
      <c r="R161" s="58">
        <f t="shared" si="14"/>
        <v>4.33</v>
      </c>
      <c r="S161" s="58">
        <f t="shared" si="14"/>
        <v>3.6</v>
      </c>
      <c r="T161" s="58">
        <f t="shared" si="14"/>
        <v>2.98</v>
      </c>
      <c r="U161" s="58">
        <f t="shared" si="14"/>
        <v>2.61</v>
      </c>
      <c r="V161" s="58">
        <f t="shared" si="14"/>
        <v>2.5</v>
      </c>
      <c r="W161" s="58">
        <f t="shared" si="14"/>
        <v>2.31</v>
      </c>
      <c r="X161" s="31" t="str" cm="1">
        <f t="array" ref="X161">IF(Y161="","",_xlfn.TEXTJOIN(";",TRUE,SUBSTITUTE($Y$1:$AG$1,"Qty ","")&amp;":"&amp;TEXT(Y161:AG161,"0.00"))&amp;";")</f>
        <v>1:12.51;10:11.34;25:7.03;50:5.83;100:4.98;250:4.24;500:3.81;750:3.67;1000:3.45;</v>
      </c>
      <c r="Y161" s="56">
        <f>'Blocking Prices'!$C$14+O161</f>
        <v>12.51</v>
      </c>
      <c r="Z161" s="56">
        <f>'Blocking Prices'!$D$14+P161</f>
        <v>11.34</v>
      </c>
      <c r="AA161" s="56">
        <f>'Blocking Prices'!$E$14+Q161</f>
        <v>7.03</v>
      </c>
      <c r="AB161" s="56">
        <f>'Blocking Prices'!$F$14+R161</f>
        <v>5.83</v>
      </c>
      <c r="AC161" s="56">
        <f>'Blocking Prices'!$G$14+S161</f>
        <v>4.9800000000000004</v>
      </c>
      <c r="AD161" s="56">
        <f>'Blocking Prices'!$H$14+T161</f>
        <v>4.24</v>
      </c>
      <c r="AE161" s="56">
        <f>'Blocking Prices'!$I$14+U161</f>
        <v>3.8099999999999996</v>
      </c>
      <c r="AF161" s="56">
        <f>'Blocking Prices'!$J$14+V161</f>
        <v>3.67</v>
      </c>
      <c r="AG161" s="56">
        <f>'Blocking Prices'!$K$14+W161</f>
        <v>3.45</v>
      </c>
      <c r="AH161" s="17"/>
      <c r="AI161" s="17"/>
      <c r="AJ161" s="17"/>
      <c r="AK161" s="17"/>
      <c r="AL161" s="18" t="s">
        <v>1289</v>
      </c>
      <c r="AM161" s="18" t="s">
        <v>576</v>
      </c>
      <c r="AN161" s="18" t="str">
        <f>IFERROR(_xlfn.LET(_xlpm.v,INDEX('product-export-27-8-2026'!$A:$AJ,MATCH($A161,'product-export-27-8-2026'!$A:$A,0),MATCH(AN$1,'product-export-27-8-2026'!$1:$1,0)),IF(_xlpm.v="","",_xlpm.v)),"")</f>
        <v/>
      </c>
      <c r="AO161" s="18" t="str">
        <f>IFERROR(_xlfn.LET(_xlpm.v,INDEX('product-export-27-8-2026'!$A:$AJ,MATCH($A161,'product-export-27-8-2026'!$A:$A,0),MATCH(AO$1,'product-export-27-8-2026'!$1:$1,0)),IF(_xlpm.v="","",_xlpm.v)),"")</f>
        <v/>
      </c>
      <c r="AP161" s="18" t="str">
        <f>IFERROR(_xlfn.LET(_xlpm.v,INDEX('product-export-27-8-2026'!$A:$AJ,MATCH($A161,'product-export-27-8-2026'!$A:$A,0),MATCH(AP$1,'product-export-27-8-2026'!$1:$1,0)),IF(_xlpm.v="","",_xlpm.v)),"")</f>
        <v/>
      </c>
      <c r="AQ161" s="18" t="str">
        <f>IFERROR(_xlfn.LET(_xlpm.v,INDEX('product-export-27-8-2026'!$A:$AJ,MATCH($A161,'product-export-27-8-2026'!$A:$A,0),MATCH(AQ$1,'product-export-27-8-2026'!$1:$1,0)),IF(_xlpm.v="","",_xlpm.v)),"")</f>
        <v/>
      </c>
      <c r="AR161" s="18" t="str">
        <f>IFERROR(_xlfn.LET(_xlpm.v,INDEX('product-export-27-8-2026'!$A:$AJ,MATCH($A161,'product-export-27-8-2026'!$A:$A,0),MATCH(AR$1,'product-export-27-8-2026'!$1:$1,0)),IF(_xlpm.v="","",_xlpm.v)),"")</f>
        <v>Diaries, Dorchester Collection, Diaries &gt; Pocket Diaries</v>
      </c>
      <c r="AS161" s="18" t="str">
        <f>IFERROR(_xlfn.LET(_xlpm.v,INDEX('product-export-27-8-2026'!$A:$AJ,MATCH($A161,'product-export-27-8-2026'!$A:$A,0),MATCH(AS$1,'product-export-27-8-2026'!$1:$1,0)),IF(_xlpm.v="","",_xlpm.v)),"")</f>
        <v>Dorchester-NewHide-Pocket-Week-to-View</v>
      </c>
      <c r="BC161" s="15"/>
    </row>
    <row r="162" spans="1:55" s="20" customFormat="1" ht="27.6" customHeight="1" x14ac:dyDescent="0.3">
      <c r="A162" s="17">
        <v>4204</v>
      </c>
      <c r="B162" s="18" t="s">
        <v>490</v>
      </c>
      <c r="C162" s="18" t="s">
        <v>18</v>
      </c>
      <c r="D162" s="18" t="s">
        <v>239</v>
      </c>
      <c r="E162" s="19" t="s">
        <v>239</v>
      </c>
      <c r="F162" s="18" t="s">
        <v>240</v>
      </c>
      <c r="G162" s="18" t="s">
        <v>19</v>
      </c>
      <c r="H162" s="18" t="s">
        <v>672</v>
      </c>
      <c r="I162" s="12" t="s">
        <v>20</v>
      </c>
      <c r="J162" s="18" t="s">
        <v>91</v>
      </c>
      <c r="K162" s="12" t="s">
        <v>1666</v>
      </c>
      <c r="L162" s="60">
        <v>0.42</v>
      </c>
      <c r="M162" s="26">
        <v>9.99</v>
      </c>
      <c r="N162" s="18" t="s">
        <v>241</v>
      </c>
      <c r="O162" s="58">
        <f t="shared" ref="O162:W171" si="15">IFERROR(VALUE(_xlfn.TEXTBEFORE(_xlfn.TEXTAFTER(";"&amp;$N162,";"&amp;SUBSTITUTE(O$1,"Qty ","")&amp;":"),";")),"")</f>
        <v>9.41</v>
      </c>
      <c r="P162" s="58">
        <f t="shared" si="15"/>
        <v>9.01</v>
      </c>
      <c r="Q162" s="58">
        <f t="shared" si="15"/>
        <v>5.03</v>
      </c>
      <c r="R162" s="58">
        <f t="shared" si="15"/>
        <v>3.68</v>
      </c>
      <c r="S162" s="58">
        <f t="shared" si="15"/>
        <v>3.18</v>
      </c>
      <c r="T162" s="58">
        <f t="shared" si="15"/>
        <v>2.99</v>
      </c>
      <c r="U162" s="58">
        <f t="shared" si="15"/>
        <v>2.83</v>
      </c>
      <c r="V162" s="58">
        <f t="shared" si="15"/>
        <v>2.68</v>
      </c>
      <c r="W162" s="58">
        <f t="shared" si="15"/>
        <v>2.57</v>
      </c>
      <c r="X162" s="31" t="str" cm="1">
        <f t="array" ref="X162">IF(Y162="","",_xlfn.TEXTJOIN(";",TRUE,SUBSTITUTE($Y$1:$AG$1,"Qty ","")&amp;":"&amp;TEXT(Y162:AG162,"0.00"))&amp;";")</f>
        <v>1:12.83;10:11.64;25:6.86;50:5.18;100:4.56;250:4.25;500:4.03;750:3.85;1000:3.71;</v>
      </c>
      <c r="Y162" s="56">
        <f>'Blocking Prices'!$C$14+O162</f>
        <v>12.83</v>
      </c>
      <c r="Z162" s="56">
        <f>'Blocking Prices'!$D$14+P162</f>
        <v>11.64</v>
      </c>
      <c r="AA162" s="56">
        <f>'Blocking Prices'!$E$14+Q162</f>
        <v>6.86</v>
      </c>
      <c r="AB162" s="56">
        <f>'Blocking Prices'!$F$14+R162</f>
        <v>5.18</v>
      </c>
      <c r="AC162" s="56">
        <f>'Blocking Prices'!$G$14+S162</f>
        <v>4.5600000000000005</v>
      </c>
      <c r="AD162" s="56">
        <f>'Blocking Prices'!$H$14+T162</f>
        <v>4.25</v>
      </c>
      <c r="AE162" s="56">
        <f>'Blocking Prices'!$I$14+U162</f>
        <v>4.03</v>
      </c>
      <c r="AF162" s="56">
        <f>'Blocking Prices'!$J$14+V162</f>
        <v>3.85</v>
      </c>
      <c r="AG162" s="56">
        <f>'Blocking Prices'!$K$14+W162</f>
        <v>3.71</v>
      </c>
      <c r="AH162" s="17"/>
      <c r="AI162" s="17"/>
      <c r="AJ162" s="17"/>
      <c r="AK162" s="17"/>
      <c r="AL162" s="18" t="s">
        <v>1298</v>
      </c>
      <c r="AM162" s="18" t="s">
        <v>576</v>
      </c>
      <c r="AN162" s="18" t="str">
        <f>IFERROR(_xlfn.LET(_xlpm.v,INDEX('product-export-27-8-2026'!$A:$AJ,MATCH($A162,'product-export-27-8-2026'!$A:$A,0),MATCH(AN$1,'product-export-27-8-2026'!$1:$1,0)),IF(_xlpm.v="","",_xlpm.v)),"")</f>
        <v/>
      </c>
      <c r="AO162" s="18" t="str">
        <f>IFERROR(_xlfn.LET(_xlpm.v,INDEX('product-export-27-8-2026'!$A:$AJ,MATCH($A162,'product-export-27-8-2026'!$A:$A,0),MATCH(AO$1,'product-export-27-8-2026'!$1:$1,0)),IF(_xlpm.v="","",_xlpm.v)),"")</f>
        <v/>
      </c>
      <c r="AP162" s="18" t="str">
        <f>IFERROR(_xlfn.LET(_xlpm.v,INDEX('product-export-27-8-2026'!$A:$AJ,MATCH($A162,'product-export-27-8-2026'!$A:$A,0),MATCH(AP$1,'product-export-27-8-2026'!$1:$1,0)),IF(_xlpm.v="","",_xlpm.v)),"")</f>
        <v/>
      </c>
      <c r="AQ162" s="18" t="str">
        <f>IFERROR(_xlfn.LET(_xlpm.v,INDEX('product-export-27-8-2026'!$A:$AJ,MATCH($A162,'product-export-27-8-2026'!$A:$A,0),MATCH(AQ$1,'product-export-27-8-2026'!$1:$1,0)),IF(_xlpm.v="","",_xlpm.v)),"")</f>
        <v/>
      </c>
      <c r="AR162" s="18" t="str">
        <f>IFERROR(_xlfn.LET(_xlpm.v,INDEX('product-export-27-8-2026'!$A:$AJ,MATCH($A162,'product-export-27-8-2026'!$A:$A,0),MATCH(AR$1,'product-export-27-8-2026'!$1:$1,0)),IF(_xlpm.v="","",_xlpm.v)),"")</f>
        <v>Diaries, Harrogate Collection, Diaries &gt; Pocket Diaries</v>
      </c>
      <c r="AS162" s="18" t="str">
        <f>IFERROR(_xlfn.LET(_xlpm.v,INDEX('product-export-27-8-2026'!$A:$AJ,MATCH($A162,'product-export-27-8-2026'!$A:$A,0),MATCH(AS$1,'product-export-27-8-2026'!$1:$1,0)),IF(_xlpm.v="","",_xlpm.v)),"")</f>
        <v>Harrogate SaharaHide Faux Leather Pocket Diary</v>
      </c>
      <c r="BC162" s="15"/>
    </row>
    <row r="163" spans="1:55" s="20" customFormat="1" ht="27.6" customHeight="1" x14ac:dyDescent="0.3">
      <c r="A163" s="17">
        <v>4207</v>
      </c>
      <c r="B163" s="18" t="s">
        <v>491</v>
      </c>
      <c r="C163" s="18" t="s">
        <v>18</v>
      </c>
      <c r="D163" s="18" t="s">
        <v>242</v>
      </c>
      <c r="E163" s="19" t="s">
        <v>242</v>
      </c>
      <c r="F163" s="18" t="s">
        <v>240</v>
      </c>
      <c r="G163" s="18" t="s">
        <v>19</v>
      </c>
      <c r="H163" s="18" t="s">
        <v>1585</v>
      </c>
      <c r="I163" s="12" t="s">
        <v>20</v>
      </c>
      <c r="J163" s="18" t="s">
        <v>91</v>
      </c>
      <c r="K163" s="12" t="s">
        <v>1666</v>
      </c>
      <c r="L163" s="60">
        <v>0.42</v>
      </c>
      <c r="M163" s="26">
        <v>9.99</v>
      </c>
      <c r="N163" s="18" t="s">
        <v>241</v>
      </c>
      <c r="O163" s="58">
        <f t="shared" si="15"/>
        <v>9.41</v>
      </c>
      <c r="P163" s="58">
        <f t="shared" si="15"/>
        <v>9.01</v>
      </c>
      <c r="Q163" s="58">
        <f t="shared" si="15"/>
        <v>5.03</v>
      </c>
      <c r="R163" s="58">
        <f t="shared" si="15"/>
        <v>3.68</v>
      </c>
      <c r="S163" s="58">
        <f t="shared" si="15"/>
        <v>3.18</v>
      </c>
      <c r="T163" s="58">
        <f t="shared" si="15"/>
        <v>2.99</v>
      </c>
      <c r="U163" s="58">
        <f t="shared" si="15"/>
        <v>2.83</v>
      </c>
      <c r="V163" s="58">
        <f t="shared" si="15"/>
        <v>2.68</v>
      </c>
      <c r="W163" s="58">
        <f t="shared" si="15"/>
        <v>2.57</v>
      </c>
      <c r="X163" s="31" t="str" cm="1">
        <f t="array" ref="X163">IF(Y163="","",_xlfn.TEXTJOIN(";",TRUE,SUBSTITUTE($Y$1:$AG$1,"Qty ","")&amp;":"&amp;TEXT(Y163:AG163,"0.00"))&amp;";")</f>
        <v>1:12.83;10:11.64;25:6.86;50:5.18;100:4.56;250:4.25;500:4.03;750:3.85;1000:3.71;</v>
      </c>
      <c r="Y163" s="56">
        <f>'Blocking Prices'!$C$14+O163</f>
        <v>12.83</v>
      </c>
      <c r="Z163" s="56">
        <f>'Blocking Prices'!$D$14+P163</f>
        <v>11.64</v>
      </c>
      <c r="AA163" s="56">
        <f>'Blocking Prices'!$E$14+Q163</f>
        <v>6.86</v>
      </c>
      <c r="AB163" s="56">
        <f>'Blocking Prices'!$F$14+R163</f>
        <v>5.18</v>
      </c>
      <c r="AC163" s="56">
        <f>'Blocking Prices'!$G$14+S163</f>
        <v>4.5600000000000005</v>
      </c>
      <c r="AD163" s="56">
        <f>'Blocking Prices'!$H$14+T163</f>
        <v>4.25</v>
      </c>
      <c r="AE163" s="56">
        <f>'Blocking Prices'!$I$14+U163</f>
        <v>4.03</v>
      </c>
      <c r="AF163" s="56">
        <f>'Blocking Prices'!$J$14+V163</f>
        <v>3.85</v>
      </c>
      <c r="AG163" s="56">
        <f>'Blocking Prices'!$K$14+W163</f>
        <v>3.71</v>
      </c>
      <c r="AH163" s="17"/>
      <c r="AI163" s="17"/>
      <c r="AJ163" s="17"/>
      <c r="AK163" s="17"/>
      <c r="AL163" s="18" t="s">
        <v>1298</v>
      </c>
      <c r="AM163" s="18" t="s">
        <v>576</v>
      </c>
      <c r="AN163" s="18" t="str">
        <f>IFERROR(_xlfn.LET(_xlpm.v,INDEX('product-export-27-8-2026'!$A:$AJ,MATCH($A163,'product-export-27-8-2026'!$A:$A,0),MATCH(AN$1,'product-export-27-8-2026'!$1:$1,0)),IF(_xlpm.v="","",_xlpm.v)),"")</f>
        <v/>
      </c>
      <c r="AO163" s="18" t="str">
        <f>IFERROR(_xlfn.LET(_xlpm.v,INDEX('product-export-27-8-2026'!$A:$AJ,MATCH($A163,'product-export-27-8-2026'!$A:$A,0),MATCH(AO$1,'product-export-27-8-2026'!$1:$1,0)),IF(_xlpm.v="","",_xlpm.v)),"")</f>
        <v/>
      </c>
      <c r="AP163" s="18" t="str">
        <f>IFERROR(_xlfn.LET(_xlpm.v,INDEX('product-export-27-8-2026'!$A:$AJ,MATCH($A163,'product-export-27-8-2026'!$A:$A,0),MATCH(AP$1,'product-export-27-8-2026'!$1:$1,0)),IF(_xlpm.v="","",_xlpm.v)),"")</f>
        <v/>
      </c>
      <c r="AQ163" s="18" t="str">
        <f>IFERROR(_xlfn.LET(_xlpm.v,INDEX('product-export-27-8-2026'!$A:$AJ,MATCH($A163,'product-export-27-8-2026'!$A:$A,0),MATCH(AQ$1,'product-export-27-8-2026'!$1:$1,0)),IF(_xlpm.v="","",_xlpm.v)),"")</f>
        <v/>
      </c>
      <c r="AR163" s="18" t="str">
        <f>IFERROR(_xlfn.LET(_xlpm.v,INDEX('product-export-27-8-2026'!$A:$AJ,MATCH($A163,'product-export-27-8-2026'!$A:$A,0),MATCH(AR$1,'product-export-27-8-2026'!$1:$1,0)),IF(_xlpm.v="","",_xlpm.v)),"")</f>
        <v>Diaries, Harrogate Collection, Diaries &gt; Pocket Diaries</v>
      </c>
      <c r="AS163" s="18" t="str">
        <f>IFERROR(_xlfn.LET(_xlpm.v,INDEX('product-export-27-8-2026'!$A:$AJ,MATCH($A163,'product-export-27-8-2026'!$A:$A,0),MATCH(AS$1,'product-export-27-8-2026'!$1:$1,0)),IF(_xlpm.v="","",_xlpm.v)),"")</f>
        <v>Harrogate SaharaHide Faux Leather Pocket Diary</v>
      </c>
      <c r="BC163" s="15"/>
    </row>
    <row r="164" spans="1:55" s="20" customFormat="1" ht="27.6" customHeight="1" x14ac:dyDescent="0.3">
      <c r="A164" s="17">
        <v>4210</v>
      </c>
      <c r="B164" s="18" t="s">
        <v>492</v>
      </c>
      <c r="C164" s="18" t="s">
        <v>18</v>
      </c>
      <c r="D164" s="18" t="s">
        <v>243</v>
      </c>
      <c r="E164" s="19" t="s">
        <v>243</v>
      </c>
      <c r="F164" s="18" t="s">
        <v>240</v>
      </c>
      <c r="G164" s="18" t="s">
        <v>19</v>
      </c>
      <c r="H164" s="18" t="s">
        <v>731</v>
      </c>
      <c r="I164" s="12" t="s">
        <v>20</v>
      </c>
      <c r="J164" s="18" t="s">
        <v>91</v>
      </c>
      <c r="K164" s="12" t="s">
        <v>1666</v>
      </c>
      <c r="L164" s="60">
        <v>0.42</v>
      </c>
      <c r="M164" s="26">
        <v>9.99</v>
      </c>
      <c r="N164" s="18" t="s">
        <v>241</v>
      </c>
      <c r="O164" s="58">
        <f t="shared" si="15"/>
        <v>9.41</v>
      </c>
      <c r="P164" s="58">
        <f t="shared" si="15"/>
        <v>9.01</v>
      </c>
      <c r="Q164" s="58">
        <f t="shared" si="15"/>
        <v>5.03</v>
      </c>
      <c r="R164" s="58">
        <f t="shared" si="15"/>
        <v>3.68</v>
      </c>
      <c r="S164" s="58">
        <f t="shared" si="15"/>
        <v>3.18</v>
      </c>
      <c r="T164" s="58">
        <f t="shared" si="15"/>
        <v>2.99</v>
      </c>
      <c r="U164" s="58">
        <f t="shared" si="15"/>
        <v>2.83</v>
      </c>
      <c r="V164" s="58">
        <f t="shared" si="15"/>
        <v>2.68</v>
      </c>
      <c r="W164" s="58">
        <f t="shared" si="15"/>
        <v>2.57</v>
      </c>
      <c r="X164" s="31" t="str" cm="1">
        <f t="array" ref="X164">IF(Y164="","",_xlfn.TEXTJOIN(";",TRUE,SUBSTITUTE($Y$1:$AG$1,"Qty ","")&amp;":"&amp;TEXT(Y164:AG164,"0.00"))&amp;";")</f>
        <v>1:12.83;10:11.64;25:6.86;50:5.18;100:4.56;250:4.25;500:4.03;750:3.85;1000:3.71;</v>
      </c>
      <c r="Y164" s="56">
        <f>'Blocking Prices'!$C$14+O164</f>
        <v>12.83</v>
      </c>
      <c r="Z164" s="56">
        <f>'Blocking Prices'!$D$14+P164</f>
        <v>11.64</v>
      </c>
      <c r="AA164" s="56">
        <f>'Blocking Prices'!$E$14+Q164</f>
        <v>6.86</v>
      </c>
      <c r="AB164" s="56">
        <f>'Blocking Prices'!$F$14+R164</f>
        <v>5.18</v>
      </c>
      <c r="AC164" s="56">
        <f>'Blocking Prices'!$G$14+S164</f>
        <v>4.5600000000000005</v>
      </c>
      <c r="AD164" s="56">
        <f>'Blocking Prices'!$H$14+T164</f>
        <v>4.25</v>
      </c>
      <c r="AE164" s="56">
        <f>'Blocking Prices'!$I$14+U164</f>
        <v>4.03</v>
      </c>
      <c r="AF164" s="56">
        <f>'Blocking Prices'!$J$14+V164</f>
        <v>3.85</v>
      </c>
      <c r="AG164" s="56">
        <f>'Blocking Prices'!$K$14+W164</f>
        <v>3.71</v>
      </c>
      <c r="AH164" s="17"/>
      <c r="AI164" s="17"/>
      <c r="AJ164" s="17"/>
      <c r="AK164" s="17"/>
      <c r="AL164" s="18" t="s">
        <v>1298</v>
      </c>
      <c r="AM164" s="18" t="s">
        <v>576</v>
      </c>
      <c r="AN164" s="18" t="str">
        <f>IFERROR(_xlfn.LET(_xlpm.v,INDEX('product-export-27-8-2026'!$A:$AJ,MATCH($A164,'product-export-27-8-2026'!$A:$A,0),MATCH(AN$1,'product-export-27-8-2026'!$1:$1,0)),IF(_xlpm.v="","",_xlpm.v)),"")</f>
        <v/>
      </c>
      <c r="AO164" s="18" t="str">
        <f>IFERROR(_xlfn.LET(_xlpm.v,INDEX('product-export-27-8-2026'!$A:$AJ,MATCH($A164,'product-export-27-8-2026'!$A:$A,0),MATCH(AO$1,'product-export-27-8-2026'!$1:$1,0)),IF(_xlpm.v="","",_xlpm.v)),"")</f>
        <v/>
      </c>
      <c r="AP164" s="18" t="str">
        <f>IFERROR(_xlfn.LET(_xlpm.v,INDEX('product-export-27-8-2026'!$A:$AJ,MATCH($A164,'product-export-27-8-2026'!$A:$A,0),MATCH(AP$1,'product-export-27-8-2026'!$1:$1,0)),IF(_xlpm.v="","",_xlpm.v)),"")</f>
        <v/>
      </c>
      <c r="AQ164" s="18" t="str">
        <f>IFERROR(_xlfn.LET(_xlpm.v,INDEX('product-export-27-8-2026'!$A:$AJ,MATCH($A164,'product-export-27-8-2026'!$A:$A,0),MATCH(AQ$1,'product-export-27-8-2026'!$1:$1,0)),IF(_xlpm.v="","",_xlpm.v)),"")</f>
        <v/>
      </c>
      <c r="AR164" s="18" t="str">
        <f>IFERROR(_xlfn.LET(_xlpm.v,INDEX('product-export-27-8-2026'!$A:$AJ,MATCH($A164,'product-export-27-8-2026'!$A:$A,0),MATCH(AR$1,'product-export-27-8-2026'!$1:$1,0)),IF(_xlpm.v="","",_xlpm.v)),"")</f>
        <v>Diaries, Harrogate Collection, Diaries &gt; Pocket Diaries</v>
      </c>
      <c r="AS164" s="18" t="str">
        <f>IFERROR(_xlfn.LET(_xlpm.v,INDEX('product-export-27-8-2026'!$A:$AJ,MATCH($A164,'product-export-27-8-2026'!$A:$A,0),MATCH(AS$1,'product-export-27-8-2026'!$1:$1,0)),IF(_xlpm.v="","",_xlpm.v)),"")</f>
        <v>Harrogate SaharaHide Faux Leather Pocket Diary</v>
      </c>
      <c r="BC164" s="15"/>
    </row>
    <row r="165" spans="1:55" s="20" customFormat="1" ht="27.6" customHeight="1" x14ac:dyDescent="0.3">
      <c r="A165" s="17">
        <v>4211</v>
      </c>
      <c r="B165" s="18" t="s">
        <v>493</v>
      </c>
      <c r="C165" s="18" t="s">
        <v>18</v>
      </c>
      <c r="D165" s="18" t="s">
        <v>244</v>
      </c>
      <c r="E165" s="19" t="s">
        <v>244</v>
      </c>
      <c r="F165" s="18" t="s">
        <v>240</v>
      </c>
      <c r="G165" s="18" t="s">
        <v>19</v>
      </c>
      <c r="H165" s="18" t="s">
        <v>696</v>
      </c>
      <c r="I165" s="12" t="s">
        <v>20</v>
      </c>
      <c r="J165" s="18" t="s">
        <v>91</v>
      </c>
      <c r="K165" s="12" t="s">
        <v>1666</v>
      </c>
      <c r="L165" s="60">
        <v>0.42</v>
      </c>
      <c r="M165" s="26">
        <v>9.99</v>
      </c>
      <c r="N165" s="18" t="s">
        <v>241</v>
      </c>
      <c r="O165" s="58">
        <f t="shared" si="15"/>
        <v>9.41</v>
      </c>
      <c r="P165" s="58">
        <f t="shared" si="15"/>
        <v>9.01</v>
      </c>
      <c r="Q165" s="58">
        <f t="shared" si="15"/>
        <v>5.03</v>
      </c>
      <c r="R165" s="58">
        <f t="shared" si="15"/>
        <v>3.68</v>
      </c>
      <c r="S165" s="58">
        <f t="shared" si="15"/>
        <v>3.18</v>
      </c>
      <c r="T165" s="58">
        <f t="shared" si="15"/>
        <v>2.99</v>
      </c>
      <c r="U165" s="58">
        <f t="shared" si="15"/>
        <v>2.83</v>
      </c>
      <c r="V165" s="58">
        <f t="shared" si="15"/>
        <v>2.68</v>
      </c>
      <c r="W165" s="58">
        <f t="shared" si="15"/>
        <v>2.57</v>
      </c>
      <c r="X165" s="31" t="str" cm="1">
        <f t="array" ref="X165">IF(Y165="","",_xlfn.TEXTJOIN(";",TRUE,SUBSTITUTE($Y$1:$AG$1,"Qty ","")&amp;":"&amp;TEXT(Y165:AG165,"0.00"))&amp;";")</f>
        <v>1:12.83;10:11.64;25:6.86;50:5.18;100:4.56;250:4.25;500:4.03;750:3.85;1000:3.71;</v>
      </c>
      <c r="Y165" s="56">
        <f>'Blocking Prices'!$C$14+O165</f>
        <v>12.83</v>
      </c>
      <c r="Z165" s="56">
        <f>'Blocking Prices'!$D$14+P165</f>
        <v>11.64</v>
      </c>
      <c r="AA165" s="56">
        <f>'Blocking Prices'!$E$14+Q165</f>
        <v>6.86</v>
      </c>
      <c r="AB165" s="56">
        <f>'Blocking Prices'!$F$14+R165</f>
        <v>5.18</v>
      </c>
      <c r="AC165" s="56">
        <f>'Blocking Prices'!$G$14+S165</f>
        <v>4.5600000000000005</v>
      </c>
      <c r="AD165" s="56">
        <f>'Blocking Prices'!$H$14+T165</f>
        <v>4.25</v>
      </c>
      <c r="AE165" s="56">
        <f>'Blocking Prices'!$I$14+U165</f>
        <v>4.03</v>
      </c>
      <c r="AF165" s="56">
        <f>'Blocking Prices'!$J$14+V165</f>
        <v>3.85</v>
      </c>
      <c r="AG165" s="56">
        <f>'Blocking Prices'!$K$14+W165</f>
        <v>3.71</v>
      </c>
      <c r="AH165" s="17"/>
      <c r="AI165" s="17"/>
      <c r="AJ165" s="17"/>
      <c r="AK165" s="17"/>
      <c r="AL165" s="18" t="s">
        <v>1298</v>
      </c>
      <c r="AM165" s="18" t="s">
        <v>576</v>
      </c>
      <c r="AN165" s="18" t="str">
        <f>IFERROR(_xlfn.LET(_xlpm.v,INDEX('product-export-27-8-2026'!$A:$AJ,MATCH($A165,'product-export-27-8-2026'!$A:$A,0),MATCH(AN$1,'product-export-27-8-2026'!$1:$1,0)),IF(_xlpm.v="","",_xlpm.v)),"")</f>
        <v/>
      </c>
      <c r="AO165" s="18" t="str">
        <f>IFERROR(_xlfn.LET(_xlpm.v,INDEX('product-export-27-8-2026'!$A:$AJ,MATCH($A165,'product-export-27-8-2026'!$A:$A,0),MATCH(AO$1,'product-export-27-8-2026'!$1:$1,0)),IF(_xlpm.v="","",_xlpm.v)),"")</f>
        <v/>
      </c>
      <c r="AP165" s="18" t="str">
        <f>IFERROR(_xlfn.LET(_xlpm.v,INDEX('product-export-27-8-2026'!$A:$AJ,MATCH($A165,'product-export-27-8-2026'!$A:$A,0),MATCH(AP$1,'product-export-27-8-2026'!$1:$1,0)),IF(_xlpm.v="","",_xlpm.v)),"")</f>
        <v/>
      </c>
      <c r="AQ165" s="18" t="str">
        <f>IFERROR(_xlfn.LET(_xlpm.v,INDEX('product-export-27-8-2026'!$A:$AJ,MATCH($A165,'product-export-27-8-2026'!$A:$A,0),MATCH(AQ$1,'product-export-27-8-2026'!$1:$1,0)),IF(_xlpm.v="","",_xlpm.v)),"")</f>
        <v/>
      </c>
      <c r="AR165" s="18" t="str">
        <f>IFERROR(_xlfn.LET(_xlpm.v,INDEX('product-export-27-8-2026'!$A:$AJ,MATCH($A165,'product-export-27-8-2026'!$A:$A,0),MATCH(AR$1,'product-export-27-8-2026'!$1:$1,0)),IF(_xlpm.v="","",_xlpm.v)),"")</f>
        <v>Diaries, Harrogate Collection, Diaries &gt; Pocket Diaries</v>
      </c>
      <c r="AS165" s="18" t="str">
        <f>IFERROR(_xlfn.LET(_xlpm.v,INDEX('product-export-27-8-2026'!$A:$AJ,MATCH($A165,'product-export-27-8-2026'!$A:$A,0),MATCH(AS$1,'product-export-27-8-2026'!$1:$1,0)),IF(_xlpm.v="","",_xlpm.v)),"")</f>
        <v>Harrogate SaharaHide Faux Leather Pocket Diary</v>
      </c>
      <c r="BC165" s="15"/>
    </row>
    <row r="166" spans="1:55" s="20" customFormat="1" ht="27.6" customHeight="1" x14ac:dyDescent="0.3">
      <c r="A166" s="17">
        <v>4214</v>
      </c>
      <c r="B166" s="18" t="s">
        <v>494</v>
      </c>
      <c r="C166" s="18" t="s">
        <v>18</v>
      </c>
      <c r="D166" s="18" t="s">
        <v>245</v>
      </c>
      <c r="E166" s="19" t="s">
        <v>245</v>
      </c>
      <c r="F166" s="18" t="s">
        <v>240</v>
      </c>
      <c r="G166" s="18" t="s">
        <v>19</v>
      </c>
      <c r="H166" s="18" t="s">
        <v>792</v>
      </c>
      <c r="I166" s="12" t="s">
        <v>20</v>
      </c>
      <c r="J166" s="18" t="s">
        <v>91</v>
      </c>
      <c r="K166" s="12" t="s">
        <v>1666</v>
      </c>
      <c r="L166" s="60">
        <v>0.42</v>
      </c>
      <c r="M166" s="26">
        <v>9.99</v>
      </c>
      <c r="N166" s="18" t="s">
        <v>241</v>
      </c>
      <c r="O166" s="58">
        <f t="shared" si="15"/>
        <v>9.41</v>
      </c>
      <c r="P166" s="58">
        <f t="shared" si="15"/>
        <v>9.01</v>
      </c>
      <c r="Q166" s="58">
        <f t="shared" si="15"/>
        <v>5.03</v>
      </c>
      <c r="R166" s="58">
        <f t="shared" si="15"/>
        <v>3.68</v>
      </c>
      <c r="S166" s="58">
        <f t="shared" si="15"/>
        <v>3.18</v>
      </c>
      <c r="T166" s="58">
        <f t="shared" si="15"/>
        <v>2.99</v>
      </c>
      <c r="U166" s="58">
        <f t="shared" si="15"/>
        <v>2.83</v>
      </c>
      <c r="V166" s="58">
        <f t="shared" si="15"/>
        <v>2.68</v>
      </c>
      <c r="W166" s="58">
        <f t="shared" si="15"/>
        <v>2.57</v>
      </c>
      <c r="X166" s="31" t="str" cm="1">
        <f t="array" ref="X166">IF(Y166="","",_xlfn.TEXTJOIN(";",TRUE,SUBSTITUTE($Y$1:$AG$1,"Qty ","")&amp;":"&amp;TEXT(Y166:AG166,"0.00"))&amp;";")</f>
        <v>1:12.83;10:11.64;25:6.86;50:5.18;100:4.56;250:4.25;500:4.03;750:3.85;1000:3.71;</v>
      </c>
      <c r="Y166" s="56">
        <f>'Blocking Prices'!$C$14+O166</f>
        <v>12.83</v>
      </c>
      <c r="Z166" s="56">
        <f>'Blocking Prices'!$D$14+P166</f>
        <v>11.64</v>
      </c>
      <c r="AA166" s="56">
        <f>'Blocking Prices'!$E$14+Q166</f>
        <v>6.86</v>
      </c>
      <c r="AB166" s="56">
        <f>'Blocking Prices'!$F$14+R166</f>
        <v>5.18</v>
      </c>
      <c r="AC166" s="56">
        <f>'Blocking Prices'!$G$14+S166</f>
        <v>4.5600000000000005</v>
      </c>
      <c r="AD166" s="56">
        <f>'Blocking Prices'!$H$14+T166</f>
        <v>4.25</v>
      </c>
      <c r="AE166" s="56">
        <f>'Blocking Prices'!$I$14+U166</f>
        <v>4.03</v>
      </c>
      <c r="AF166" s="56">
        <f>'Blocking Prices'!$J$14+V166</f>
        <v>3.85</v>
      </c>
      <c r="AG166" s="56">
        <f>'Blocking Prices'!$K$14+W166</f>
        <v>3.71</v>
      </c>
      <c r="AH166" s="17"/>
      <c r="AI166" s="17"/>
      <c r="AJ166" s="17"/>
      <c r="AK166" s="17"/>
      <c r="AL166" s="18" t="s">
        <v>1298</v>
      </c>
      <c r="AM166" s="18" t="s">
        <v>576</v>
      </c>
      <c r="AN166" s="18" t="str">
        <f>IFERROR(_xlfn.LET(_xlpm.v,INDEX('product-export-27-8-2026'!$A:$AJ,MATCH($A166,'product-export-27-8-2026'!$A:$A,0),MATCH(AN$1,'product-export-27-8-2026'!$1:$1,0)),IF(_xlpm.v="","",_xlpm.v)),"")</f>
        <v/>
      </c>
      <c r="AO166" s="18" t="str">
        <f>IFERROR(_xlfn.LET(_xlpm.v,INDEX('product-export-27-8-2026'!$A:$AJ,MATCH($A166,'product-export-27-8-2026'!$A:$A,0),MATCH(AO$1,'product-export-27-8-2026'!$1:$1,0)),IF(_xlpm.v="","",_xlpm.v)),"")</f>
        <v/>
      </c>
      <c r="AP166" s="18" t="str">
        <f>IFERROR(_xlfn.LET(_xlpm.v,INDEX('product-export-27-8-2026'!$A:$AJ,MATCH($A166,'product-export-27-8-2026'!$A:$A,0),MATCH(AP$1,'product-export-27-8-2026'!$1:$1,0)),IF(_xlpm.v="","",_xlpm.v)),"")</f>
        <v/>
      </c>
      <c r="AQ166" s="18" t="str">
        <f>IFERROR(_xlfn.LET(_xlpm.v,INDEX('product-export-27-8-2026'!$A:$AJ,MATCH($A166,'product-export-27-8-2026'!$A:$A,0),MATCH(AQ$1,'product-export-27-8-2026'!$1:$1,0)),IF(_xlpm.v="","",_xlpm.v)),"")</f>
        <v/>
      </c>
      <c r="AR166" s="18" t="str">
        <f>IFERROR(_xlfn.LET(_xlpm.v,INDEX('product-export-27-8-2026'!$A:$AJ,MATCH($A166,'product-export-27-8-2026'!$A:$A,0),MATCH(AR$1,'product-export-27-8-2026'!$1:$1,0)),IF(_xlpm.v="","",_xlpm.v)),"")</f>
        <v>Diaries, Harrogate Collection, Diaries &gt; Pocket Diaries</v>
      </c>
      <c r="AS166" s="18" t="str">
        <f>IFERROR(_xlfn.LET(_xlpm.v,INDEX('product-export-27-8-2026'!$A:$AJ,MATCH($A166,'product-export-27-8-2026'!$A:$A,0),MATCH(AS$1,'product-export-27-8-2026'!$1:$1,0)),IF(_xlpm.v="","",_xlpm.v)),"")</f>
        <v>Harrogate SaharaHide Faux Leather Pocket Diary</v>
      </c>
      <c r="BC166" s="15"/>
    </row>
    <row r="167" spans="1:55" s="20" customFormat="1" ht="27.6" customHeight="1" x14ac:dyDescent="0.3">
      <c r="A167" s="17">
        <v>4215</v>
      </c>
      <c r="B167" s="18" t="s">
        <v>495</v>
      </c>
      <c r="C167" s="18" t="s">
        <v>18</v>
      </c>
      <c r="D167" s="18" t="s">
        <v>246</v>
      </c>
      <c r="E167" s="19" t="s">
        <v>246</v>
      </c>
      <c r="F167" s="18" t="s">
        <v>247</v>
      </c>
      <c r="G167" s="18" t="s">
        <v>19</v>
      </c>
      <c r="H167" s="18" t="s">
        <v>672</v>
      </c>
      <c r="I167" s="12" t="s">
        <v>20</v>
      </c>
      <c r="J167" s="18" t="s">
        <v>87</v>
      </c>
      <c r="K167" s="12" t="s">
        <v>1666</v>
      </c>
      <c r="L167" s="60">
        <v>0.42</v>
      </c>
      <c r="M167" s="26">
        <v>7.99</v>
      </c>
      <c r="N167" s="18" t="s">
        <v>248</v>
      </c>
      <c r="O167" s="58">
        <f t="shared" si="15"/>
        <v>8.24</v>
      </c>
      <c r="P167" s="58">
        <f t="shared" si="15"/>
        <v>7.91</v>
      </c>
      <c r="Q167" s="58">
        <f t="shared" si="15"/>
        <v>3.74</v>
      </c>
      <c r="R167" s="58">
        <f t="shared" si="15"/>
        <v>3.32</v>
      </c>
      <c r="S167" s="58">
        <f t="shared" si="15"/>
        <v>2.83</v>
      </c>
      <c r="T167" s="58">
        <f t="shared" si="15"/>
        <v>2.33</v>
      </c>
      <c r="U167" s="58">
        <f t="shared" si="15"/>
        <v>2.0499999999999998</v>
      </c>
      <c r="V167" s="58">
        <f t="shared" si="15"/>
        <v>1.93</v>
      </c>
      <c r="W167" s="58">
        <f t="shared" si="15"/>
        <v>1.89</v>
      </c>
      <c r="X167" s="31" t="str" cm="1">
        <f t="array" ref="X167">IF(Y167="","",_xlfn.TEXTJOIN(";",TRUE,SUBSTITUTE($Y$1:$AG$1,"Qty ","")&amp;":"&amp;TEXT(Y167:AG167,"0.00"))&amp;";")</f>
        <v>1:11.66;10:10.54;25:5.57;50:4.82;100:4.21;250:3.59;500:3.25;750:3.10;1000:3.03;</v>
      </c>
      <c r="Y167" s="56">
        <f>'Blocking Prices'!$C$14+O167</f>
        <v>11.66</v>
      </c>
      <c r="Z167" s="56">
        <f>'Blocking Prices'!$D$14+P167</f>
        <v>10.54</v>
      </c>
      <c r="AA167" s="56">
        <f>'Blocking Prices'!$E$14+Q167</f>
        <v>5.57</v>
      </c>
      <c r="AB167" s="56">
        <f>'Blocking Prices'!$F$14+R167</f>
        <v>4.82</v>
      </c>
      <c r="AC167" s="56">
        <f>'Blocking Prices'!$G$14+S167</f>
        <v>4.21</v>
      </c>
      <c r="AD167" s="56">
        <f>'Blocking Prices'!$H$14+T167</f>
        <v>3.59</v>
      </c>
      <c r="AE167" s="56">
        <f>'Blocking Prices'!$I$14+U167</f>
        <v>3.25</v>
      </c>
      <c r="AF167" s="56">
        <f>'Blocking Prices'!$J$14+V167</f>
        <v>3.0999999999999996</v>
      </c>
      <c r="AG167" s="56">
        <f>'Blocking Prices'!$K$14+W167</f>
        <v>3.03</v>
      </c>
      <c r="AH167" s="17"/>
      <c r="AI167" s="17"/>
      <c r="AJ167" s="17"/>
      <c r="AK167" s="17"/>
      <c r="AL167" s="18" t="s">
        <v>1313</v>
      </c>
      <c r="AM167" s="18" t="s">
        <v>576</v>
      </c>
      <c r="AN167" s="18" t="str">
        <f>IFERROR(_xlfn.LET(_xlpm.v,INDEX('product-export-27-8-2026'!$A:$AJ,MATCH($A167,'product-export-27-8-2026'!$A:$A,0),MATCH(AN$1,'product-export-27-8-2026'!$1:$1,0)),IF(_xlpm.v="","",_xlpm.v)),"")</f>
        <v/>
      </c>
      <c r="AO167" s="18" t="str">
        <f>IFERROR(_xlfn.LET(_xlpm.v,INDEX('product-export-27-8-2026'!$A:$AJ,MATCH($A167,'product-export-27-8-2026'!$A:$A,0),MATCH(AO$1,'product-export-27-8-2026'!$1:$1,0)),IF(_xlpm.v="","",_xlpm.v)),"")</f>
        <v/>
      </c>
      <c r="AP167" s="18" t="str">
        <f>IFERROR(_xlfn.LET(_xlpm.v,INDEX('product-export-27-8-2026'!$A:$AJ,MATCH($A167,'product-export-27-8-2026'!$A:$A,0),MATCH(AP$1,'product-export-27-8-2026'!$1:$1,0)),IF(_xlpm.v="","",_xlpm.v)),"")</f>
        <v/>
      </c>
      <c r="AQ167" s="18" t="str">
        <f>IFERROR(_xlfn.LET(_xlpm.v,INDEX('product-export-27-8-2026'!$A:$AJ,MATCH($A167,'product-export-27-8-2026'!$A:$A,0),MATCH(AQ$1,'product-export-27-8-2026'!$1:$1,0)),IF(_xlpm.v="","",_xlpm.v)),"")</f>
        <v/>
      </c>
      <c r="AR167" s="18" t="str">
        <f>IFERROR(_xlfn.LET(_xlpm.v,INDEX('product-export-27-8-2026'!$A:$AJ,MATCH($A167,'product-export-27-8-2026'!$A:$A,0),MATCH(AR$1,'product-export-27-8-2026'!$1:$1,0)),IF(_xlpm.v="","",_xlpm.v)),"")</f>
        <v>Diaries, Lewes Collection, Diaries &gt; Pocket Diaries</v>
      </c>
      <c r="AS167" s="18" t="str">
        <f>IFERROR(_xlfn.LET(_xlpm.v,INDEX('product-export-27-8-2026'!$A:$AJ,MATCH($A167,'product-export-27-8-2026'!$A:$A,0),MATCH(AS$1,'product-export-27-8-2026'!$1:$1,0)),IF(_xlpm.v="","",_xlpm.v)),"")</f>
        <v>Lewes-SmoothGrain-Pocket-Week-to-View</v>
      </c>
      <c r="BC167" s="15"/>
    </row>
    <row r="168" spans="1:55" s="20" customFormat="1" ht="27.6" customHeight="1" x14ac:dyDescent="0.3">
      <c r="A168" s="17">
        <v>4217</v>
      </c>
      <c r="B168" s="18" t="s">
        <v>496</v>
      </c>
      <c r="C168" s="18" t="s">
        <v>18</v>
      </c>
      <c r="D168" s="18" t="s">
        <v>249</v>
      </c>
      <c r="E168" s="19" t="s">
        <v>249</v>
      </c>
      <c r="F168" s="18" t="s">
        <v>247</v>
      </c>
      <c r="G168" s="18" t="s">
        <v>19</v>
      </c>
      <c r="H168" s="18" t="s">
        <v>728</v>
      </c>
      <c r="I168" s="12" t="s">
        <v>20</v>
      </c>
      <c r="J168" s="18" t="s">
        <v>87</v>
      </c>
      <c r="K168" s="12" t="s">
        <v>1666</v>
      </c>
      <c r="L168" s="60">
        <v>0.42</v>
      </c>
      <c r="M168" s="26">
        <v>7.99</v>
      </c>
      <c r="N168" s="18" t="s">
        <v>248</v>
      </c>
      <c r="O168" s="58">
        <f t="shared" si="15"/>
        <v>8.24</v>
      </c>
      <c r="P168" s="58">
        <f t="shared" si="15"/>
        <v>7.91</v>
      </c>
      <c r="Q168" s="58">
        <f t="shared" si="15"/>
        <v>3.74</v>
      </c>
      <c r="R168" s="58">
        <f t="shared" si="15"/>
        <v>3.32</v>
      </c>
      <c r="S168" s="58">
        <f t="shared" si="15"/>
        <v>2.83</v>
      </c>
      <c r="T168" s="58">
        <f t="shared" si="15"/>
        <v>2.33</v>
      </c>
      <c r="U168" s="58">
        <f t="shared" si="15"/>
        <v>2.0499999999999998</v>
      </c>
      <c r="V168" s="58">
        <f t="shared" si="15"/>
        <v>1.93</v>
      </c>
      <c r="W168" s="58">
        <f t="shared" si="15"/>
        <v>1.89</v>
      </c>
      <c r="X168" s="31" t="str" cm="1">
        <f t="array" ref="X168">IF(Y168="","",_xlfn.TEXTJOIN(";",TRUE,SUBSTITUTE($Y$1:$AG$1,"Qty ","")&amp;":"&amp;TEXT(Y168:AG168,"0.00"))&amp;";")</f>
        <v>1:11.66;10:10.54;25:5.57;50:4.82;100:4.21;250:3.59;500:3.25;750:3.10;1000:3.03;</v>
      </c>
      <c r="Y168" s="56">
        <f>'Blocking Prices'!$C$14+O168</f>
        <v>11.66</v>
      </c>
      <c r="Z168" s="56">
        <f>'Blocking Prices'!$D$14+P168</f>
        <v>10.54</v>
      </c>
      <c r="AA168" s="56">
        <f>'Blocking Prices'!$E$14+Q168</f>
        <v>5.57</v>
      </c>
      <c r="AB168" s="56">
        <f>'Blocking Prices'!$F$14+R168</f>
        <v>4.82</v>
      </c>
      <c r="AC168" s="56">
        <f>'Blocking Prices'!$G$14+S168</f>
        <v>4.21</v>
      </c>
      <c r="AD168" s="56">
        <f>'Blocking Prices'!$H$14+T168</f>
        <v>3.59</v>
      </c>
      <c r="AE168" s="56">
        <f>'Blocking Prices'!$I$14+U168</f>
        <v>3.25</v>
      </c>
      <c r="AF168" s="56">
        <f>'Blocking Prices'!$J$14+V168</f>
        <v>3.0999999999999996</v>
      </c>
      <c r="AG168" s="56">
        <f>'Blocking Prices'!$K$14+W168</f>
        <v>3.03</v>
      </c>
      <c r="AH168" s="17"/>
      <c r="AI168" s="17"/>
      <c r="AJ168" s="17"/>
      <c r="AK168" s="17"/>
      <c r="AL168" s="18" t="s">
        <v>1313</v>
      </c>
      <c r="AM168" s="18" t="s">
        <v>576</v>
      </c>
      <c r="AN168" s="18" t="str">
        <f>IFERROR(_xlfn.LET(_xlpm.v,INDEX('product-export-27-8-2026'!$A:$AJ,MATCH($A168,'product-export-27-8-2026'!$A:$A,0),MATCH(AN$1,'product-export-27-8-2026'!$1:$1,0)),IF(_xlpm.v="","",_xlpm.v)),"")</f>
        <v/>
      </c>
      <c r="AO168" s="18" t="str">
        <f>IFERROR(_xlfn.LET(_xlpm.v,INDEX('product-export-27-8-2026'!$A:$AJ,MATCH($A168,'product-export-27-8-2026'!$A:$A,0),MATCH(AO$1,'product-export-27-8-2026'!$1:$1,0)),IF(_xlpm.v="","",_xlpm.v)),"")</f>
        <v/>
      </c>
      <c r="AP168" s="18" t="str">
        <f>IFERROR(_xlfn.LET(_xlpm.v,INDEX('product-export-27-8-2026'!$A:$AJ,MATCH($A168,'product-export-27-8-2026'!$A:$A,0),MATCH(AP$1,'product-export-27-8-2026'!$1:$1,0)),IF(_xlpm.v="","",_xlpm.v)),"")</f>
        <v/>
      </c>
      <c r="AQ168" s="18" t="str">
        <f>IFERROR(_xlfn.LET(_xlpm.v,INDEX('product-export-27-8-2026'!$A:$AJ,MATCH($A168,'product-export-27-8-2026'!$A:$A,0),MATCH(AQ$1,'product-export-27-8-2026'!$1:$1,0)),IF(_xlpm.v="","",_xlpm.v)),"")</f>
        <v/>
      </c>
      <c r="AR168" s="18" t="str">
        <f>IFERROR(_xlfn.LET(_xlpm.v,INDEX('product-export-27-8-2026'!$A:$AJ,MATCH($A168,'product-export-27-8-2026'!$A:$A,0),MATCH(AR$1,'product-export-27-8-2026'!$1:$1,0)),IF(_xlpm.v="","",_xlpm.v)),"")</f>
        <v>Diaries, Lewes Collection, Diaries &gt; Pocket Diaries</v>
      </c>
      <c r="AS168" s="18" t="str">
        <f>IFERROR(_xlfn.LET(_xlpm.v,INDEX('product-export-27-8-2026'!$A:$AJ,MATCH($A168,'product-export-27-8-2026'!$A:$A,0),MATCH(AS$1,'product-export-27-8-2026'!$1:$1,0)),IF(_xlpm.v="","",_xlpm.v)),"")</f>
        <v>Lewes-SmoothGrain-Pocket-Week-to-View</v>
      </c>
      <c r="BC168" s="15"/>
    </row>
    <row r="169" spans="1:55" s="20" customFormat="1" ht="27.6" customHeight="1" x14ac:dyDescent="0.3">
      <c r="A169" s="17">
        <v>4218</v>
      </c>
      <c r="B169" s="18" t="s">
        <v>497</v>
      </c>
      <c r="C169" s="18" t="s">
        <v>18</v>
      </c>
      <c r="D169" s="18" t="s">
        <v>250</v>
      </c>
      <c r="E169" s="19" t="s">
        <v>250</v>
      </c>
      <c r="F169" s="18" t="s">
        <v>247</v>
      </c>
      <c r="G169" s="18" t="s">
        <v>19</v>
      </c>
      <c r="H169" s="18" t="s">
        <v>789</v>
      </c>
      <c r="I169" s="12" t="s">
        <v>20</v>
      </c>
      <c r="J169" s="18" t="s">
        <v>87</v>
      </c>
      <c r="K169" s="12" t="s">
        <v>1666</v>
      </c>
      <c r="L169" s="60">
        <v>0.42</v>
      </c>
      <c r="M169" s="26">
        <v>7.99</v>
      </c>
      <c r="N169" s="18" t="s">
        <v>248</v>
      </c>
      <c r="O169" s="58">
        <f t="shared" si="15"/>
        <v>8.24</v>
      </c>
      <c r="P169" s="58">
        <f t="shared" si="15"/>
        <v>7.91</v>
      </c>
      <c r="Q169" s="58">
        <f t="shared" si="15"/>
        <v>3.74</v>
      </c>
      <c r="R169" s="58">
        <f t="shared" si="15"/>
        <v>3.32</v>
      </c>
      <c r="S169" s="58">
        <f t="shared" si="15"/>
        <v>2.83</v>
      </c>
      <c r="T169" s="58">
        <f t="shared" si="15"/>
        <v>2.33</v>
      </c>
      <c r="U169" s="58">
        <f t="shared" si="15"/>
        <v>2.0499999999999998</v>
      </c>
      <c r="V169" s="58">
        <f t="shared" si="15"/>
        <v>1.93</v>
      </c>
      <c r="W169" s="58">
        <f t="shared" si="15"/>
        <v>1.89</v>
      </c>
      <c r="X169" s="31" t="str" cm="1">
        <f t="array" ref="X169">IF(Y169="","",_xlfn.TEXTJOIN(";",TRUE,SUBSTITUTE($Y$1:$AG$1,"Qty ","")&amp;":"&amp;TEXT(Y169:AG169,"0.00"))&amp;";")</f>
        <v>1:11.66;10:10.54;25:5.57;50:4.82;100:4.21;250:3.59;500:3.25;750:3.10;1000:3.03;</v>
      </c>
      <c r="Y169" s="56">
        <f>'Blocking Prices'!$C$14+O169</f>
        <v>11.66</v>
      </c>
      <c r="Z169" s="56">
        <f>'Blocking Prices'!$D$14+P169</f>
        <v>10.54</v>
      </c>
      <c r="AA169" s="56">
        <f>'Blocking Prices'!$E$14+Q169</f>
        <v>5.57</v>
      </c>
      <c r="AB169" s="56">
        <f>'Blocking Prices'!$F$14+R169</f>
        <v>4.82</v>
      </c>
      <c r="AC169" s="56">
        <f>'Blocking Prices'!$G$14+S169</f>
        <v>4.21</v>
      </c>
      <c r="AD169" s="56">
        <f>'Blocking Prices'!$H$14+T169</f>
        <v>3.59</v>
      </c>
      <c r="AE169" s="56">
        <f>'Blocking Prices'!$I$14+U169</f>
        <v>3.25</v>
      </c>
      <c r="AF169" s="56">
        <f>'Blocking Prices'!$J$14+V169</f>
        <v>3.0999999999999996</v>
      </c>
      <c r="AG169" s="56">
        <f>'Blocking Prices'!$K$14+W169</f>
        <v>3.03</v>
      </c>
      <c r="AH169" s="17"/>
      <c r="AI169" s="17"/>
      <c r="AJ169" s="17"/>
      <c r="AK169" s="17"/>
      <c r="AL169" s="18" t="s">
        <v>1313</v>
      </c>
      <c r="AM169" s="18" t="s">
        <v>576</v>
      </c>
      <c r="AN169" s="18" t="str">
        <f>IFERROR(_xlfn.LET(_xlpm.v,INDEX('product-export-27-8-2026'!$A:$AJ,MATCH($A169,'product-export-27-8-2026'!$A:$A,0),MATCH(AN$1,'product-export-27-8-2026'!$1:$1,0)),IF(_xlpm.v="","",_xlpm.v)),"")</f>
        <v/>
      </c>
      <c r="AO169" s="18" t="str">
        <f>IFERROR(_xlfn.LET(_xlpm.v,INDEX('product-export-27-8-2026'!$A:$AJ,MATCH($A169,'product-export-27-8-2026'!$A:$A,0),MATCH(AO$1,'product-export-27-8-2026'!$1:$1,0)),IF(_xlpm.v="","",_xlpm.v)),"")</f>
        <v/>
      </c>
      <c r="AP169" s="18" t="str">
        <f>IFERROR(_xlfn.LET(_xlpm.v,INDEX('product-export-27-8-2026'!$A:$AJ,MATCH($A169,'product-export-27-8-2026'!$A:$A,0),MATCH(AP$1,'product-export-27-8-2026'!$1:$1,0)),IF(_xlpm.v="","",_xlpm.v)),"")</f>
        <v/>
      </c>
      <c r="AQ169" s="18" t="str">
        <f>IFERROR(_xlfn.LET(_xlpm.v,INDEX('product-export-27-8-2026'!$A:$AJ,MATCH($A169,'product-export-27-8-2026'!$A:$A,0),MATCH(AQ$1,'product-export-27-8-2026'!$1:$1,0)),IF(_xlpm.v="","",_xlpm.v)),"")</f>
        <v/>
      </c>
      <c r="AR169" s="18" t="str">
        <f>IFERROR(_xlfn.LET(_xlpm.v,INDEX('product-export-27-8-2026'!$A:$AJ,MATCH($A169,'product-export-27-8-2026'!$A:$A,0),MATCH(AR$1,'product-export-27-8-2026'!$1:$1,0)),IF(_xlpm.v="","",_xlpm.v)),"")</f>
        <v>Diaries, Lewes Collection, Diaries &gt; Pocket Diaries</v>
      </c>
      <c r="AS169" s="18" t="str">
        <f>IFERROR(_xlfn.LET(_xlpm.v,INDEX('product-export-27-8-2026'!$A:$AJ,MATCH($A169,'product-export-27-8-2026'!$A:$A,0),MATCH(AS$1,'product-export-27-8-2026'!$1:$1,0)),IF(_xlpm.v="","",_xlpm.v)),"")</f>
        <v>Lewes-SmoothGrain-Pocket-Week-to-View</v>
      </c>
      <c r="BC169" s="15"/>
    </row>
    <row r="170" spans="1:55" s="20" customFormat="1" ht="27.6" customHeight="1" x14ac:dyDescent="0.3">
      <c r="A170" s="17">
        <v>4221</v>
      </c>
      <c r="B170" s="18" t="s">
        <v>498</v>
      </c>
      <c r="C170" s="18" t="s">
        <v>18</v>
      </c>
      <c r="D170" s="18" t="s">
        <v>251</v>
      </c>
      <c r="E170" s="19" t="s">
        <v>251</v>
      </c>
      <c r="F170" s="18" t="s">
        <v>247</v>
      </c>
      <c r="G170" s="18" t="s">
        <v>19</v>
      </c>
      <c r="H170" s="18" t="s">
        <v>792</v>
      </c>
      <c r="I170" s="12" t="s">
        <v>20</v>
      </c>
      <c r="J170" s="18" t="s">
        <v>87</v>
      </c>
      <c r="K170" s="12" t="s">
        <v>1666</v>
      </c>
      <c r="L170" s="60">
        <v>0.42</v>
      </c>
      <c r="M170" s="26">
        <v>7.99</v>
      </c>
      <c r="N170" s="18" t="s">
        <v>248</v>
      </c>
      <c r="O170" s="58">
        <f t="shared" si="15"/>
        <v>8.24</v>
      </c>
      <c r="P170" s="58">
        <f t="shared" si="15"/>
        <v>7.91</v>
      </c>
      <c r="Q170" s="58">
        <f t="shared" si="15"/>
        <v>3.74</v>
      </c>
      <c r="R170" s="58">
        <f t="shared" si="15"/>
        <v>3.32</v>
      </c>
      <c r="S170" s="58">
        <f t="shared" si="15"/>
        <v>2.83</v>
      </c>
      <c r="T170" s="58">
        <f t="shared" si="15"/>
        <v>2.33</v>
      </c>
      <c r="U170" s="58">
        <f t="shared" si="15"/>
        <v>2.0499999999999998</v>
      </c>
      <c r="V170" s="58">
        <f t="shared" si="15"/>
        <v>1.93</v>
      </c>
      <c r="W170" s="58">
        <f t="shared" si="15"/>
        <v>1.89</v>
      </c>
      <c r="X170" s="31" t="str" cm="1">
        <f t="array" ref="X170">IF(Y170="","",_xlfn.TEXTJOIN(";",TRUE,SUBSTITUTE($Y$1:$AG$1,"Qty ","")&amp;":"&amp;TEXT(Y170:AG170,"0.00"))&amp;";")</f>
        <v>1:11.66;10:10.54;25:5.57;50:4.82;100:4.21;250:3.59;500:3.25;750:3.10;1000:3.03;</v>
      </c>
      <c r="Y170" s="56">
        <f>'Blocking Prices'!$C$14+O170</f>
        <v>11.66</v>
      </c>
      <c r="Z170" s="56">
        <f>'Blocking Prices'!$D$14+P170</f>
        <v>10.54</v>
      </c>
      <c r="AA170" s="56">
        <f>'Blocking Prices'!$E$14+Q170</f>
        <v>5.57</v>
      </c>
      <c r="AB170" s="56">
        <f>'Blocking Prices'!$F$14+R170</f>
        <v>4.82</v>
      </c>
      <c r="AC170" s="56">
        <f>'Blocking Prices'!$G$14+S170</f>
        <v>4.21</v>
      </c>
      <c r="AD170" s="56">
        <f>'Blocking Prices'!$H$14+T170</f>
        <v>3.59</v>
      </c>
      <c r="AE170" s="56">
        <f>'Blocking Prices'!$I$14+U170</f>
        <v>3.25</v>
      </c>
      <c r="AF170" s="56">
        <f>'Blocking Prices'!$J$14+V170</f>
        <v>3.0999999999999996</v>
      </c>
      <c r="AG170" s="56">
        <f>'Blocking Prices'!$K$14+W170</f>
        <v>3.03</v>
      </c>
      <c r="AH170" s="17"/>
      <c r="AI170" s="17"/>
      <c r="AJ170" s="17"/>
      <c r="AK170" s="17"/>
      <c r="AL170" s="18" t="s">
        <v>1313</v>
      </c>
      <c r="AM170" s="18" t="s">
        <v>576</v>
      </c>
      <c r="AN170" s="18" t="str">
        <f>IFERROR(_xlfn.LET(_xlpm.v,INDEX('product-export-27-8-2026'!$A:$AJ,MATCH($A170,'product-export-27-8-2026'!$A:$A,0),MATCH(AN$1,'product-export-27-8-2026'!$1:$1,0)),IF(_xlpm.v="","",_xlpm.v)),"")</f>
        <v/>
      </c>
      <c r="AO170" s="18" t="str">
        <f>IFERROR(_xlfn.LET(_xlpm.v,INDEX('product-export-27-8-2026'!$A:$AJ,MATCH($A170,'product-export-27-8-2026'!$A:$A,0),MATCH(AO$1,'product-export-27-8-2026'!$1:$1,0)),IF(_xlpm.v="","",_xlpm.v)),"")</f>
        <v/>
      </c>
      <c r="AP170" s="18" t="str">
        <f>IFERROR(_xlfn.LET(_xlpm.v,INDEX('product-export-27-8-2026'!$A:$AJ,MATCH($A170,'product-export-27-8-2026'!$A:$A,0),MATCH(AP$1,'product-export-27-8-2026'!$1:$1,0)),IF(_xlpm.v="","",_xlpm.v)),"")</f>
        <v/>
      </c>
      <c r="AQ170" s="18" t="str">
        <f>IFERROR(_xlfn.LET(_xlpm.v,INDEX('product-export-27-8-2026'!$A:$AJ,MATCH($A170,'product-export-27-8-2026'!$A:$A,0),MATCH(AQ$1,'product-export-27-8-2026'!$1:$1,0)),IF(_xlpm.v="","",_xlpm.v)),"")</f>
        <v/>
      </c>
      <c r="AR170" s="18" t="str">
        <f>IFERROR(_xlfn.LET(_xlpm.v,INDEX('product-export-27-8-2026'!$A:$AJ,MATCH($A170,'product-export-27-8-2026'!$A:$A,0),MATCH(AR$1,'product-export-27-8-2026'!$1:$1,0)),IF(_xlpm.v="","",_xlpm.v)),"")</f>
        <v>Diaries, Lewes Collection, Diaries &gt; Pocket Diaries</v>
      </c>
      <c r="AS170" s="18" t="str">
        <f>IFERROR(_xlfn.LET(_xlpm.v,INDEX('product-export-27-8-2026'!$A:$AJ,MATCH($A170,'product-export-27-8-2026'!$A:$A,0),MATCH(AS$1,'product-export-27-8-2026'!$1:$1,0)),IF(_xlpm.v="","",_xlpm.v)),"")</f>
        <v>Lewes-SmoothGrain-Pocket-Week-to-View</v>
      </c>
      <c r="BC170" s="15"/>
    </row>
    <row r="171" spans="1:55" s="20" customFormat="1" ht="27.6" customHeight="1" x14ac:dyDescent="0.3">
      <c r="A171" s="17">
        <v>4223</v>
      </c>
      <c r="B171" s="18" t="s">
        <v>499</v>
      </c>
      <c r="C171" s="18" t="s">
        <v>18</v>
      </c>
      <c r="D171" s="18" t="s">
        <v>252</v>
      </c>
      <c r="E171" s="19" t="s">
        <v>252</v>
      </c>
      <c r="F171" s="18" t="s">
        <v>247</v>
      </c>
      <c r="G171" s="18" t="s">
        <v>19</v>
      </c>
      <c r="H171" s="18" t="s">
        <v>1580</v>
      </c>
      <c r="I171" s="12" t="s">
        <v>20</v>
      </c>
      <c r="J171" s="18" t="s">
        <v>87</v>
      </c>
      <c r="K171" s="12" t="s">
        <v>1666</v>
      </c>
      <c r="L171" s="60">
        <v>0.42</v>
      </c>
      <c r="M171" s="26">
        <v>7.99</v>
      </c>
      <c r="N171" s="18" t="s">
        <v>248</v>
      </c>
      <c r="O171" s="58">
        <f t="shared" si="15"/>
        <v>8.24</v>
      </c>
      <c r="P171" s="58">
        <f t="shared" si="15"/>
        <v>7.91</v>
      </c>
      <c r="Q171" s="58">
        <f t="shared" si="15"/>
        <v>3.74</v>
      </c>
      <c r="R171" s="58">
        <f t="shared" si="15"/>
        <v>3.32</v>
      </c>
      <c r="S171" s="58">
        <f t="shared" si="15"/>
        <v>2.83</v>
      </c>
      <c r="T171" s="58">
        <f t="shared" si="15"/>
        <v>2.33</v>
      </c>
      <c r="U171" s="58">
        <f t="shared" si="15"/>
        <v>2.0499999999999998</v>
      </c>
      <c r="V171" s="58">
        <f t="shared" si="15"/>
        <v>1.93</v>
      </c>
      <c r="W171" s="58">
        <f t="shared" si="15"/>
        <v>1.89</v>
      </c>
      <c r="X171" s="31" t="str" cm="1">
        <f t="array" ref="X171">IF(Y171="","",_xlfn.TEXTJOIN(";",TRUE,SUBSTITUTE($Y$1:$AG$1,"Qty ","")&amp;":"&amp;TEXT(Y171:AG171,"0.00"))&amp;";")</f>
        <v>1:11.66;10:10.54;25:5.57;50:4.82;100:4.21;250:3.59;500:3.25;750:3.10;1000:3.03;</v>
      </c>
      <c r="Y171" s="56">
        <f>'Blocking Prices'!$C$14+O171</f>
        <v>11.66</v>
      </c>
      <c r="Z171" s="56">
        <f>'Blocking Prices'!$D$14+P171</f>
        <v>10.54</v>
      </c>
      <c r="AA171" s="56">
        <f>'Blocking Prices'!$E$14+Q171</f>
        <v>5.57</v>
      </c>
      <c r="AB171" s="56">
        <f>'Blocking Prices'!$F$14+R171</f>
        <v>4.82</v>
      </c>
      <c r="AC171" s="56">
        <f>'Blocking Prices'!$G$14+S171</f>
        <v>4.21</v>
      </c>
      <c r="AD171" s="56">
        <f>'Blocking Prices'!$H$14+T171</f>
        <v>3.59</v>
      </c>
      <c r="AE171" s="56">
        <f>'Blocking Prices'!$I$14+U171</f>
        <v>3.25</v>
      </c>
      <c r="AF171" s="56">
        <f>'Blocking Prices'!$J$14+V171</f>
        <v>3.0999999999999996</v>
      </c>
      <c r="AG171" s="56">
        <f>'Blocking Prices'!$K$14+W171</f>
        <v>3.03</v>
      </c>
      <c r="AH171" s="17"/>
      <c r="AI171" s="17"/>
      <c r="AJ171" s="17"/>
      <c r="AK171" s="17"/>
      <c r="AL171" s="18" t="s">
        <v>1313</v>
      </c>
      <c r="AM171" s="18" t="s">
        <v>576</v>
      </c>
      <c r="AN171" s="18" t="str">
        <f>IFERROR(_xlfn.LET(_xlpm.v,INDEX('product-export-27-8-2026'!$A:$AJ,MATCH($A171,'product-export-27-8-2026'!$A:$A,0),MATCH(AN$1,'product-export-27-8-2026'!$1:$1,0)),IF(_xlpm.v="","",_xlpm.v)),"")</f>
        <v/>
      </c>
      <c r="AO171" s="18" t="str">
        <f>IFERROR(_xlfn.LET(_xlpm.v,INDEX('product-export-27-8-2026'!$A:$AJ,MATCH($A171,'product-export-27-8-2026'!$A:$A,0),MATCH(AO$1,'product-export-27-8-2026'!$1:$1,0)),IF(_xlpm.v="","",_xlpm.v)),"")</f>
        <v/>
      </c>
      <c r="AP171" s="18" t="str">
        <f>IFERROR(_xlfn.LET(_xlpm.v,INDEX('product-export-27-8-2026'!$A:$AJ,MATCH($A171,'product-export-27-8-2026'!$A:$A,0),MATCH(AP$1,'product-export-27-8-2026'!$1:$1,0)),IF(_xlpm.v="","",_xlpm.v)),"")</f>
        <v/>
      </c>
      <c r="AQ171" s="18" t="str">
        <f>IFERROR(_xlfn.LET(_xlpm.v,INDEX('product-export-27-8-2026'!$A:$AJ,MATCH($A171,'product-export-27-8-2026'!$A:$A,0),MATCH(AQ$1,'product-export-27-8-2026'!$1:$1,0)),IF(_xlpm.v="","",_xlpm.v)),"")</f>
        <v/>
      </c>
      <c r="AR171" s="18" t="str">
        <f>IFERROR(_xlfn.LET(_xlpm.v,INDEX('product-export-27-8-2026'!$A:$AJ,MATCH($A171,'product-export-27-8-2026'!$A:$A,0),MATCH(AR$1,'product-export-27-8-2026'!$1:$1,0)),IF(_xlpm.v="","",_xlpm.v)),"")</f>
        <v>Diaries, Lewes Collection, Diaries &gt; Pocket Diaries</v>
      </c>
      <c r="AS171" s="18" t="str">
        <f>IFERROR(_xlfn.LET(_xlpm.v,INDEX('product-export-27-8-2026'!$A:$AJ,MATCH($A171,'product-export-27-8-2026'!$A:$A,0),MATCH(AS$1,'product-export-27-8-2026'!$1:$1,0)),IF(_xlpm.v="","",_xlpm.v)),"")</f>
        <v>Lewes-SmoothGrain-Pocket-Week-to-View</v>
      </c>
      <c r="BC171" s="15"/>
    </row>
    <row r="172" spans="1:55" s="20" customFormat="1" ht="27.6" customHeight="1" x14ac:dyDescent="0.3">
      <c r="A172" s="17">
        <v>4225</v>
      </c>
      <c r="B172" s="18" t="s">
        <v>500</v>
      </c>
      <c r="C172" s="18" t="s">
        <v>18</v>
      </c>
      <c r="D172" s="18" t="s">
        <v>253</v>
      </c>
      <c r="E172" s="19" t="s">
        <v>253</v>
      </c>
      <c r="F172" s="18" t="s">
        <v>254</v>
      </c>
      <c r="G172" s="18" t="s">
        <v>19</v>
      </c>
      <c r="H172" s="18" t="s">
        <v>672</v>
      </c>
      <c r="I172" s="12" t="s">
        <v>20</v>
      </c>
      <c r="J172" s="18" t="s">
        <v>87</v>
      </c>
      <c r="K172" s="12" t="s">
        <v>1666</v>
      </c>
      <c r="L172" s="60">
        <v>0.42</v>
      </c>
      <c r="M172" s="26">
        <v>7.99</v>
      </c>
      <c r="N172" s="18" t="s">
        <v>248</v>
      </c>
      <c r="O172" s="58">
        <f t="shared" ref="O172:W181" si="16">IFERROR(VALUE(_xlfn.TEXTBEFORE(_xlfn.TEXTAFTER(";"&amp;$N172,";"&amp;SUBSTITUTE(O$1,"Qty ","")&amp;":"),";")),"")</f>
        <v>8.24</v>
      </c>
      <c r="P172" s="58">
        <f t="shared" si="16"/>
        <v>7.91</v>
      </c>
      <c r="Q172" s="58">
        <f t="shared" si="16"/>
        <v>3.74</v>
      </c>
      <c r="R172" s="58">
        <f t="shared" si="16"/>
        <v>3.32</v>
      </c>
      <c r="S172" s="58">
        <f t="shared" si="16"/>
        <v>2.83</v>
      </c>
      <c r="T172" s="58">
        <f t="shared" si="16"/>
        <v>2.33</v>
      </c>
      <c r="U172" s="58">
        <f t="shared" si="16"/>
        <v>2.0499999999999998</v>
      </c>
      <c r="V172" s="58">
        <f t="shared" si="16"/>
        <v>1.93</v>
      </c>
      <c r="W172" s="58">
        <f t="shared" si="16"/>
        <v>1.89</v>
      </c>
      <c r="X172" s="31" t="str" cm="1">
        <f t="array" ref="X172">IF(Y172="","",_xlfn.TEXTJOIN(";",TRUE,SUBSTITUTE($Y$1:$AG$1,"Qty ","")&amp;":"&amp;TEXT(Y172:AG172,"0.00"))&amp;";")</f>
        <v>1:11.66;10:10.54;25:5.57;50:4.82;100:4.21;250:3.59;500:3.25;750:3.10;1000:3.03;</v>
      </c>
      <c r="Y172" s="56">
        <f>'Blocking Prices'!$C$14+O172</f>
        <v>11.66</v>
      </c>
      <c r="Z172" s="56">
        <f>'Blocking Prices'!$D$14+P172</f>
        <v>10.54</v>
      </c>
      <c r="AA172" s="56">
        <f>'Blocking Prices'!$E$14+Q172</f>
        <v>5.57</v>
      </c>
      <c r="AB172" s="56">
        <f>'Blocking Prices'!$F$14+R172</f>
        <v>4.82</v>
      </c>
      <c r="AC172" s="56">
        <f>'Blocking Prices'!$G$14+S172</f>
        <v>4.21</v>
      </c>
      <c r="AD172" s="56">
        <f>'Blocking Prices'!$H$14+T172</f>
        <v>3.59</v>
      </c>
      <c r="AE172" s="56">
        <f>'Blocking Prices'!$I$14+U172</f>
        <v>3.25</v>
      </c>
      <c r="AF172" s="56">
        <f>'Blocking Prices'!$J$14+V172</f>
        <v>3.0999999999999996</v>
      </c>
      <c r="AG172" s="56">
        <f>'Blocking Prices'!$K$14+W172</f>
        <v>3.03</v>
      </c>
      <c r="AH172" s="17"/>
      <c r="AI172" s="17"/>
      <c r="AJ172" s="17"/>
      <c r="AK172" s="17"/>
      <c r="AL172" s="18" t="s">
        <v>1329</v>
      </c>
      <c r="AM172" s="18" t="s">
        <v>576</v>
      </c>
      <c r="AN172" s="18" t="str">
        <f>IFERROR(_xlfn.LET(_xlpm.v,INDEX('product-export-27-8-2026'!$A:$AJ,MATCH($A172,'product-export-27-8-2026'!$A:$A,0),MATCH(AN$1,'product-export-27-8-2026'!$1:$1,0)),IF(_xlpm.v="","",_xlpm.v)),"")</f>
        <v/>
      </c>
      <c r="AO172" s="18" t="str">
        <f>IFERROR(_xlfn.LET(_xlpm.v,INDEX('product-export-27-8-2026'!$A:$AJ,MATCH($A172,'product-export-27-8-2026'!$A:$A,0),MATCH(AO$1,'product-export-27-8-2026'!$1:$1,0)),IF(_xlpm.v="","",_xlpm.v)),"")</f>
        <v/>
      </c>
      <c r="AP172" s="18" t="str">
        <f>IFERROR(_xlfn.LET(_xlpm.v,INDEX('product-export-27-8-2026'!$A:$AJ,MATCH($A172,'product-export-27-8-2026'!$A:$A,0),MATCH(AP$1,'product-export-27-8-2026'!$1:$1,0)),IF(_xlpm.v="","",_xlpm.v)),"")</f>
        <v/>
      </c>
      <c r="AQ172" s="18" t="str">
        <f>IFERROR(_xlfn.LET(_xlpm.v,INDEX('product-export-27-8-2026'!$A:$AJ,MATCH($A172,'product-export-27-8-2026'!$A:$A,0),MATCH(AQ$1,'product-export-27-8-2026'!$1:$1,0)),IF(_xlpm.v="","",_xlpm.v)),"")</f>
        <v/>
      </c>
      <c r="AR172" s="18" t="str">
        <f>IFERROR(_xlfn.LET(_xlpm.v,INDEX('product-export-27-8-2026'!$A:$AJ,MATCH($A172,'product-export-27-8-2026'!$A:$A,0),MATCH(AR$1,'product-export-27-8-2026'!$1:$1,0)),IF(_xlpm.v="","",_xlpm.v)),"")</f>
        <v>Diaries, Diaries &gt; Pocket Diaries, Richmond Collection</v>
      </c>
      <c r="AS172" s="18" t="str">
        <f>IFERROR(_xlfn.LET(_xlpm.v,INDEX('product-export-27-8-2026'!$A:$AJ,MATCH($A172,'product-export-27-8-2026'!$A:$A,0),MATCH(AS$1,'product-export-27-8-2026'!$1:$1,0)),IF(_xlpm.v="","",_xlpm.v)),"")</f>
        <v>Richmond-FineGrain-Pocket-Diary-Week-to-View</v>
      </c>
      <c r="BC172" s="15"/>
    </row>
    <row r="173" spans="1:55" s="20" customFormat="1" ht="27.6" customHeight="1" x14ac:dyDescent="0.3">
      <c r="A173" s="17">
        <v>4227</v>
      </c>
      <c r="B173" s="18" t="s">
        <v>501</v>
      </c>
      <c r="C173" s="18" t="s">
        <v>18</v>
      </c>
      <c r="D173" s="18" t="s">
        <v>255</v>
      </c>
      <c r="E173" s="19" t="s">
        <v>255</v>
      </c>
      <c r="F173" s="18" t="s">
        <v>254</v>
      </c>
      <c r="G173" s="18" t="s">
        <v>19</v>
      </c>
      <c r="H173" s="18" t="s">
        <v>728</v>
      </c>
      <c r="I173" s="12" t="s">
        <v>20</v>
      </c>
      <c r="J173" s="18" t="s">
        <v>87</v>
      </c>
      <c r="K173" s="12" t="s">
        <v>1666</v>
      </c>
      <c r="L173" s="60">
        <v>0.42</v>
      </c>
      <c r="M173" s="26">
        <v>7.99</v>
      </c>
      <c r="N173" s="18" t="s">
        <v>248</v>
      </c>
      <c r="O173" s="58">
        <f t="shared" si="16"/>
        <v>8.24</v>
      </c>
      <c r="P173" s="58">
        <f t="shared" si="16"/>
        <v>7.91</v>
      </c>
      <c r="Q173" s="58">
        <f t="shared" si="16"/>
        <v>3.74</v>
      </c>
      <c r="R173" s="58">
        <f t="shared" si="16"/>
        <v>3.32</v>
      </c>
      <c r="S173" s="58">
        <f t="shared" si="16"/>
        <v>2.83</v>
      </c>
      <c r="T173" s="58">
        <f t="shared" si="16"/>
        <v>2.33</v>
      </c>
      <c r="U173" s="58">
        <f t="shared" si="16"/>
        <v>2.0499999999999998</v>
      </c>
      <c r="V173" s="58">
        <f t="shared" si="16"/>
        <v>1.93</v>
      </c>
      <c r="W173" s="58">
        <f t="shared" si="16"/>
        <v>1.89</v>
      </c>
      <c r="X173" s="31" t="str" cm="1">
        <f t="array" ref="X173">IF(Y173="","",_xlfn.TEXTJOIN(";",TRUE,SUBSTITUTE($Y$1:$AG$1,"Qty ","")&amp;":"&amp;TEXT(Y173:AG173,"0.00"))&amp;";")</f>
        <v>1:11.66;10:10.54;25:5.57;50:4.82;100:4.21;250:3.59;500:3.25;750:3.10;1000:3.03;</v>
      </c>
      <c r="Y173" s="56">
        <f>'Blocking Prices'!$C$14+O173</f>
        <v>11.66</v>
      </c>
      <c r="Z173" s="56">
        <f>'Blocking Prices'!$D$14+P173</f>
        <v>10.54</v>
      </c>
      <c r="AA173" s="56">
        <f>'Blocking Prices'!$E$14+Q173</f>
        <v>5.57</v>
      </c>
      <c r="AB173" s="56">
        <f>'Blocking Prices'!$F$14+R173</f>
        <v>4.82</v>
      </c>
      <c r="AC173" s="56">
        <f>'Blocking Prices'!$G$14+S173</f>
        <v>4.21</v>
      </c>
      <c r="AD173" s="56">
        <f>'Blocking Prices'!$H$14+T173</f>
        <v>3.59</v>
      </c>
      <c r="AE173" s="56">
        <f>'Blocking Prices'!$I$14+U173</f>
        <v>3.25</v>
      </c>
      <c r="AF173" s="56">
        <f>'Blocking Prices'!$J$14+V173</f>
        <v>3.0999999999999996</v>
      </c>
      <c r="AG173" s="56">
        <f>'Blocking Prices'!$K$14+W173</f>
        <v>3.03</v>
      </c>
      <c r="AH173" s="17"/>
      <c r="AI173" s="17"/>
      <c r="AJ173" s="17"/>
      <c r="AK173" s="17"/>
      <c r="AL173" s="18" t="s">
        <v>1329</v>
      </c>
      <c r="AM173" s="18" t="s">
        <v>576</v>
      </c>
      <c r="AN173" s="18" t="str">
        <f>IFERROR(_xlfn.LET(_xlpm.v,INDEX('product-export-27-8-2026'!$A:$AJ,MATCH($A173,'product-export-27-8-2026'!$A:$A,0),MATCH(AN$1,'product-export-27-8-2026'!$1:$1,0)),IF(_xlpm.v="","",_xlpm.v)),"")</f>
        <v/>
      </c>
      <c r="AO173" s="18" t="str">
        <f>IFERROR(_xlfn.LET(_xlpm.v,INDEX('product-export-27-8-2026'!$A:$AJ,MATCH($A173,'product-export-27-8-2026'!$A:$A,0),MATCH(AO$1,'product-export-27-8-2026'!$1:$1,0)),IF(_xlpm.v="","",_xlpm.v)),"")</f>
        <v/>
      </c>
      <c r="AP173" s="18" t="str">
        <f>IFERROR(_xlfn.LET(_xlpm.v,INDEX('product-export-27-8-2026'!$A:$AJ,MATCH($A173,'product-export-27-8-2026'!$A:$A,0),MATCH(AP$1,'product-export-27-8-2026'!$1:$1,0)),IF(_xlpm.v="","",_xlpm.v)),"")</f>
        <v/>
      </c>
      <c r="AQ173" s="18" t="str">
        <f>IFERROR(_xlfn.LET(_xlpm.v,INDEX('product-export-27-8-2026'!$A:$AJ,MATCH($A173,'product-export-27-8-2026'!$A:$A,0),MATCH(AQ$1,'product-export-27-8-2026'!$1:$1,0)),IF(_xlpm.v="","",_xlpm.v)),"")</f>
        <v/>
      </c>
      <c r="AR173" s="18" t="str">
        <f>IFERROR(_xlfn.LET(_xlpm.v,INDEX('product-export-27-8-2026'!$A:$AJ,MATCH($A173,'product-export-27-8-2026'!$A:$A,0),MATCH(AR$1,'product-export-27-8-2026'!$1:$1,0)),IF(_xlpm.v="","",_xlpm.v)),"")</f>
        <v>Diaries, Diaries &gt; Pocket Diaries, Richmond Collection</v>
      </c>
      <c r="AS173" s="18" t="str">
        <f>IFERROR(_xlfn.LET(_xlpm.v,INDEX('product-export-27-8-2026'!$A:$AJ,MATCH($A173,'product-export-27-8-2026'!$A:$A,0),MATCH(AS$1,'product-export-27-8-2026'!$1:$1,0)),IF(_xlpm.v="","",_xlpm.v)),"")</f>
        <v>Richmond-FineGrain-Pocket-Diary-Week-to-View</v>
      </c>
      <c r="BC173" s="15"/>
    </row>
    <row r="174" spans="1:55" s="20" customFormat="1" ht="27.6" customHeight="1" x14ac:dyDescent="0.3">
      <c r="A174" s="17">
        <v>4231</v>
      </c>
      <c r="B174" s="18" t="s">
        <v>502</v>
      </c>
      <c r="C174" s="18" t="s">
        <v>18</v>
      </c>
      <c r="D174" s="18" t="s">
        <v>256</v>
      </c>
      <c r="E174" s="19" t="s">
        <v>256</v>
      </c>
      <c r="F174" s="18" t="s">
        <v>254</v>
      </c>
      <c r="G174" s="18" t="s">
        <v>19</v>
      </c>
      <c r="H174" s="18" t="s">
        <v>731</v>
      </c>
      <c r="I174" s="12" t="s">
        <v>20</v>
      </c>
      <c r="J174" s="18" t="s">
        <v>87</v>
      </c>
      <c r="K174" s="12" t="s">
        <v>1666</v>
      </c>
      <c r="L174" s="60">
        <v>0.42</v>
      </c>
      <c r="M174" s="26">
        <v>7.99</v>
      </c>
      <c r="N174" s="18" t="s">
        <v>248</v>
      </c>
      <c r="O174" s="58">
        <f t="shared" si="16"/>
        <v>8.24</v>
      </c>
      <c r="P174" s="58">
        <f t="shared" si="16"/>
        <v>7.91</v>
      </c>
      <c r="Q174" s="58">
        <f t="shared" si="16"/>
        <v>3.74</v>
      </c>
      <c r="R174" s="58">
        <f t="shared" si="16"/>
        <v>3.32</v>
      </c>
      <c r="S174" s="58">
        <f t="shared" si="16"/>
        <v>2.83</v>
      </c>
      <c r="T174" s="58">
        <f t="shared" si="16"/>
        <v>2.33</v>
      </c>
      <c r="U174" s="58">
        <f t="shared" si="16"/>
        <v>2.0499999999999998</v>
      </c>
      <c r="V174" s="58">
        <f t="shared" si="16"/>
        <v>1.93</v>
      </c>
      <c r="W174" s="58">
        <f t="shared" si="16"/>
        <v>1.89</v>
      </c>
      <c r="X174" s="31" t="str" cm="1">
        <f t="array" ref="X174">IF(Y174="","",_xlfn.TEXTJOIN(";",TRUE,SUBSTITUTE($Y$1:$AG$1,"Qty ","")&amp;":"&amp;TEXT(Y174:AG174,"0.00"))&amp;";")</f>
        <v>1:11.66;10:10.54;25:5.57;50:4.82;100:4.21;250:3.59;500:3.25;750:3.10;1000:3.03;</v>
      </c>
      <c r="Y174" s="56">
        <f>'Blocking Prices'!$C$14+O174</f>
        <v>11.66</v>
      </c>
      <c r="Z174" s="56">
        <f>'Blocking Prices'!$D$14+P174</f>
        <v>10.54</v>
      </c>
      <c r="AA174" s="56">
        <f>'Blocking Prices'!$E$14+Q174</f>
        <v>5.57</v>
      </c>
      <c r="AB174" s="56">
        <f>'Blocking Prices'!$F$14+R174</f>
        <v>4.82</v>
      </c>
      <c r="AC174" s="56">
        <f>'Blocking Prices'!$G$14+S174</f>
        <v>4.21</v>
      </c>
      <c r="AD174" s="56">
        <f>'Blocking Prices'!$H$14+T174</f>
        <v>3.59</v>
      </c>
      <c r="AE174" s="56">
        <f>'Blocking Prices'!$I$14+U174</f>
        <v>3.25</v>
      </c>
      <c r="AF174" s="56">
        <f>'Blocking Prices'!$J$14+V174</f>
        <v>3.0999999999999996</v>
      </c>
      <c r="AG174" s="56">
        <f>'Blocking Prices'!$K$14+W174</f>
        <v>3.03</v>
      </c>
      <c r="AH174" s="17"/>
      <c r="AI174" s="17"/>
      <c r="AJ174" s="17"/>
      <c r="AK174" s="17"/>
      <c r="AL174" s="18" t="s">
        <v>1329</v>
      </c>
      <c r="AM174" s="18" t="s">
        <v>576</v>
      </c>
      <c r="AN174" s="18" t="str">
        <f>IFERROR(_xlfn.LET(_xlpm.v,INDEX('product-export-27-8-2026'!$A:$AJ,MATCH($A174,'product-export-27-8-2026'!$A:$A,0),MATCH(AN$1,'product-export-27-8-2026'!$1:$1,0)),IF(_xlpm.v="","",_xlpm.v)),"")</f>
        <v/>
      </c>
      <c r="AO174" s="18" t="str">
        <f>IFERROR(_xlfn.LET(_xlpm.v,INDEX('product-export-27-8-2026'!$A:$AJ,MATCH($A174,'product-export-27-8-2026'!$A:$A,0),MATCH(AO$1,'product-export-27-8-2026'!$1:$1,0)),IF(_xlpm.v="","",_xlpm.v)),"")</f>
        <v/>
      </c>
      <c r="AP174" s="18" t="str">
        <f>IFERROR(_xlfn.LET(_xlpm.v,INDEX('product-export-27-8-2026'!$A:$AJ,MATCH($A174,'product-export-27-8-2026'!$A:$A,0),MATCH(AP$1,'product-export-27-8-2026'!$1:$1,0)),IF(_xlpm.v="","",_xlpm.v)),"")</f>
        <v/>
      </c>
      <c r="AQ174" s="18" t="str">
        <f>IFERROR(_xlfn.LET(_xlpm.v,INDEX('product-export-27-8-2026'!$A:$AJ,MATCH($A174,'product-export-27-8-2026'!$A:$A,0),MATCH(AQ$1,'product-export-27-8-2026'!$1:$1,0)),IF(_xlpm.v="","",_xlpm.v)),"")</f>
        <v/>
      </c>
      <c r="AR174" s="18" t="str">
        <f>IFERROR(_xlfn.LET(_xlpm.v,INDEX('product-export-27-8-2026'!$A:$AJ,MATCH($A174,'product-export-27-8-2026'!$A:$A,0),MATCH(AR$1,'product-export-27-8-2026'!$1:$1,0)),IF(_xlpm.v="","",_xlpm.v)),"")</f>
        <v>Diaries, Diaries &gt; Pocket Diaries, Richmond Collection</v>
      </c>
      <c r="AS174" s="18" t="str">
        <f>IFERROR(_xlfn.LET(_xlpm.v,INDEX('product-export-27-8-2026'!$A:$AJ,MATCH($A174,'product-export-27-8-2026'!$A:$A,0),MATCH(AS$1,'product-export-27-8-2026'!$1:$1,0)),IF(_xlpm.v="","",_xlpm.v)),"")</f>
        <v>Richmond-FineGrain-Pocket-Diary-Week-to-View</v>
      </c>
      <c r="BC174" s="15"/>
    </row>
    <row r="175" spans="1:55" s="20" customFormat="1" ht="27.6" customHeight="1" x14ac:dyDescent="0.3">
      <c r="A175" s="17">
        <v>4233</v>
      </c>
      <c r="B175" s="18" t="s">
        <v>503</v>
      </c>
      <c r="C175" s="18" t="s">
        <v>18</v>
      </c>
      <c r="D175" s="18" t="s">
        <v>257</v>
      </c>
      <c r="E175" s="19" t="s">
        <v>257</v>
      </c>
      <c r="F175" s="18" t="s">
        <v>254</v>
      </c>
      <c r="G175" s="18" t="s">
        <v>19</v>
      </c>
      <c r="H175" s="18" t="s">
        <v>696</v>
      </c>
      <c r="I175" s="12" t="s">
        <v>20</v>
      </c>
      <c r="J175" s="18" t="s">
        <v>87</v>
      </c>
      <c r="K175" s="12" t="s">
        <v>1666</v>
      </c>
      <c r="L175" s="60">
        <v>0.42</v>
      </c>
      <c r="M175" s="26">
        <v>7.99</v>
      </c>
      <c r="N175" s="18" t="s">
        <v>248</v>
      </c>
      <c r="O175" s="58">
        <f t="shared" si="16"/>
        <v>8.24</v>
      </c>
      <c r="P175" s="58">
        <f t="shared" si="16"/>
        <v>7.91</v>
      </c>
      <c r="Q175" s="58">
        <f t="shared" si="16"/>
        <v>3.74</v>
      </c>
      <c r="R175" s="58">
        <f t="shared" si="16"/>
        <v>3.32</v>
      </c>
      <c r="S175" s="58">
        <f t="shared" si="16"/>
        <v>2.83</v>
      </c>
      <c r="T175" s="58">
        <f t="shared" si="16"/>
        <v>2.33</v>
      </c>
      <c r="U175" s="58">
        <f t="shared" si="16"/>
        <v>2.0499999999999998</v>
      </c>
      <c r="V175" s="58">
        <f t="shared" si="16"/>
        <v>1.93</v>
      </c>
      <c r="W175" s="58">
        <f t="shared" si="16"/>
        <v>1.89</v>
      </c>
      <c r="X175" s="31" t="str" cm="1">
        <f t="array" ref="X175">IF(Y175="","",_xlfn.TEXTJOIN(";",TRUE,SUBSTITUTE($Y$1:$AG$1,"Qty ","")&amp;":"&amp;TEXT(Y175:AG175,"0.00"))&amp;";")</f>
        <v>1:11.66;10:10.54;25:5.57;50:4.82;100:4.21;250:3.59;500:3.25;750:3.10;1000:3.03;</v>
      </c>
      <c r="Y175" s="56">
        <f>'Blocking Prices'!$C$14+O175</f>
        <v>11.66</v>
      </c>
      <c r="Z175" s="56">
        <f>'Blocking Prices'!$D$14+P175</f>
        <v>10.54</v>
      </c>
      <c r="AA175" s="56">
        <f>'Blocking Prices'!$E$14+Q175</f>
        <v>5.57</v>
      </c>
      <c r="AB175" s="56">
        <f>'Blocking Prices'!$F$14+R175</f>
        <v>4.82</v>
      </c>
      <c r="AC175" s="56">
        <f>'Blocking Prices'!$G$14+S175</f>
        <v>4.21</v>
      </c>
      <c r="AD175" s="56">
        <f>'Blocking Prices'!$H$14+T175</f>
        <v>3.59</v>
      </c>
      <c r="AE175" s="56">
        <f>'Blocking Prices'!$I$14+U175</f>
        <v>3.25</v>
      </c>
      <c r="AF175" s="56">
        <f>'Blocking Prices'!$J$14+V175</f>
        <v>3.0999999999999996</v>
      </c>
      <c r="AG175" s="56">
        <f>'Blocking Prices'!$K$14+W175</f>
        <v>3.03</v>
      </c>
      <c r="AH175" s="17"/>
      <c r="AI175" s="17"/>
      <c r="AJ175" s="17"/>
      <c r="AK175" s="17"/>
      <c r="AL175" s="18" t="s">
        <v>1329</v>
      </c>
      <c r="AM175" s="18" t="s">
        <v>576</v>
      </c>
      <c r="AN175" s="18" t="str">
        <f>IFERROR(_xlfn.LET(_xlpm.v,INDEX('product-export-27-8-2026'!$A:$AJ,MATCH($A175,'product-export-27-8-2026'!$A:$A,0),MATCH(AN$1,'product-export-27-8-2026'!$1:$1,0)),IF(_xlpm.v="","",_xlpm.v)),"")</f>
        <v/>
      </c>
      <c r="AO175" s="18" t="str">
        <f>IFERROR(_xlfn.LET(_xlpm.v,INDEX('product-export-27-8-2026'!$A:$AJ,MATCH($A175,'product-export-27-8-2026'!$A:$A,0),MATCH(AO$1,'product-export-27-8-2026'!$1:$1,0)),IF(_xlpm.v="","",_xlpm.v)),"")</f>
        <v/>
      </c>
      <c r="AP175" s="18" t="str">
        <f>IFERROR(_xlfn.LET(_xlpm.v,INDEX('product-export-27-8-2026'!$A:$AJ,MATCH($A175,'product-export-27-8-2026'!$A:$A,0),MATCH(AP$1,'product-export-27-8-2026'!$1:$1,0)),IF(_xlpm.v="","",_xlpm.v)),"")</f>
        <v/>
      </c>
      <c r="AQ175" s="18" t="str">
        <f>IFERROR(_xlfn.LET(_xlpm.v,INDEX('product-export-27-8-2026'!$A:$AJ,MATCH($A175,'product-export-27-8-2026'!$A:$A,0),MATCH(AQ$1,'product-export-27-8-2026'!$1:$1,0)),IF(_xlpm.v="","",_xlpm.v)),"")</f>
        <v/>
      </c>
      <c r="AR175" s="18" t="str">
        <f>IFERROR(_xlfn.LET(_xlpm.v,INDEX('product-export-27-8-2026'!$A:$AJ,MATCH($A175,'product-export-27-8-2026'!$A:$A,0),MATCH(AR$1,'product-export-27-8-2026'!$1:$1,0)),IF(_xlpm.v="","",_xlpm.v)),"")</f>
        <v>Diaries, Diaries &gt; Pocket Diaries, Richmond Collection</v>
      </c>
      <c r="AS175" s="18" t="str">
        <f>IFERROR(_xlfn.LET(_xlpm.v,INDEX('product-export-27-8-2026'!$A:$AJ,MATCH($A175,'product-export-27-8-2026'!$A:$A,0),MATCH(AS$1,'product-export-27-8-2026'!$1:$1,0)),IF(_xlpm.v="","",_xlpm.v)),"")</f>
        <v>Richmond-FineGrain-Pocket-Diary-Week-to-View</v>
      </c>
      <c r="BC175" s="15"/>
    </row>
    <row r="176" spans="1:55" s="20" customFormat="1" ht="27.6" customHeight="1" x14ac:dyDescent="0.3">
      <c r="A176" s="17">
        <v>4235</v>
      </c>
      <c r="B176" s="18" t="s">
        <v>504</v>
      </c>
      <c r="C176" s="18" t="s">
        <v>18</v>
      </c>
      <c r="D176" s="18" t="s">
        <v>258</v>
      </c>
      <c r="E176" s="19" t="s">
        <v>258</v>
      </c>
      <c r="F176" s="18" t="s">
        <v>254</v>
      </c>
      <c r="G176" s="18" t="s">
        <v>19</v>
      </c>
      <c r="H176" s="18" t="s">
        <v>893</v>
      </c>
      <c r="I176" s="12" t="s">
        <v>20</v>
      </c>
      <c r="J176" s="18" t="s">
        <v>87</v>
      </c>
      <c r="K176" s="12" t="s">
        <v>1666</v>
      </c>
      <c r="L176" s="60">
        <v>0.42</v>
      </c>
      <c r="M176" s="26">
        <v>7.99</v>
      </c>
      <c r="N176" s="18" t="s">
        <v>248</v>
      </c>
      <c r="O176" s="58">
        <f t="shared" si="16"/>
        <v>8.24</v>
      </c>
      <c r="P176" s="58">
        <f t="shared" si="16"/>
        <v>7.91</v>
      </c>
      <c r="Q176" s="58">
        <f t="shared" si="16"/>
        <v>3.74</v>
      </c>
      <c r="R176" s="58">
        <f t="shared" si="16"/>
        <v>3.32</v>
      </c>
      <c r="S176" s="58">
        <f t="shared" si="16"/>
        <v>2.83</v>
      </c>
      <c r="T176" s="58">
        <f t="shared" si="16"/>
        <v>2.33</v>
      </c>
      <c r="U176" s="58">
        <f t="shared" si="16"/>
        <v>2.0499999999999998</v>
      </c>
      <c r="V176" s="58">
        <f t="shared" si="16"/>
        <v>1.93</v>
      </c>
      <c r="W176" s="58">
        <f t="shared" si="16"/>
        <v>1.89</v>
      </c>
      <c r="X176" s="31" t="str" cm="1">
        <f t="array" ref="X176">IF(Y176="","",_xlfn.TEXTJOIN(";",TRUE,SUBSTITUTE($Y$1:$AG$1,"Qty ","")&amp;":"&amp;TEXT(Y176:AG176,"0.00"))&amp;";")</f>
        <v>1:11.66;10:10.54;25:5.57;50:4.82;100:4.21;250:3.59;500:3.25;750:3.10;1000:3.03;</v>
      </c>
      <c r="Y176" s="56">
        <f>'Blocking Prices'!$C$14+O176</f>
        <v>11.66</v>
      </c>
      <c r="Z176" s="56">
        <f>'Blocking Prices'!$D$14+P176</f>
        <v>10.54</v>
      </c>
      <c r="AA176" s="56">
        <f>'Blocking Prices'!$E$14+Q176</f>
        <v>5.57</v>
      </c>
      <c r="AB176" s="56">
        <f>'Blocking Prices'!$F$14+R176</f>
        <v>4.82</v>
      </c>
      <c r="AC176" s="56">
        <f>'Blocking Prices'!$G$14+S176</f>
        <v>4.21</v>
      </c>
      <c r="AD176" s="56">
        <f>'Blocking Prices'!$H$14+T176</f>
        <v>3.59</v>
      </c>
      <c r="AE176" s="56">
        <f>'Blocking Prices'!$I$14+U176</f>
        <v>3.25</v>
      </c>
      <c r="AF176" s="56">
        <f>'Blocking Prices'!$J$14+V176</f>
        <v>3.0999999999999996</v>
      </c>
      <c r="AG176" s="56">
        <f>'Blocking Prices'!$K$14+W176</f>
        <v>3.03</v>
      </c>
      <c r="AH176" s="17"/>
      <c r="AI176" s="17"/>
      <c r="AJ176" s="17"/>
      <c r="AK176" s="17"/>
      <c r="AL176" s="18" t="s">
        <v>1329</v>
      </c>
      <c r="AM176" s="18" t="s">
        <v>576</v>
      </c>
      <c r="AN176" s="18" t="str">
        <f>IFERROR(_xlfn.LET(_xlpm.v,INDEX('product-export-27-8-2026'!$A:$AJ,MATCH($A176,'product-export-27-8-2026'!$A:$A,0),MATCH(AN$1,'product-export-27-8-2026'!$1:$1,0)),IF(_xlpm.v="","",_xlpm.v)),"")</f>
        <v/>
      </c>
      <c r="AO176" s="18" t="str">
        <f>IFERROR(_xlfn.LET(_xlpm.v,INDEX('product-export-27-8-2026'!$A:$AJ,MATCH($A176,'product-export-27-8-2026'!$A:$A,0),MATCH(AO$1,'product-export-27-8-2026'!$1:$1,0)),IF(_xlpm.v="","",_xlpm.v)),"")</f>
        <v/>
      </c>
      <c r="AP176" s="18" t="str">
        <f>IFERROR(_xlfn.LET(_xlpm.v,INDEX('product-export-27-8-2026'!$A:$AJ,MATCH($A176,'product-export-27-8-2026'!$A:$A,0),MATCH(AP$1,'product-export-27-8-2026'!$1:$1,0)),IF(_xlpm.v="","",_xlpm.v)),"")</f>
        <v/>
      </c>
      <c r="AQ176" s="18" t="str">
        <f>IFERROR(_xlfn.LET(_xlpm.v,INDEX('product-export-27-8-2026'!$A:$AJ,MATCH($A176,'product-export-27-8-2026'!$A:$A,0),MATCH(AQ$1,'product-export-27-8-2026'!$1:$1,0)),IF(_xlpm.v="","",_xlpm.v)),"")</f>
        <v/>
      </c>
      <c r="AR176" s="18" t="str">
        <f>IFERROR(_xlfn.LET(_xlpm.v,INDEX('product-export-27-8-2026'!$A:$AJ,MATCH($A176,'product-export-27-8-2026'!$A:$A,0),MATCH(AR$1,'product-export-27-8-2026'!$1:$1,0)),IF(_xlpm.v="","",_xlpm.v)),"")</f>
        <v>Diaries, Diaries &gt; Pocket Diaries, Richmond Collection</v>
      </c>
      <c r="AS176" s="18" t="str">
        <f>IFERROR(_xlfn.LET(_xlpm.v,INDEX('product-export-27-8-2026'!$A:$AJ,MATCH($A176,'product-export-27-8-2026'!$A:$A,0),MATCH(AS$1,'product-export-27-8-2026'!$1:$1,0)),IF(_xlpm.v="","",_xlpm.v)),"")</f>
        <v>Richmond-FineGrain-Pocket-Diary-Week-to-View</v>
      </c>
      <c r="BC176" s="15"/>
    </row>
    <row r="177" spans="1:55" s="20" customFormat="1" ht="27.6" customHeight="1" x14ac:dyDescent="0.3">
      <c r="A177" s="17">
        <v>4237</v>
      </c>
      <c r="B177" s="18" t="s">
        <v>505</v>
      </c>
      <c r="C177" s="18" t="s">
        <v>18</v>
      </c>
      <c r="D177" s="18" t="s">
        <v>259</v>
      </c>
      <c r="E177" s="19" t="s">
        <v>259</v>
      </c>
      <c r="F177" s="18" t="s">
        <v>254</v>
      </c>
      <c r="G177" s="18" t="s">
        <v>19</v>
      </c>
      <c r="H177" s="18" t="s">
        <v>792</v>
      </c>
      <c r="I177" s="12" t="s">
        <v>20</v>
      </c>
      <c r="J177" s="18" t="s">
        <v>87</v>
      </c>
      <c r="K177" s="12" t="s">
        <v>1666</v>
      </c>
      <c r="L177" s="60">
        <v>0.42</v>
      </c>
      <c r="M177" s="26">
        <v>7.99</v>
      </c>
      <c r="N177" s="18" t="s">
        <v>248</v>
      </c>
      <c r="O177" s="58">
        <f t="shared" si="16"/>
        <v>8.24</v>
      </c>
      <c r="P177" s="58">
        <f t="shared" si="16"/>
        <v>7.91</v>
      </c>
      <c r="Q177" s="58">
        <f t="shared" si="16"/>
        <v>3.74</v>
      </c>
      <c r="R177" s="58">
        <f t="shared" si="16"/>
        <v>3.32</v>
      </c>
      <c r="S177" s="58">
        <f t="shared" si="16"/>
        <v>2.83</v>
      </c>
      <c r="T177" s="58">
        <f t="shared" si="16"/>
        <v>2.33</v>
      </c>
      <c r="U177" s="58">
        <f t="shared" si="16"/>
        <v>2.0499999999999998</v>
      </c>
      <c r="V177" s="58">
        <f t="shared" si="16"/>
        <v>1.93</v>
      </c>
      <c r="W177" s="58">
        <f t="shared" si="16"/>
        <v>1.89</v>
      </c>
      <c r="X177" s="31" t="str" cm="1">
        <f t="array" ref="X177">IF(Y177="","",_xlfn.TEXTJOIN(";",TRUE,SUBSTITUTE($Y$1:$AG$1,"Qty ","")&amp;":"&amp;TEXT(Y177:AG177,"0.00"))&amp;";")</f>
        <v>1:11.66;10:10.54;25:5.57;50:4.82;100:4.21;250:3.59;500:3.25;750:3.10;1000:3.03;</v>
      </c>
      <c r="Y177" s="56">
        <f>'Blocking Prices'!$C$14+O177</f>
        <v>11.66</v>
      </c>
      <c r="Z177" s="56">
        <f>'Blocking Prices'!$D$14+P177</f>
        <v>10.54</v>
      </c>
      <c r="AA177" s="56">
        <f>'Blocking Prices'!$E$14+Q177</f>
        <v>5.57</v>
      </c>
      <c r="AB177" s="56">
        <f>'Blocking Prices'!$F$14+R177</f>
        <v>4.82</v>
      </c>
      <c r="AC177" s="56">
        <f>'Blocking Prices'!$G$14+S177</f>
        <v>4.21</v>
      </c>
      <c r="AD177" s="56">
        <f>'Blocking Prices'!$H$14+T177</f>
        <v>3.59</v>
      </c>
      <c r="AE177" s="56">
        <f>'Blocking Prices'!$I$14+U177</f>
        <v>3.25</v>
      </c>
      <c r="AF177" s="56">
        <f>'Blocking Prices'!$J$14+V177</f>
        <v>3.0999999999999996</v>
      </c>
      <c r="AG177" s="56">
        <f>'Blocking Prices'!$K$14+W177</f>
        <v>3.03</v>
      </c>
      <c r="AH177" s="17"/>
      <c r="AI177" s="17"/>
      <c r="AJ177" s="17"/>
      <c r="AK177" s="17"/>
      <c r="AL177" s="18" t="s">
        <v>1329</v>
      </c>
      <c r="AM177" s="18" t="s">
        <v>576</v>
      </c>
      <c r="AN177" s="18" t="str">
        <f>IFERROR(_xlfn.LET(_xlpm.v,INDEX('product-export-27-8-2026'!$A:$AJ,MATCH($A177,'product-export-27-8-2026'!$A:$A,0),MATCH(AN$1,'product-export-27-8-2026'!$1:$1,0)),IF(_xlpm.v="","",_xlpm.v)),"")</f>
        <v/>
      </c>
      <c r="AO177" s="18" t="str">
        <f>IFERROR(_xlfn.LET(_xlpm.v,INDEX('product-export-27-8-2026'!$A:$AJ,MATCH($A177,'product-export-27-8-2026'!$A:$A,0),MATCH(AO$1,'product-export-27-8-2026'!$1:$1,0)),IF(_xlpm.v="","",_xlpm.v)),"")</f>
        <v/>
      </c>
      <c r="AP177" s="18" t="str">
        <f>IFERROR(_xlfn.LET(_xlpm.v,INDEX('product-export-27-8-2026'!$A:$AJ,MATCH($A177,'product-export-27-8-2026'!$A:$A,0),MATCH(AP$1,'product-export-27-8-2026'!$1:$1,0)),IF(_xlpm.v="","",_xlpm.v)),"")</f>
        <v/>
      </c>
      <c r="AQ177" s="18" t="str">
        <f>IFERROR(_xlfn.LET(_xlpm.v,INDEX('product-export-27-8-2026'!$A:$AJ,MATCH($A177,'product-export-27-8-2026'!$A:$A,0),MATCH(AQ$1,'product-export-27-8-2026'!$1:$1,0)),IF(_xlpm.v="","",_xlpm.v)),"")</f>
        <v/>
      </c>
      <c r="AR177" s="18" t="str">
        <f>IFERROR(_xlfn.LET(_xlpm.v,INDEX('product-export-27-8-2026'!$A:$AJ,MATCH($A177,'product-export-27-8-2026'!$A:$A,0),MATCH(AR$1,'product-export-27-8-2026'!$1:$1,0)),IF(_xlpm.v="","",_xlpm.v)),"")</f>
        <v>Diaries, Diaries &gt; Pocket Diaries, Richmond Collection</v>
      </c>
      <c r="AS177" s="18" t="str">
        <f>IFERROR(_xlfn.LET(_xlpm.v,INDEX('product-export-27-8-2026'!$A:$AJ,MATCH($A177,'product-export-27-8-2026'!$A:$A,0),MATCH(AS$1,'product-export-27-8-2026'!$1:$1,0)),IF(_xlpm.v="","",_xlpm.v)),"")</f>
        <v>Richmond-FineGrain-Pocket-Diary-Week-to-View</v>
      </c>
      <c r="BC177" s="15"/>
    </row>
    <row r="178" spans="1:55" s="20" customFormat="1" ht="27.6" customHeight="1" x14ac:dyDescent="0.3">
      <c r="A178" s="17">
        <v>4239</v>
      </c>
      <c r="B178" s="18" t="s">
        <v>506</v>
      </c>
      <c r="C178" s="18" t="s">
        <v>18</v>
      </c>
      <c r="D178" s="18" t="s">
        <v>260</v>
      </c>
      <c r="E178" s="19" t="s">
        <v>260</v>
      </c>
      <c r="F178" s="18" t="s">
        <v>254</v>
      </c>
      <c r="G178" s="18" t="s">
        <v>19</v>
      </c>
      <c r="H178" s="18" t="s">
        <v>1585</v>
      </c>
      <c r="I178" s="12" t="s">
        <v>20</v>
      </c>
      <c r="J178" s="18" t="s">
        <v>87</v>
      </c>
      <c r="K178" s="12" t="s">
        <v>1666</v>
      </c>
      <c r="L178" s="60">
        <v>0.42</v>
      </c>
      <c r="M178" s="26">
        <v>7.99</v>
      </c>
      <c r="N178" s="18" t="s">
        <v>248</v>
      </c>
      <c r="O178" s="58">
        <f t="shared" si="16"/>
        <v>8.24</v>
      </c>
      <c r="P178" s="58">
        <f t="shared" si="16"/>
        <v>7.91</v>
      </c>
      <c r="Q178" s="58">
        <f t="shared" si="16"/>
        <v>3.74</v>
      </c>
      <c r="R178" s="58">
        <f t="shared" si="16"/>
        <v>3.32</v>
      </c>
      <c r="S178" s="58">
        <f t="shared" si="16"/>
        <v>2.83</v>
      </c>
      <c r="T178" s="58">
        <f t="shared" si="16"/>
        <v>2.33</v>
      </c>
      <c r="U178" s="58">
        <f t="shared" si="16"/>
        <v>2.0499999999999998</v>
      </c>
      <c r="V178" s="58">
        <f t="shared" si="16"/>
        <v>1.93</v>
      </c>
      <c r="W178" s="58">
        <f t="shared" si="16"/>
        <v>1.89</v>
      </c>
      <c r="X178" s="31" t="str" cm="1">
        <f t="array" ref="X178">IF(Y178="","",_xlfn.TEXTJOIN(";",TRUE,SUBSTITUTE($Y$1:$AG$1,"Qty ","")&amp;":"&amp;TEXT(Y178:AG178,"0.00"))&amp;";")</f>
        <v>1:11.66;10:10.54;25:5.57;50:4.82;100:4.21;250:3.59;500:3.25;750:3.10;1000:3.03;</v>
      </c>
      <c r="Y178" s="56">
        <f>'Blocking Prices'!$C$14+O178</f>
        <v>11.66</v>
      </c>
      <c r="Z178" s="56">
        <f>'Blocking Prices'!$D$14+P178</f>
        <v>10.54</v>
      </c>
      <c r="AA178" s="56">
        <f>'Blocking Prices'!$E$14+Q178</f>
        <v>5.57</v>
      </c>
      <c r="AB178" s="56">
        <f>'Blocking Prices'!$F$14+R178</f>
        <v>4.82</v>
      </c>
      <c r="AC178" s="56">
        <f>'Blocking Prices'!$G$14+S178</f>
        <v>4.21</v>
      </c>
      <c r="AD178" s="56">
        <f>'Blocking Prices'!$H$14+T178</f>
        <v>3.59</v>
      </c>
      <c r="AE178" s="56">
        <f>'Blocking Prices'!$I$14+U178</f>
        <v>3.25</v>
      </c>
      <c r="AF178" s="56">
        <f>'Blocking Prices'!$J$14+V178</f>
        <v>3.0999999999999996</v>
      </c>
      <c r="AG178" s="56">
        <f>'Blocking Prices'!$K$14+W178</f>
        <v>3.03</v>
      </c>
      <c r="AH178" s="17"/>
      <c r="AI178" s="17"/>
      <c r="AJ178" s="17"/>
      <c r="AK178" s="17"/>
      <c r="AL178" s="18" t="s">
        <v>1329</v>
      </c>
      <c r="AM178" s="18" t="s">
        <v>576</v>
      </c>
      <c r="AN178" s="18" t="str">
        <f>IFERROR(_xlfn.LET(_xlpm.v,INDEX('product-export-27-8-2026'!$A:$AJ,MATCH($A178,'product-export-27-8-2026'!$A:$A,0),MATCH(AN$1,'product-export-27-8-2026'!$1:$1,0)),IF(_xlpm.v="","",_xlpm.v)),"")</f>
        <v/>
      </c>
      <c r="AO178" s="18" t="str">
        <f>IFERROR(_xlfn.LET(_xlpm.v,INDEX('product-export-27-8-2026'!$A:$AJ,MATCH($A178,'product-export-27-8-2026'!$A:$A,0),MATCH(AO$1,'product-export-27-8-2026'!$1:$1,0)),IF(_xlpm.v="","",_xlpm.v)),"")</f>
        <v/>
      </c>
      <c r="AP178" s="18" t="str">
        <f>IFERROR(_xlfn.LET(_xlpm.v,INDEX('product-export-27-8-2026'!$A:$AJ,MATCH($A178,'product-export-27-8-2026'!$A:$A,0),MATCH(AP$1,'product-export-27-8-2026'!$1:$1,0)),IF(_xlpm.v="","",_xlpm.v)),"")</f>
        <v/>
      </c>
      <c r="AQ178" s="18" t="str">
        <f>IFERROR(_xlfn.LET(_xlpm.v,INDEX('product-export-27-8-2026'!$A:$AJ,MATCH($A178,'product-export-27-8-2026'!$A:$A,0),MATCH(AQ$1,'product-export-27-8-2026'!$1:$1,0)),IF(_xlpm.v="","",_xlpm.v)),"")</f>
        <v/>
      </c>
      <c r="AR178" s="18" t="str">
        <f>IFERROR(_xlfn.LET(_xlpm.v,INDEX('product-export-27-8-2026'!$A:$AJ,MATCH($A178,'product-export-27-8-2026'!$A:$A,0),MATCH(AR$1,'product-export-27-8-2026'!$1:$1,0)),IF(_xlpm.v="","",_xlpm.v)),"")</f>
        <v>Diaries, Diaries &gt; Pocket Diaries, Richmond Collection</v>
      </c>
      <c r="AS178" s="18" t="str">
        <f>IFERROR(_xlfn.LET(_xlpm.v,INDEX('product-export-27-8-2026'!$A:$AJ,MATCH($A178,'product-export-27-8-2026'!$A:$A,0),MATCH(AS$1,'product-export-27-8-2026'!$1:$1,0)),IF(_xlpm.v="","",_xlpm.v)),"")</f>
        <v>Richmond-FineGrain-Pocket-Diary-Week-to-View</v>
      </c>
      <c r="BC178" s="15"/>
    </row>
    <row r="179" spans="1:55" s="20" customFormat="1" ht="27.6" customHeight="1" x14ac:dyDescent="0.3">
      <c r="A179" s="17">
        <v>4776</v>
      </c>
      <c r="B179" s="18" t="s">
        <v>508</v>
      </c>
      <c r="C179" s="18" t="s">
        <v>220</v>
      </c>
      <c r="D179" s="18" t="s">
        <v>262</v>
      </c>
      <c r="E179" s="19" t="s">
        <v>262</v>
      </c>
      <c r="F179" s="18" t="s">
        <v>263</v>
      </c>
      <c r="G179" s="18" t="s">
        <v>221</v>
      </c>
      <c r="H179" s="18" t="s">
        <v>728</v>
      </c>
      <c r="I179" s="18"/>
      <c r="J179" s="18" t="s">
        <v>576</v>
      </c>
      <c r="K179" s="18"/>
      <c r="L179" s="54"/>
      <c r="M179" s="17">
        <v>6.99</v>
      </c>
      <c r="N179" s="18" t="s">
        <v>264</v>
      </c>
      <c r="O179" s="58">
        <f t="shared" si="16"/>
        <v>7.49</v>
      </c>
      <c r="P179" s="58">
        <f t="shared" si="16"/>
        <v>6.91</v>
      </c>
      <c r="Q179" s="58">
        <f t="shared" si="16"/>
        <v>4.2</v>
      </c>
      <c r="R179" s="58">
        <f t="shared" si="16"/>
        <v>3.5</v>
      </c>
      <c r="S179" s="58">
        <f t="shared" si="16"/>
        <v>2.91</v>
      </c>
      <c r="T179" s="58">
        <f t="shared" si="16"/>
        <v>2.42</v>
      </c>
      <c r="U179" s="58">
        <f t="shared" si="16"/>
        <v>2.13</v>
      </c>
      <c r="V179" s="58">
        <f t="shared" si="16"/>
        <v>2.04</v>
      </c>
      <c r="W179" s="58">
        <f t="shared" si="16"/>
        <v>1.9</v>
      </c>
      <c r="X179" s="31" t="str" cm="1">
        <f t="array" ref="X179">IF(Y179="","",_xlfn.TEXTJOIN(";",TRUE,SUBSTITUTE($Y$1:$AG$1,"Qty ","")&amp;":"&amp;TEXT(Y179:AG179,"0.00"))&amp;";")</f>
        <v>1:10.91;10:9.54;25:6.03;50:5.00;100:4.29;250:3.68;500:3.33;750:3.21;1000:3.04;</v>
      </c>
      <c r="Y179" s="56">
        <f>'Blocking Prices'!$C$14+O179</f>
        <v>10.91</v>
      </c>
      <c r="Z179" s="56">
        <f>'Blocking Prices'!$D$14+P179</f>
        <v>9.5399999999999991</v>
      </c>
      <c r="AA179" s="56">
        <f>'Blocking Prices'!$E$14+Q179</f>
        <v>6.03</v>
      </c>
      <c r="AB179" s="56">
        <f>'Blocking Prices'!$F$14+R179</f>
        <v>5</v>
      </c>
      <c r="AC179" s="56">
        <f>'Blocking Prices'!$G$14+S179</f>
        <v>4.29</v>
      </c>
      <c r="AD179" s="56">
        <f>'Blocking Prices'!$H$14+T179</f>
        <v>3.6799999999999997</v>
      </c>
      <c r="AE179" s="56">
        <f>'Blocking Prices'!$I$14+U179</f>
        <v>3.33</v>
      </c>
      <c r="AF179" s="56">
        <f>'Blocking Prices'!$J$14+V179</f>
        <v>3.21</v>
      </c>
      <c r="AG179" s="56">
        <f>'Blocking Prices'!$K$14+W179</f>
        <v>3.04</v>
      </c>
      <c r="AH179" s="17"/>
      <c r="AI179" s="17"/>
      <c r="AJ179" s="17"/>
      <c r="AK179" s="17"/>
      <c r="AL179" s="18" t="s">
        <v>1346</v>
      </c>
      <c r="AM179" s="18" t="s">
        <v>1347</v>
      </c>
      <c r="AN179" s="18" t="str">
        <f>IFERROR(_xlfn.LET(_xlpm.v,INDEX('product-export-27-8-2026'!$A:$AJ,MATCH($A179,'product-export-27-8-2026'!$A:$A,0),MATCH(AN$1,'product-export-27-8-2026'!$1:$1,0)),IF(_xlpm.v="","",_xlpm.v)),"")</f>
        <v/>
      </c>
      <c r="AO179" s="18" t="str">
        <f>IFERROR(_xlfn.LET(_xlpm.v,INDEX('product-export-27-8-2026'!$A:$AJ,MATCH($A179,'product-export-27-8-2026'!$A:$A,0),MATCH(AO$1,'product-export-27-8-2026'!$1:$1,0)),IF(_xlpm.v="","",_xlpm.v)),"")</f>
        <v/>
      </c>
      <c r="AP179" s="18" t="str">
        <f>IFERROR(_xlfn.LET(_xlpm.v,INDEX('product-export-27-8-2026'!$A:$AJ,MATCH($A179,'product-export-27-8-2026'!$A:$A,0),MATCH(AP$1,'product-export-27-8-2026'!$1:$1,0)),IF(_xlpm.v="","",_xlpm.v)),"")</f>
        <v/>
      </c>
      <c r="AQ179" s="18" t="str">
        <f>IFERROR(_xlfn.LET(_xlpm.v,INDEX('product-export-27-8-2026'!$A:$AJ,MATCH($A179,'product-export-27-8-2026'!$A:$A,0),MATCH(AQ$1,'product-export-27-8-2026'!$1:$1,0)),IF(_xlpm.v="","",_xlpm.v)),"")</f>
        <v/>
      </c>
      <c r="AR179" s="18" t="str">
        <f>IFERROR(_xlfn.LET(_xlpm.v,INDEX('product-export-27-8-2026'!$A:$AJ,MATCH($A179,'product-export-27-8-2026'!$A:$A,0),MATCH(AR$1,'product-export-27-8-2026'!$1:$1,0)),IF(_xlpm.v="","",_xlpm.v)),"")</f>
        <v>Card Holder, Chelsea Collection, Gifts</v>
      </c>
      <c r="AS179" s="18" t="str">
        <f>IFERROR(_xlfn.LET(_xlpm.v,INDEX('product-export-27-8-2026'!$A:$AJ,MATCH($A179,'product-export-27-8-2026'!$A:$A,0),MATCH(AS$1,'product-export-27-8-2026'!$1:$1,0)),IF(_xlpm.v="","",_xlpm.v)),"")</f>
        <v>Chelsea Leather Multi Purpose Card Holder</v>
      </c>
      <c r="BC179" s="15"/>
    </row>
    <row r="180" spans="1:55" s="20" customFormat="1" ht="27.6" customHeight="1" x14ac:dyDescent="0.3">
      <c r="A180" s="17">
        <v>4779</v>
      </c>
      <c r="B180" s="18" t="s">
        <v>509</v>
      </c>
      <c r="C180" s="18" t="s">
        <v>220</v>
      </c>
      <c r="D180" s="18" t="s">
        <v>265</v>
      </c>
      <c r="E180" s="19" t="s">
        <v>265</v>
      </c>
      <c r="F180" s="18" t="s">
        <v>263</v>
      </c>
      <c r="G180" s="18" t="s">
        <v>221</v>
      </c>
      <c r="H180" s="18" t="s">
        <v>672</v>
      </c>
      <c r="I180" s="18"/>
      <c r="J180" s="18" t="s">
        <v>576</v>
      </c>
      <c r="K180" s="18"/>
      <c r="L180" s="54"/>
      <c r="M180" s="17">
        <v>6.99</v>
      </c>
      <c r="N180" s="18" t="s">
        <v>264</v>
      </c>
      <c r="O180" s="58">
        <f t="shared" si="16"/>
        <v>7.49</v>
      </c>
      <c r="P180" s="58">
        <f t="shared" si="16"/>
        <v>6.91</v>
      </c>
      <c r="Q180" s="58">
        <f t="shared" si="16"/>
        <v>4.2</v>
      </c>
      <c r="R180" s="58">
        <f t="shared" si="16"/>
        <v>3.5</v>
      </c>
      <c r="S180" s="58">
        <f t="shared" si="16"/>
        <v>2.91</v>
      </c>
      <c r="T180" s="58">
        <f t="shared" si="16"/>
        <v>2.42</v>
      </c>
      <c r="U180" s="58">
        <f t="shared" si="16"/>
        <v>2.13</v>
      </c>
      <c r="V180" s="58">
        <f t="shared" si="16"/>
        <v>2.04</v>
      </c>
      <c r="W180" s="58">
        <f t="shared" si="16"/>
        <v>1.9</v>
      </c>
      <c r="X180" s="31" t="str" cm="1">
        <f t="array" ref="X180">IF(Y180="","",_xlfn.TEXTJOIN(";",TRUE,SUBSTITUTE($Y$1:$AG$1,"Qty ","")&amp;":"&amp;TEXT(Y180:AG180,"0.00"))&amp;";")</f>
        <v>1:10.91;10:9.54;25:6.03;50:5.00;100:4.29;250:3.68;500:3.33;750:3.21;1000:3.04;</v>
      </c>
      <c r="Y180" s="56">
        <f>'Blocking Prices'!$C$14+O180</f>
        <v>10.91</v>
      </c>
      <c r="Z180" s="56">
        <f>'Blocking Prices'!$D$14+P180</f>
        <v>9.5399999999999991</v>
      </c>
      <c r="AA180" s="56">
        <f>'Blocking Prices'!$E$14+Q180</f>
        <v>6.03</v>
      </c>
      <c r="AB180" s="56">
        <f>'Blocking Prices'!$F$14+R180</f>
        <v>5</v>
      </c>
      <c r="AC180" s="56">
        <f>'Blocking Prices'!$G$14+S180</f>
        <v>4.29</v>
      </c>
      <c r="AD180" s="56">
        <f>'Blocking Prices'!$H$14+T180</f>
        <v>3.6799999999999997</v>
      </c>
      <c r="AE180" s="56">
        <f>'Blocking Prices'!$I$14+U180</f>
        <v>3.33</v>
      </c>
      <c r="AF180" s="56">
        <f>'Blocking Prices'!$J$14+V180</f>
        <v>3.21</v>
      </c>
      <c r="AG180" s="56">
        <f>'Blocking Prices'!$K$14+W180</f>
        <v>3.04</v>
      </c>
      <c r="AH180" s="17"/>
      <c r="AI180" s="17"/>
      <c r="AJ180" s="17"/>
      <c r="AK180" s="17"/>
      <c r="AL180" s="18" t="s">
        <v>1346</v>
      </c>
      <c r="AM180" s="18" t="s">
        <v>1347</v>
      </c>
      <c r="AN180" s="18" t="str">
        <f>IFERROR(_xlfn.LET(_xlpm.v,INDEX('product-export-27-8-2026'!$A:$AJ,MATCH($A180,'product-export-27-8-2026'!$A:$A,0),MATCH(AN$1,'product-export-27-8-2026'!$1:$1,0)),IF(_xlpm.v="","",_xlpm.v)),"")</f>
        <v/>
      </c>
      <c r="AO180" s="18" t="str">
        <f>IFERROR(_xlfn.LET(_xlpm.v,INDEX('product-export-27-8-2026'!$A:$AJ,MATCH($A180,'product-export-27-8-2026'!$A:$A,0),MATCH(AO$1,'product-export-27-8-2026'!$1:$1,0)),IF(_xlpm.v="","",_xlpm.v)),"")</f>
        <v/>
      </c>
      <c r="AP180" s="18" t="str">
        <f>IFERROR(_xlfn.LET(_xlpm.v,INDEX('product-export-27-8-2026'!$A:$AJ,MATCH($A180,'product-export-27-8-2026'!$A:$A,0),MATCH(AP$1,'product-export-27-8-2026'!$1:$1,0)),IF(_xlpm.v="","",_xlpm.v)),"")</f>
        <v/>
      </c>
      <c r="AQ180" s="18" t="str">
        <f>IFERROR(_xlfn.LET(_xlpm.v,INDEX('product-export-27-8-2026'!$A:$AJ,MATCH($A180,'product-export-27-8-2026'!$A:$A,0),MATCH(AQ$1,'product-export-27-8-2026'!$1:$1,0)),IF(_xlpm.v="","",_xlpm.v)),"")</f>
        <v/>
      </c>
      <c r="AR180" s="18" t="str">
        <f>IFERROR(_xlfn.LET(_xlpm.v,INDEX('product-export-27-8-2026'!$A:$AJ,MATCH($A180,'product-export-27-8-2026'!$A:$A,0),MATCH(AR$1,'product-export-27-8-2026'!$1:$1,0)),IF(_xlpm.v="","",_xlpm.v)),"")</f>
        <v>Card Holder, Chelsea Collection, Gifts</v>
      </c>
      <c r="AS180" s="18" t="str">
        <f>IFERROR(_xlfn.LET(_xlpm.v,INDEX('product-export-27-8-2026'!$A:$AJ,MATCH($A180,'product-export-27-8-2026'!$A:$A,0),MATCH(AS$1,'product-export-27-8-2026'!$1:$1,0)),IF(_xlpm.v="","",_xlpm.v)),"")</f>
        <v>Chelsea Leather Multi Purpose Card Holder</v>
      </c>
      <c r="BC180" s="15"/>
    </row>
    <row r="181" spans="1:55" s="20" customFormat="1" ht="27.6" customHeight="1" x14ac:dyDescent="0.3">
      <c r="A181" s="17">
        <v>4784</v>
      </c>
      <c r="B181" s="18" t="s">
        <v>510</v>
      </c>
      <c r="C181" s="18" t="s">
        <v>220</v>
      </c>
      <c r="D181" s="18" t="s">
        <v>266</v>
      </c>
      <c r="E181" s="19" t="s">
        <v>266</v>
      </c>
      <c r="F181" s="18" t="s">
        <v>263</v>
      </c>
      <c r="G181" s="18" t="s">
        <v>221</v>
      </c>
      <c r="H181" s="18" t="s">
        <v>731</v>
      </c>
      <c r="I181" s="18"/>
      <c r="J181" s="18" t="s">
        <v>576</v>
      </c>
      <c r="K181" s="18"/>
      <c r="L181" s="54"/>
      <c r="M181" s="17">
        <v>6.99</v>
      </c>
      <c r="N181" s="18" t="s">
        <v>264</v>
      </c>
      <c r="O181" s="58">
        <f t="shared" si="16"/>
        <v>7.49</v>
      </c>
      <c r="P181" s="58">
        <f t="shared" si="16"/>
        <v>6.91</v>
      </c>
      <c r="Q181" s="58">
        <f t="shared" si="16"/>
        <v>4.2</v>
      </c>
      <c r="R181" s="58">
        <f t="shared" si="16"/>
        <v>3.5</v>
      </c>
      <c r="S181" s="58">
        <f t="shared" si="16"/>
        <v>2.91</v>
      </c>
      <c r="T181" s="58">
        <f t="shared" si="16"/>
        <v>2.42</v>
      </c>
      <c r="U181" s="58">
        <f t="shared" si="16"/>
        <v>2.13</v>
      </c>
      <c r="V181" s="58">
        <f t="shared" si="16"/>
        <v>2.04</v>
      </c>
      <c r="W181" s="58">
        <f t="shared" si="16"/>
        <v>1.9</v>
      </c>
      <c r="X181" s="31" t="str" cm="1">
        <f t="array" ref="X181">IF(Y181="","",_xlfn.TEXTJOIN(";",TRUE,SUBSTITUTE($Y$1:$AG$1,"Qty ","")&amp;":"&amp;TEXT(Y181:AG181,"0.00"))&amp;";")</f>
        <v>1:10.91;10:9.54;25:6.03;50:5.00;100:4.29;250:3.68;500:3.33;750:3.21;1000:3.04;</v>
      </c>
      <c r="Y181" s="56">
        <f>'Blocking Prices'!$C$14+O181</f>
        <v>10.91</v>
      </c>
      <c r="Z181" s="56">
        <f>'Blocking Prices'!$D$14+P181</f>
        <v>9.5399999999999991</v>
      </c>
      <c r="AA181" s="56">
        <f>'Blocking Prices'!$E$14+Q181</f>
        <v>6.03</v>
      </c>
      <c r="AB181" s="56">
        <f>'Blocking Prices'!$F$14+R181</f>
        <v>5</v>
      </c>
      <c r="AC181" s="56">
        <f>'Blocking Prices'!$G$14+S181</f>
        <v>4.29</v>
      </c>
      <c r="AD181" s="56">
        <f>'Blocking Prices'!$H$14+T181</f>
        <v>3.6799999999999997</v>
      </c>
      <c r="AE181" s="56">
        <f>'Blocking Prices'!$I$14+U181</f>
        <v>3.33</v>
      </c>
      <c r="AF181" s="56">
        <f>'Blocking Prices'!$J$14+V181</f>
        <v>3.21</v>
      </c>
      <c r="AG181" s="56">
        <f>'Blocking Prices'!$K$14+W181</f>
        <v>3.04</v>
      </c>
      <c r="AH181" s="17"/>
      <c r="AI181" s="17"/>
      <c r="AJ181" s="17"/>
      <c r="AK181" s="17"/>
      <c r="AL181" s="18" t="s">
        <v>1346</v>
      </c>
      <c r="AM181" s="18" t="s">
        <v>1347</v>
      </c>
      <c r="AN181" s="18" t="str">
        <f>IFERROR(_xlfn.LET(_xlpm.v,INDEX('product-export-27-8-2026'!$A:$AJ,MATCH($A181,'product-export-27-8-2026'!$A:$A,0),MATCH(AN$1,'product-export-27-8-2026'!$1:$1,0)),IF(_xlpm.v="","",_xlpm.v)),"")</f>
        <v/>
      </c>
      <c r="AO181" s="18" t="str">
        <f>IFERROR(_xlfn.LET(_xlpm.v,INDEX('product-export-27-8-2026'!$A:$AJ,MATCH($A181,'product-export-27-8-2026'!$A:$A,0),MATCH(AO$1,'product-export-27-8-2026'!$1:$1,0)),IF(_xlpm.v="","",_xlpm.v)),"")</f>
        <v/>
      </c>
      <c r="AP181" s="18" t="str">
        <f>IFERROR(_xlfn.LET(_xlpm.v,INDEX('product-export-27-8-2026'!$A:$AJ,MATCH($A181,'product-export-27-8-2026'!$A:$A,0),MATCH(AP$1,'product-export-27-8-2026'!$1:$1,0)),IF(_xlpm.v="","",_xlpm.v)),"")</f>
        <v/>
      </c>
      <c r="AQ181" s="18" t="str">
        <f>IFERROR(_xlfn.LET(_xlpm.v,INDEX('product-export-27-8-2026'!$A:$AJ,MATCH($A181,'product-export-27-8-2026'!$A:$A,0),MATCH(AQ$1,'product-export-27-8-2026'!$1:$1,0)),IF(_xlpm.v="","",_xlpm.v)),"")</f>
        <v/>
      </c>
      <c r="AR181" s="18" t="str">
        <f>IFERROR(_xlfn.LET(_xlpm.v,INDEX('product-export-27-8-2026'!$A:$AJ,MATCH($A181,'product-export-27-8-2026'!$A:$A,0),MATCH(AR$1,'product-export-27-8-2026'!$1:$1,0)),IF(_xlpm.v="","",_xlpm.v)),"")</f>
        <v>Card Holder, Chelsea Collection, Gifts</v>
      </c>
      <c r="AS181" s="18" t="str">
        <f>IFERROR(_xlfn.LET(_xlpm.v,INDEX('product-export-27-8-2026'!$A:$AJ,MATCH($A181,'product-export-27-8-2026'!$A:$A,0),MATCH(AS$1,'product-export-27-8-2026'!$1:$1,0)),IF(_xlpm.v="","",_xlpm.v)),"")</f>
        <v>Chelsea Leather Multi Purpose Card Holder</v>
      </c>
      <c r="BC181" s="15"/>
    </row>
    <row r="182" spans="1:55" s="20" customFormat="1" ht="27.6" customHeight="1" x14ac:dyDescent="0.3">
      <c r="A182" s="17">
        <v>4787</v>
      </c>
      <c r="B182" s="18" t="s">
        <v>511</v>
      </c>
      <c r="C182" s="18" t="s">
        <v>220</v>
      </c>
      <c r="D182" s="18" t="s">
        <v>267</v>
      </c>
      <c r="E182" s="19" t="s">
        <v>267</v>
      </c>
      <c r="F182" s="18" t="s">
        <v>263</v>
      </c>
      <c r="G182" s="18" t="s">
        <v>221</v>
      </c>
      <c r="H182" s="18" t="s">
        <v>696</v>
      </c>
      <c r="I182" s="18"/>
      <c r="J182" s="18" t="s">
        <v>576</v>
      </c>
      <c r="K182" s="18"/>
      <c r="L182" s="54"/>
      <c r="M182" s="17">
        <v>6.99</v>
      </c>
      <c r="N182" s="18" t="s">
        <v>264</v>
      </c>
      <c r="O182" s="58">
        <f t="shared" ref="O182:W191" si="17">IFERROR(VALUE(_xlfn.TEXTBEFORE(_xlfn.TEXTAFTER(";"&amp;$N182,";"&amp;SUBSTITUTE(O$1,"Qty ","")&amp;":"),";")),"")</f>
        <v>7.49</v>
      </c>
      <c r="P182" s="58">
        <f t="shared" si="17"/>
        <v>6.91</v>
      </c>
      <c r="Q182" s="58">
        <f t="shared" si="17"/>
        <v>4.2</v>
      </c>
      <c r="R182" s="58">
        <f t="shared" si="17"/>
        <v>3.5</v>
      </c>
      <c r="S182" s="58">
        <f t="shared" si="17"/>
        <v>2.91</v>
      </c>
      <c r="T182" s="58">
        <f t="shared" si="17"/>
        <v>2.42</v>
      </c>
      <c r="U182" s="58">
        <f t="shared" si="17"/>
        <v>2.13</v>
      </c>
      <c r="V182" s="58">
        <f t="shared" si="17"/>
        <v>2.04</v>
      </c>
      <c r="W182" s="58">
        <f t="shared" si="17"/>
        <v>1.9</v>
      </c>
      <c r="X182" s="31" t="str" cm="1">
        <f t="array" ref="X182">IF(Y182="","",_xlfn.TEXTJOIN(";",TRUE,SUBSTITUTE($Y$1:$AG$1,"Qty ","")&amp;":"&amp;TEXT(Y182:AG182,"0.00"))&amp;";")</f>
        <v>1:10.91;10:9.54;25:6.03;50:5.00;100:4.29;250:3.68;500:3.33;750:3.21;1000:3.04;</v>
      </c>
      <c r="Y182" s="56">
        <f>'Blocking Prices'!$C$14+O182</f>
        <v>10.91</v>
      </c>
      <c r="Z182" s="56">
        <f>'Blocking Prices'!$D$14+P182</f>
        <v>9.5399999999999991</v>
      </c>
      <c r="AA182" s="56">
        <f>'Blocking Prices'!$E$14+Q182</f>
        <v>6.03</v>
      </c>
      <c r="AB182" s="56">
        <f>'Blocking Prices'!$F$14+R182</f>
        <v>5</v>
      </c>
      <c r="AC182" s="56">
        <f>'Blocking Prices'!$G$14+S182</f>
        <v>4.29</v>
      </c>
      <c r="AD182" s="56">
        <f>'Blocking Prices'!$H$14+T182</f>
        <v>3.6799999999999997</v>
      </c>
      <c r="AE182" s="56">
        <f>'Blocking Prices'!$I$14+U182</f>
        <v>3.33</v>
      </c>
      <c r="AF182" s="56">
        <f>'Blocking Prices'!$J$14+V182</f>
        <v>3.21</v>
      </c>
      <c r="AG182" s="56">
        <f>'Blocking Prices'!$K$14+W182</f>
        <v>3.04</v>
      </c>
      <c r="AH182" s="17"/>
      <c r="AI182" s="17"/>
      <c r="AJ182" s="17"/>
      <c r="AK182" s="17"/>
      <c r="AL182" s="18" t="s">
        <v>1346</v>
      </c>
      <c r="AM182" s="18" t="s">
        <v>1347</v>
      </c>
      <c r="AN182" s="18" t="str">
        <f>IFERROR(_xlfn.LET(_xlpm.v,INDEX('product-export-27-8-2026'!$A:$AJ,MATCH($A182,'product-export-27-8-2026'!$A:$A,0),MATCH(AN$1,'product-export-27-8-2026'!$1:$1,0)),IF(_xlpm.v="","",_xlpm.v)),"")</f>
        <v/>
      </c>
      <c r="AO182" s="18" t="str">
        <f>IFERROR(_xlfn.LET(_xlpm.v,INDEX('product-export-27-8-2026'!$A:$AJ,MATCH($A182,'product-export-27-8-2026'!$A:$A,0),MATCH(AO$1,'product-export-27-8-2026'!$1:$1,0)),IF(_xlpm.v="","",_xlpm.v)),"")</f>
        <v/>
      </c>
      <c r="AP182" s="18" t="str">
        <f>IFERROR(_xlfn.LET(_xlpm.v,INDEX('product-export-27-8-2026'!$A:$AJ,MATCH($A182,'product-export-27-8-2026'!$A:$A,0),MATCH(AP$1,'product-export-27-8-2026'!$1:$1,0)),IF(_xlpm.v="","",_xlpm.v)),"")</f>
        <v/>
      </c>
      <c r="AQ182" s="18" t="str">
        <f>IFERROR(_xlfn.LET(_xlpm.v,INDEX('product-export-27-8-2026'!$A:$AJ,MATCH($A182,'product-export-27-8-2026'!$A:$A,0),MATCH(AQ$1,'product-export-27-8-2026'!$1:$1,0)),IF(_xlpm.v="","",_xlpm.v)),"")</f>
        <v/>
      </c>
      <c r="AR182" s="18" t="str">
        <f>IFERROR(_xlfn.LET(_xlpm.v,INDEX('product-export-27-8-2026'!$A:$AJ,MATCH($A182,'product-export-27-8-2026'!$A:$A,0),MATCH(AR$1,'product-export-27-8-2026'!$1:$1,0)),IF(_xlpm.v="","",_xlpm.v)),"")</f>
        <v>Card Holder, Chelsea Collection, Gifts</v>
      </c>
      <c r="AS182" s="18" t="str">
        <f>IFERROR(_xlfn.LET(_xlpm.v,INDEX('product-export-27-8-2026'!$A:$AJ,MATCH($A182,'product-export-27-8-2026'!$A:$A,0),MATCH(AS$1,'product-export-27-8-2026'!$1:$1,0)),IF(_xlpm.v="","",_xlpm.v)),"")</f>
        <v>Chelsea Leather Multi Purpose Card Holder</v>
      </c>
      <c r="BC182" s="15"/>
    </row>
    <row r="183" spans="1:55" s="20" customFormat="1" ht="27.6" customHeight="1" x14ac:dyDescent="0.3">
      <c r="A183" s="17">
        <v>4789</v>
      </c>
      <c r="B183" s="18" t="s">
        <v>512</v>
      </c>
      <c r="C183" s="18" t="s">
        <v>220</v>
      </c>
      <c r="D183" s="18" t="s">
        <v>268</v>
      </c>
      <c r="E183" s="19" t="s">
        <v>268</v>
      </c>
      <c r="F183" s="18" t="s">
        <v>263</v>
      </c>
      <c r="G183" s="18" t="s">
        <v>221</v>
      </c>
      <c r="H183" s="18" t="s">
        <v>792</v>
      </c>
      <c r="I183" s="18"/>
      <c r="J183" s="18" t="s">
        <v>576</v>
      </c>
      <c r="K183" s="18"/>
      <c r="L183" s="54"/>
      <c r="M183" s="17">
        <v>6.99</v>
      </c>
      <c r="N183" s="18" t="s">
        <v>264</v>
      </c>
      <c r="O183" s="58">
        <f t="shared" si="17"/>
        <v>7.49</v>
      </c>
      <c r="P183" s="58">
        <f t="shared" si="17"/>
        <v>6.91</v>
      </c>
      <c r="Q183" s="58">
        <f t="shared" si="17"/>
        <v>4.2</v>
      </c>
      <c r="R183" s="58">
        <f t="shared" si="17"/>
        <v>3.5</v>
      </c>
      <c r="S183" s="58">
        <f t="shared" si="17"/>
        <v>2.91</v>
      </c>
      <c r="T183" s="58">
        <f t="shared" si="17"/>
        <v>2.42</v>
      </c>
      <c r="U183" s="58">
        <f t="shared" si="17"/>
        <v>2.13</v>
      </c>
      <c r="V183" s="58">
        <f t="shared" si="17"/>
        <v>2.04</v>
      </c>
      <c r="W183" s="58">
        <f t="shared" si="17"/>
        <v>1.9</v>
      </c>
      <c r="X183" s="31" t="str" cm="1">
        <f t="array" ref="X183">IF(Y183="","",_xlfn.TEXTJOIN(";",TRUE,SUBSTITUTE($Y$1:$AG$1,"Qty ","")&amp;":"&amp;TEXT(Y183:AG183,"0.00"))&amp;";")</f>
        <v>1:10.91;10:9.54;25:6.03;50:5.00;100:4.29;250:3.68;500:3.33;750:3.21;1000:3.04;</v>
      </c>
      <c r="Y183" s="56">
        <f>'Blocking Prices'!$C$14+O183</f>
        <v>10.91</v>
      </c>
      <c r="Z183" s="56">
        <f>'Blocking Prices'!$D$14+P183</f>
        <v>9.5399999999999991</v>
      </c>
      <c r="AA183" s="56">
        <f>'Blocking Prices'!$E$14+Q183</f>
        <v>6.03</v>
      </c>
      <c r="AB183" s="56">
        <f>'Blocking Prices'!$F$14+R183</f>
        <v>5</v>
      </c>
      <c r="AC183" s="56">
        <f>'Blocking Prices'!$G$14+S183</f>
        <v>4.29</v>
      </c>
      <c r="AD183" s="56">
        <f>'Blocking Prices'!$H$14+T183</f>
        <v>3.6799999999999997</v>
      </c>
      <c r="AE183" s="56">
        <f>'Blocking Prices'!$I$14+U183</f>
        <v>3.33</v>
      </c>
      <c r="AF183" s="56">
        <f>'Blocking Prices'!$J$14+V183</f>
        <v>3.21</v>
      </c>
      <c r="AG183" s="56">
        <f>'Blocking Prices'!$K$14+W183</f>
        <v>3.04</v>
      </c>
      <c r="AH183" s="17"/>
      <c r="AI183" s="17"/>
      <c r="AJ183" s="17"/>
      <c r="AK183" s="17"/>
      <c r="AL183" s="18" t="s">
        <v>1346</v>
      </c>
      <c r="AM183" s="18" t="s">
        <v>1347</v>
      </c>
      <c r="AN183" s="18" t="str">
        <f>IFERROR(_xlfn.LET(_xlpm.v,INDEX('product-export-27-8-2026'!$A:$AJ,MATCH($A183,'product-export-27-8-2026'!$A:$A,0),MATCH(AN$1,'product-export-27-8-2026'!$1:$1,0)),IF(_xlpm.v="","",_xlpm.v)),"")</f>
        <v/>
      </c>
      <c r="AO183" s="18" t="str">
        <f>IFERROR(_xlfn.LET(_xlpm.v,INDEX('product-export-27-8-2026'!$A:$AJ,MATCH($A183,'product-export-27-8-2026'!$A:$A,0),MATCH(AO$1,'product-export-27-8-2026'!$1:$1,0)),IF(_xlpm.v="","",_xlpm.v)),"")</f>
        <v/>
      </c>
      <c r="AP183" s="18" t="str">
        <f>IFERROR(_xlfn.LET(_xlpm.v,INDEX('product-export-27-8-2026'!$A:$AJ,MATCH($A183,'product-export-27-8-2026'!$A:$A,0),MATCH(AP$1,'product-export-27-8-2026'!$1:$1,0)),IF(_xlpm.v="","",_xlpm.v)),"")</f>
        <v/>
      </c>
      <c r="AQ183" s="18" t="str">
        <f>IFERROR(_xlfn.LET(_xlpm.v,INDEX('product-export-27-8-2026'!$A:$AJ,MATCH($A183,'product-export-27-8-2026'!$A:$A,0),MATCH(AQ$1,'product-export-27-8-2026'!$1:$1,0)),IF(_xlpm.v="","",_xlpm.v)),"")</f>
        <v/>
      </c>
      <c r="AR183" s="18" t="str">
        <f>IFERROR(_xlfn.LET(_xlpm.v,INDEX('product-export-27-8-2026'!$A:$AJ,MATCH($A183,'product-export-27-8-2026'!$A:$A,0),MATCH(AR$1,'product-export-27-8-2026'!$1:$1,0)),IF(_xlpm.v="","",_xlpm.v)),"")</f>
        <v>Card Holder, Chelsea Collection, Gifts</v>
      </c>
      <c r="AS183" s="18" t="str">
        <f>IFERROR(_xlfn.LET(_xlpm.v,INDEX('product-export-27-8-2026'!$A:$AJ,MATCH($A183,'product-export-27-8-2026'!$A:$A,0),MATCH(AS$1,'product-export-27-8-2026'!$1:$1,0)),IF(_xlpm.v="","",_xlpm.v)),"")</f>
        <v>Chelsea Leather Multi Purpose Card Holder</v>
      </c>
      <c r="BC183" s="15"/>
    </row>
    <row r="184" spans="1:55" s="14" customFormat="1" ht="27.6" customHeight="1" x14ac:dyDescent="0.3">
      <c r="A184" s="11">
        <v>4791</v>
      </c>
      <c r="B184" s="12" t="s">
        <v>513</v>
      </c>
      <c r="C184" s="12" t="s">
        <v>220</v>
      </c>
      <c r="D184" s="12" t="s">
        <v>269</v>
      </c>
      <c r="E184" s="13" t="s">
        <v>568</v>
      </c>
      <c r="F184" s="12" t="s">
        <v>271</v>
      </c>
      <c r="G184" s="12" t="s">
        <v>270</v>
      </c>
      <c r="H184" s="12" t="s">
        <v>672</v>
      </c>
      <c r="I184" s="12"/>
      <c r="J184" s="12" t="s">
        <v>576</v>
      </c>
      <c r="K184" s="12"/>
      <c r="L184" s="60"/>
      <c r="M184" s="26">
        <v>11.99</v>
      </c>
      <c r="N184" s="18" t="s">
        <v>1546</v>
      </c>
      <c r="O184" s="56">
        <f t="shared" si="17"/>
        <v>11.24</v>
      </c>
      <c r="P184" s="56">
        <f t="shared" si="17"/>
        <v>10.25</v>
      </c>
      <c r="Q184" s="56">
        <f t="shared" si="17"/>
        <v>6.7</v>
      </c>
      <c r="R184" s="56">
        <f t="shared" si="17"/>
        <v>5.58</v>
      </c>
      <c r="S184" s="56">
        <f t="shared" si="17"/>
        <v>4.62</v>
      </c>
      <c r="T184" s="56">
        <f t="shared" si="17"/>
        <v>3.82</v>
      </c>
      <c r="U184" s="56">
        <f t="shared" si="17"/>
        <v>3.32</v>
      </c>
      <c r="V184" s="56">
        <f t="shared" si="17"/>
        <v>3.19</v>
      </c>
      <c r="W184" s="56">
        <f t="shared" si="17"/>
        <v>2.94</v>
      </c>
      <c r="X184" s="30" t="str" cm="1">
        <f t="array" ref="X184">IF(Y184="","",_xlfn.TEXTJOIN(";",TRUE,SUBSTITUTE($Y$1:$AG$1,"Qty ","")&amp;":"&amp;TEXT(Y184:AG184,"0.00"))&amp;";")</f>
        <v>1:14.66;10:12.88;25:8.53;50:7.08;100:6.00;250:5.08;500:4.52;750:4.36;1000:4.08;</v>
      </c>
      <c r="Y184" s="56">
        <f>'Blocking Prices'!$C$14+O184</f>
        <v>14.66</v>
      </c>
      <c r="Z184" s="56">
        <f>'Blocking Prices'!$D$14+P184</f>
        <v>12.879999999999999</v>
      </c>
      <c r="AA184" s="56">
        <f>'Blocking Prices'!$E$14+Q184</f>
        <v>8.5300000000000011</v>
      </c>
      <c r="AB184" s="56">
        <f>'Blocking Prices'!$F$14+R184</f>
        <v>7.08</v>
      </c>
      <c r="AC184" s="56">
        <f>'Blocking Prices'!$G$14+S184</f>
        <v>6</v>
      </c>
      <c r="AD184" s="56">
        <f>'Blocking Prices'!$H$14+T184</f>
        <v>5.08</v>
      </c>
      <c r="AE184" s="56">
        <f>'Blocking Prices'!$I$14+U184</f>
        <v>4.5199999999999996</v>
      </c>
      <c r="AF184" s="56">
        <f>'Blocking Prices'!$J$14+V184</f>
        <v>4.3599999999999994</v>
      </c>
      <c r="AG184" s="56">
        <f>'Blocking Prices'!$K$14+W184</f>
        <v>4.08</v>
      </c>
      <c r="AH184" s="11"/>
      <c r="AI184" s="11"/>
      <c r="AJ184" s="11"/>
      <c r="AK184" s="11"/>
      <c r="AL184" s="12" t="s">
        <v>1356</v>
      </c>
      <c r="AM184" s="12" t="s">
        <v>1357</v>
      </c>
      <c r="AN184" s="12" t="str">
        <f>IFERROR(_xlfn.LET(_xlpm.v,INDEX('product-export-27-8-2026'!$A:$AJ,MATCH($A184,'product-export-27-8-2026'!$A:$A,0),MATCH(AN$1,'product-export-27-8-2026'!$1:$1,0)),IF(_xlpm.v="","",_xlpm.v)),"")</f>
        <v/>
      </c>
      <c r="AO184" s="12" t="str">
        <f>IFERROR(_xlfn.LET(_xlpm.v,INDEX('product-export-27-8-2026'!$A:$AJ,MATCH($A184,'product-export-27-8-2026'!$A:$A,0),MATCH(AO$1,'product-export-27-8-2026'!$1:$1,0)),IF(_xlpm.v="","",_xlpm.v)),"")</f>
        <v/>
      </c>
      <c r="AP184" s="12" t="str">
        <f>IFERROR(_xlfn.LET(_xlpm.v,INDEX('product-export-27-8-2026'!$A:$AJ,MATCH($A184,'product-export-27-8-2026'!$A:$A,0),MATCH(AP$1,'product-export-27-8-2026'!$1:$1,0)),IF(_xlpm.v="","",_xlpm.v)),"")</f>
        <v/>
      </c>
      <c r="AQ184" s="12" t="str">
        <f>IFERROR(_xlfn.LET(_xlpm.v,INDEX('product-export-27-8-2026'!$A:$AJ,MATCH($A184,'product-export-27-8-2026'!$A:$A,0),MATCH(AQ$1,'product-export-27-8-2026'!$1:$1,0)),IF(_xlpm.v="","",_xlpm.v)),"")</f>
        <v/>
      </c>
      <c r="AR184" s="12" t="str">
        <f>IFERROR(_xlfn.LET(_xlpm.v,INDEX('product-export-27-8-2026'!$A:$AJ,MATCH($A184,'product-export-27-8-2026'!$A:$A,0),MATCH(AR$1,'product-export-27-8-2026'!$1:$1,0)),IF(_xlpm.v="","",_xlpm.v)),"")</f>
        <v>Card Holder, Chelsea Collection, Gifts</v>
      </c>
      <c r="AS184" s="12" t="str">
        <f>IFERROR(_xlfn.LET(_xlpm.v,INDEX('product-export-27-8-2026'!$A:$AJ,MATCH($A184,'product-export-27-8-2026'!$A:$A,0),MATCH(AS$1,'product-export-27-8-2026'!$1:$1,0)),IF(_xlpm.v="","",_xlpm.v)),"")</f>
        <v>Chelsea Leather Slim Card Holder</v>
      </c>
      <c r="BC184" s="15"/>
    </row>
    <row r="185" spans="1:55" s="14" customFormat="1" ht="27.6" customHeight="1" x14ac:dyDescent="0.3">
      <c r="A185" s="11">
        <v>4796</v>
      </c>
      <c r="B185" s="12" t="s">
        <v>514</v>
      </c>
      <c r="C185" s="12" t="s">
        <v>220</v>
      </c>
      <c r="D185" s="12" t="s">
        <v>272</v>
      </c>
      <c r="E185" s="13" t="s">
        <v>569</v>
      </c>
      <c r="F185" s="12" t="s">
        <v>271</v>
      </c>
      <c r="G185" s="12" t="s">
        <v>270</v>
      </c>
      <c r="H185" s="12" t="s">
        <v>728</v>
      </c>
      <c r="I185" s="12"/>
      <c r="J185" s="12" t="s">
        <v>576</v>
      </c>
      <c r="K185" s="12"/>
      <c r="L185" s="60"/>
      <c r="M185" s="26">
        <v>11.99</v>
      </c>
      <c r="N185" s="18" t="s">
        <v>1546</v>
      </c>
      <c r="O185" s="56">
        <f t="shared" si="17"/>
        <v>11.24</v>
      </c>
      <c r="P185" s="56">
        <f t="shared" si="17"/>
        <v>10.25</v>
      </c>
      <c r="Q185" s="56">
        <f t="shared" si="17"/>
        <v>6.7</v>
      </c>
      <c r="R185" s="56">
        <f t="shared" si="17"/>
        <v>5.58</v>
      </c>
      <c r="S185" s="56">
        <f t="shared" si="17"/>
        <v>4.62</v>
      </c>
      <c r="T185" s="56">
        <f t="shared" si="17"/>
        <v>3.82</v>
      </c>
      <c r="U185" s="56">
        <f t="shared" si="17"/>
        <v>3.32</v>
      </c>
      <c r="V185" s="56">
        <f t="shared" si="17"/>
        <v>3.19</v>
      </c>
      <c r="W185" s="56">
        <f t="shared" si="17"/>
        <v>2.94</v>
      </c>
      <c r="X185" s="30" t="str" cm="1">
        <f t="array" ref="X185">IF(Y185="","",_xlfn.TEXTJOIN(";",TRUE,SUBSTITUTE($Y$1:$AG$1,"Qty ","")&amp;":"&amp;TEXT(Y185:AG185,"0.00"))&amp;";")</f>
        <v>1:14.66;10:12.88;25:8.53;50:7.08;100:6.00;250:5.08;500:4.52;750:4.36;1000:4.08;</v>
      </c>
      <c r="Y185" s="56">
        <f>'Blocking Prices'!$C$14+O185</f>
        <v>14.66</v>
      </c>
      <c r="Z185" s="56">
        <f>'Blocking Prices'!$D$14+P185</f>
        <v>12.879999999999999</v>
      </c>
      <c r="AA185" s="56">
        <f>'Blocking Prices'!$E$14+Q185</f>
        <v>8.5300000000000011</v>
      </c>
      <c r="AB185" s="56">
        <f>'Blocking Prices'!$F$14+R185</f>
        <v>7.08</v>
      </c>
      <c r="AC185" s="56">
        <f>'Blocking Prices'!$G$14+S185</f>
        <v>6</v>
      </c>
      <c r="AD185" s="56">
        <f>'Blocking Prices'!$H$14+T185</f>
        <v>5.08</v>
      </c>
      <c r="AE185" s="56">
        <f>'Blocking Prices'!$I$14+U185</f>
        <v>4.5199999999999996</v>
      </c>
      <c r="AF185" s="56">
        <f>'Blocking Prices'!$J$14+V185</f>
        <v>4.3599999999999994</v>
      </c>
      <c r="AG185" s="56">
        <f>'Blocking Prices'!$K$14+W185</f>
        <v>4.08</v>
      </c>
      <c r="AH185" s="11"/>
      <c r="AI185" s="11"/>
      <c r="AJ185" s="11"/>
      <c r="AK185" s="11"/>
      <c r="AL185" s="12" t="s">
        <v>1356</v>
      </c>
      <c r="AM185" s="12" t="s">
        <v>1357</v>
      </c>
      <c r="AN185" s="12" t="str">
        <f>IFERROR(_xlfn.LET(_xlpm.v,INDEX('product-export-27-8-2026'!$A:$AJ,MATCH($A185,'product-export-27-8-2026'!$A:$A,0),MATCH(AN$1,'product-export-27-8-2026'!$1:$1,0)),IF(_xlpm.v="","",_xlpm.v)),"")</f>
        <v/>
      </c>
      <c r="AO185" s="12" t="str">
        <f>IFERROR(_xlfn.LET(_xlpm.v,INDEX('product-export-27-8-2026'!$A:$AJ,MATCH($A185,'product-export-27-8-2026'!$A:$A,0),MATCH(AO$1,'product-export-27-8-2026'!$1:$1,0)),IF(_xlpm.v="","",_xlpm.v)),"")</f>
        <v/>
      </c>
      <c r="AP185" s="12" t="str">
        <f>IFERROR(_xlfn.LET(_xlpm.v,INDEX('product-export-27-8-2026'!$A:$AJ,MATCH($A185,'product-export-27-8-2026'!$A:$A,0),MATCH(AP$1,'product-export-27-8-2026'!$1:$1,0)),IF(_xlpm.v="","",_xlpm.v)),"")</f>
        <v/>
      </c>
      <c r="AQ185" s="12" t="str">
        <f>IFERROR(_xlfn.LET(_xlpm.v,INDEX('product-export-27-8-2026'!$A:$AJ,MATCH($A185,'product-export-27-8-2026'!$A:$A,0),MATCH(AQ$1,'product-export-27-8-2026'!$1:$1,0)),IF(_xlpm.v="","",_xlpm.v)),"")</f>
        <v/>
      </c>
      <c r="AR185" s="12" t="str">
        <f>IFERROR(_xlfn.LET(_xlpm.v,INDEX('product-export-27-8-2026'!$A:$AJ,MATCH($A185,'product-export-27-8-2026'!$A:$A,0),MATCH(AR$1,'product-export-27-8-2026'!$1:$1,0)),IF(_xlpm.v="","",_xlpm.v)),"")</f>
        <v>Card Holder, Chelsea Collection, Gifts</v>
      </c>
      <c r="AS185" s="12" t="str">
        <f>IFERROR(_xlfn.LET(_xlpm.v,INDEX('product-export-27-8-2026'!$A:$AJ,MATCH($A185,'product-export-27-8-2026'!$A:$A,0),MATCH(AS$1,'product-export-27-8-2026'!$1:$1,0)),IF(_xlpm.v="","",_xlpm.v)),"")</f>
        <v>Chelsea Leather Slim Card Holder</v>
      </c>
      <c r="BC185" s="15"/>
    </row>
    <row r="186" spans="1:55" s="14" customFormat="1" ht="27.6" customHeight="1" x14ac:dyDescent="0.3">
      <c r="A186" s="11">
        <v>4797</v>
      </c>
      <c r="B186" s="12" t="s">
        <v>515</v>
      </c>
      <c r="C186" s="12" t="s">
        <v>220</v>
      </c>
      <c r="D186" s="12" t="s">
        <v>273</v>
      </c>
      <c r="E186" s="13" t="s">
        <v>570</v>
      </c>
      <c r="F186" s="12" t="s">
        <v>271</v>
      </c>
      <c r="G186" s="12" t="s">
        <v>270</v>
      </c>
      <c r="H186" s="12" t="s">
        <v>696</v>
      </c>
      <c r="I186" s="12"/>
      <c r="J186" s="12" t="s">
        <v>576</v>
      </c>
      <c r="K186" s="12"/>
      <c r="L186" s="60"/>
      <c r="M186" s="26">
        <v>11.99</v>
      </c>
      <c r="N186" s="18" t="s">
        <v>1546</v>
      </c>
      <c r="O186" s="56">
        <f t="shared" si="17"/>
        <v>11.24</v>
      </c>
      <c r="P186" s="56">
        <f t="shared" si="17"/>
        <v>10.25</v>
      </c>
      <c r="Q186" s="56">
        <f t="shared" si="17"/>
        <v>6.7</v>
      </c>
      <c r="R186" s="56">
        <f t="shared" si="17"/>
        <v>5.58</v>
      </c>
      <c r="S186" s="56">
        <f t="shared" si="17"/>
        <v>4.62</v>
      </c>
      <c r="T186" s="56">
        <f t="shared" si="17"/>
        <v>3.82</v>
      </c>
      <c r="U186" s="56">
        <f t="shared" si="17"/>
        <v>3.32</v>
      </c>
      <c r="V186" s="56">
        <f t="shared" si="17"/>
        <v>3.19</v>
      </c>
      <c r="W186" s="56">
        <f t="shared" si="17"/>
        <v>2.94</v>
      </c>
      <c r="X186" s="30" t="str" cm="1">
        <f t="array" ref="X186">IF(Y186="","",_xlfn.TEXTJOIN(";",TRUE,SUBSTITUTE($Y$1:$AG$1,"Qty ","")&amp;":"&amp;TEXT(Y186:AG186,"0.00"))&amp;";")</f>
        <v>1:14.66;10:12.88;25:8.53;50:7.08;100:6.00;250:5.08;500:4.52;750:4.36;1000:4.08;</v>
      </c>
      <c r="Y186" s="56">
        <f>'Blocking Prices'!$C$14+O186</f>
        <v>14.66</v>
      </c>
      <c r="Z186" s="56">
        <f>'Blocking Prices'!$D$14+P186</f>
        <v>12.879999999999999</v>
      </c>
      <c r="AA186" s="56">
        <f>'Blocking Prices'!$E$14+Q186</f>
        <v>8.5300000000000011</v>
      </c>
      <c r="AB186" s="56">
        <f>'Blocking Prices'!$F$14+R186</f>
        <v>7.08</v>
      </c>
      <c r="AC186" s="56">
        <f>'Blocking Prices'!$G$14+S186</f>
        <v>6</v>
      </c>
      <c r="AD186" s="56">
        <f>'Blocking Prices'!$H$14+T186</f>
        <v>5.08</v>
      </c>
      <c r="AE186" s="56">
        <f>'Blocking Prices'!$I$14+U186</f>
        <v>4.5199999999999996</v>
      </c>
      <c r="AF186" s="56">
        <f>'Blocking Prices'!$J$14+V186</f>
        <v>4.3599999999999994</v>
      </c>
      <c r="AG186" s="56">
        <f>'Blocking Prices'!$K$14+W186</f>
        <v>4.08</v>
      </c>
      <c r="AH186" s="11"/>
      <c r="AI186" s="11"/>
      <c r="AJ186" s="11"/>
      <c r="AK186" s="11"/>
      <c r="AL186" s="12" t="s">
        <v>1356</v>
      </c>
      <c r="AM186" s="12" t="s">
        <v>1357</v>
      </c>
      <c r="AN186" s="12" t="str">
        <f>IFERROR(_xlfn.LET(_xlpm.v,INDEX('product-export-27-8-2026'!$A:$AJ,MATCH($A186,'product-export-27-8-2026'!$A:$A,0),MATCH(AN$1,'product-export-27-8-2026'!$1:$1,0)),IF(_xlpm.v="","",_xlpm.v)),"")</f>
        <v/>
      </c>
      <c r="AO186" s="12" t="str">
        <f>IFERROR(_xlfn.LET(_xlpm.v,INDEX('product-export-27-8-2026'!$A:$AJ,MATCH($A186,'product-export-27-8-2026'!$A:$A,0),MATCH(AO$1,'product-export-27-8-2026'!$1:$1,0)),IF(_xlpm.v="","",_xlpm.v)),"")</f>
        <v/>
      </c>
      <c r="AP186" s="12" t="str">
        <f>IFERROR(_xlfn.LET(_xlpm.v,INDEX('product-export-27-8-2026'!$A:$AJ,MATCH($A186,'product-export-27-8-2026'!$A:$A,0),MATCH(AP$1,'product-export-27-8-2026'!$1:$1,0)),IF(_xlpm.v="","",_xlpm.v)),"")</f>
        <v/>
      </c>
      <c r="AQ186" s="12" t="str">
        <f>IFERROR(_xlfn.LET(_xlpm.v,INDEX('product-export-27-8-2026'!$A:$AJ,MATCH($A186,'product-export-27-8-2026'!$A:$A,0),MATCH(AQ$1,'product-export-27-8-2026'!$1:$1,0)),IF(_xlpm.v="","",_xlpm.v)),"")</f>
        <v/>
      </c>
      <c r="AR186" s="12" t="str">
        <f>IFERROR(_xlfn.LET(_xlpm.v,INDEX('product-export-27-8-2026'!$A:$AJ,MATCH($A186,'product-export-27-8-2026'!$A:$A,0),MATCH(AR$1,'product-export-27-8-2026'!$1:$1,0)),IF(_xlpm.v="","",_xlpm.v)),"")</f>
        <v>Card Holder, Chelsea Collection, Gifts</v>
      </c>
      <c r="AS186" s="12" t="str">
        <f>IFERROR(_xlfn.LET(_xlpm.v,INDEX('product-export-27-8-2026'!$A:$AJ,MATCH($A186,'product-export-27-8-2026'!$A:$A,0),MATCH(AS$1,'product-export-27-8-2026'!$1:$1,0)),IF(_xlpm.v="","",_xlpm.v)),"")</f>
        <v>Chelsea Leather Slim Card Holder</v>
      </c>
      <c r="BC186" s="15"/>
    </row>
    <row r="187" spans="1:55" s="14" customFormat="1" ht="27.6" customHeight="1" x14ac:dyDescent="0.3">
      <c r="A187" s="11">
        <v>4798</v>
      </c>
      <c r="B187" s="12" t="s">
        <v>516</v>
      </c>
      <c r="C187" s="12" t="s">
        <v>220</v>
      </c>
      <c r="D187" s="12" t="s">
        <v>274</v>
      </c>
      <c r="E187" s="13" t="s">
        <v>571</v>
      </c>
      <c r="F187" s="12" t="s">
        <v>275</v>
      </c>
      <c r="G187" s="12" t="s">
        <v>221</v>
      </c>
      <c r="H187" s="12" t="s">
        <v>792</v>
      </c>
      <c r="I187" s="12"/>
      <c r="J187" s="12" t="s">
        <v>576</v>
      </c>
      <c r="K187" s="12"/>
      <c r="L187" s="60"/>
      <c r="M187" s="26">
        <v>5.5</v>
      </c>
      <c r="N187" s="18" t="s">
        <v>223</v>
      </c>
      <c r="O187" s="56">
        <f t="shared" si="17"/>
        <v>6.41</v>
      </c>
      <c r="P187" s="56">
        <f t="shared" si="17"/>
        <v>5.95</v>
      </c>
      <c r="Q187" s="56">
        <f t="shared" si="17"/>
        <v>3.47</v>
      </c>
      <c r="R187" s="56">
        <f t="shared" si="17"/>
        <v>2.89</v>
      </c>
      <c r="S187" s="56">
        <f t="shared" si="17"/>
        <v>2.42</v>
      </c>
      <c r="T187" s="56">
        <f t="shared" si="17"/>
        <v>2.02</v>
      </c>
      <c r="U187" s="56">
        <f t="shared" si="17"/>
        <v>1.79</v>
      </c>
      <c r="V187" s="56">
        <f t="shared" si="17"/>
        <v>1.71</v>
      </c>
      <c r="W187" s="56">
        <f t="shared" si="17"/>
        <v>1.6</v>
      </c>
      <c r="X187" s="30" t="str" cm="1">
        <f t="array" ref="X187">IF(Y187="","",_xlfn.TEXTJOIN(";",TRUE,SUBSTITUTE($Y$1:$AG$1,"Qty ","")&amp;":"&amp;TEXT(Y187:AG187,"0.00"))&amp;";")</f>
        <v>1:9.83;10:8.58;25:5.30;50:4.39;100:3.80;250:3.28;500:2.99;750:2.88;1000:2.74;</v>
      </c>
      <c r="Y187" s="56">
        <f>'Blocking Prices'!$C$14+O187</f>
        <v>9.83</v>
      </c>
      <c r="Z187" s="56">
        <f>'Blocking Prices'!$D$14+P187</f>
        <v>8.58</v>
      </c>
      <c r="AA187" s="56">
        <f>'Blocking Prices'!$E$14+Q187</f>
        <v>5.3000000000000007</v>
      </c>
      <c r="AB187" s="56">
        <f>'Blocking Prices'!$F$14+R187</f>
        <v>4.3900000000000006</v>
      </c>
      <c r="AC187" s="56">
        <f>'Blocking Prices'!$G$14+S187</f>
        <v>3.8</v>
      </c>
      <c r="AD187" s="56">
        <f>'Blocking Prices'!$H$14+T187</f>
        <v>3.2800000000000002</v>
      </c>
      <c r="AE187" s="56">
        <f>'Blocking Prices'!$I$14+U187</f>
        <v>2.99</v>
      </c>
      <c r="AF187" s="56">
        <f>'Blocking Prices'!$J$14+V187</f>
        <v>2.88</v>
      </c>
      <c r="AG187" s="56">
        <f>'Blocking Prices'!$K$14+W187</f>
        <v>2.74</v>
      </c>
      <c r="AH187" s="11"/>
      <c r="AI187" s="11"/>
      <c r="AJ187" s="11"/>
      <c r="AK187" s="11"/>
      <c r="AL187" s="12" t="s">
        <v>1364</v>
      </c>
      <c r="AM187" s="12" t="s">
        <v>1365</v>
      </c>
      <c r="AN187" s="12" t="str">
        <f>IFERROR(_xlfn.LET(_xlpm.v,INDEX('product-export-27-8-2026'!$A:$AJ,MATCH($A187,'product-export-27-8-2026'!$A:$A,0),MATCH(AN$1,'product-export-27-8-2026'!$1:$1,0)),IF(_xlpm.v="","",_xlpm.v)),"")</f>
        <v/>
      </c>
      <c r="AO187" s="12" t="str">
        <f>IFERROR(_xlfn.LET(_xlpm.v,INDEX('product-export-27-8-2026'!$A:$AJ,MATCH($A187,'product-export-27-8-2026'!$A:$A,0),MATCH(AO$1,'product-export-27-8-2026'!$1:$1,0)),IF(_xlpm.v="","",_xlpm.v)),"")</f>
        <v/>
      </c>
      <c r="AP187" s="12" t="str">
        <f>IFERROR(_xlfn.LET(_xlpm.v,INDEX('product-export-27-8-2026'!$A:$AJ,MATCH($A187,'product-export-27-8-2026'!$A:$A,0),MATCH(AP$1,'product-export-27-8-2026'!$1:$1,0)),IF(_xlpm.v="","",_xlpm.v)),"")</f>
        <v/>
      </c>
      <c r="AQ187" s="12" t="str">
        <f>IFERROR(_xlfn.LET(_xlpm.v,INDEX('product-export-27-8-2026'!$A:$AJ,MATCH($A187,'product-export-27-8-2026'!$A:$A,0),MATCH(AQ$1,'product-export-27-8-2026'!$1:$1,0)),IF(_xlpm.v="","",_xlpm.v)),"")</f>
        <v/>
      </c>
      <c r="AR187" s="12" t="str">
        <f>IFERROR(_xlfn.LET(_xlpm.v,INDEX('product-export-27-8-2026'!$A:$AJ,MATCH($A187,'product-export-27-8-2026'!$A:$A,0),MATCH(AR$1,'product-export-27-8-2026'!$1:$1,0)),IF(_xlpm.v="","",_xlpm.v)),"")</f>
        <v>Card Holder, Gifts, Harrogate Collection</v>
      </c>
      <c r="AS187" s="12" t="str">
        <f>IFERROR(_xlfn.LET(_xlpm.v,INDEX('product-export-27-8-2026'!$A:$AJ,MATCH($A187,'product-export-27-8-2026'!$A:$A,0),MATCH(AS$1,'product-export-27-8-2026'!$1:$1,0)),IF(_xlpm.v="","",_xlpm.v)),"")</f>
        <v>Harrogate Collection Faux Leather Card Holder</v>
      </c>
      <c r="BC187" s="15"/>
    </row>
    <row r="188" spans="1:55" s="14" customFormat="1" ht="27.6" customHeight="1" x14ac:dyDescent="0.3">
      <c r="A188" s="11">
        <v>4801</v>
      </c>
      <c r="B188" s="12" t="s">
        <v>517</v>
      </c>
      <c r="C188" s="12" t="s">
        <v>220</v>
      </c>
      <c r="D188" s="12" t="s">
        <v>276</v>
      </c>
      <c r="E188" s="13" t="s">
        <v>572</v>
      </c>
      <c r="F188" s="12" t="s">
        <v>275</v>
      </c>
      <c r="G188" s="12" t="s">
        <v>221</v>
      </c>
      <c r="H188" s="12" t="s">
        <v>696</v>
      </c>
      <c r="I188" s="12"/>
      <c r="J188" s="12" t="s">
        <v>576</v>
      </c>
      <c r="K188" s="12"/>
      <c r="L188" s="60"/>
      <c r="M188" s="26">
        <v>5.5</v>
      </c>
      <c r="N188" s="18" t="s">
        <v>223</v>
      </c>
      <c r="O188" s="56">
        <f t="shared" si="17"/>
        <v>6.41</v>
      </c>
      <c r="P188" s="56">
        <f t="shared" si="17"/>
        <v>5.95</v>
      </c>
      <c r="Q188" s="56">
        <f t="shared" si="17"/>
        <v>3.47</v>
      </c>
      <c r="R188" s="56">
        <f t="shared" si="17"/>
        <v>2.89</v>
      </c>
      <c r="S188" s="56">
        <f t="shared" si="17"/>
        <v>2.42</v>
      </c>
      <c r="T188" s="56">
        <f t="shared" si="17"/>
        <v>2.02</v>
      </c>
      <c r="U188" s="56">
        <f t="shared" si="17"/>
        <v>1.79</v>
      </c>
      <c r="V188" s="56">
        <f t="shared" si="17"/>
        <v>1.71</v>
      </c>
      <c r="W188" s="56">
        <f t="shared" si="17"/>
        <v>1.6</v>
      </c>
      <c r="X188" s="30" t="str" cm="1">
        <f t="array" ref="X188">IF(Y188="","",_xlfn.TEXTJOIN(";",TRUE,SUBSTITUTE($Y$1:$AG$1,"Qty ","")&amp;":"&amp;TEXT(Y188:AG188,"0.00"))&amp;";")</f>
        <v>1:9.83;10:8.58;25:5.30;50:4.39;100:3.80;250:3.28;500:2.99;750:2.88;1000:2.74;</v>
      </c>
      <c r="Y188" s="56">
        <f>'Blocking Prices'!$C$14+O188</f>
        <v>9.83</v>
      </c>
      <c r="Z188" s="56">
        <f>'Blocking Prices'!$D$14+P188</f>
        <v>8.58</v>
      </c>
      <c r="AA188" s="56">
        <f>'Blocking Prices'!$E$14+Q188</f>
        <v>5.3000000000000007</v>
      </c>
      <c r="AB188" s="56">
        <f>'Blocking Prices'!$F$14+R188</f>
        <v>4.3900000000000006</v>
      </c>
      <c r="AC188" s="56">
        <f>'Blocking Prices'!$G$14+S188</f>
        <v>3.8</v>
      </c>
      <c r="AD188" s="56">
        <f>'Blocking Prices'!$H$14+T188</f>
        <v>3.2800000000000002</v>
      </c>
      <c r="AE188" s="56">
        <f>'Blocking Prices'!$I$14+U188</f>
        <v>2.99</v>
      </c>
      <c r="AF188" s="56">
        <f>'Blocking Prices'!$J$14+V188</f>
        <v>2.88</v>
      </c>
      <c r="AG188" s="56">
        <f>'Blocking Prices'!$K$14+W188</f>
        <v>2.74</v>
      </c>
      <c r="AH188" s="11"/>
      <c r="AI188" s="11"/>
      <c r="AJ188" s="11"/>
      <c r="AK188" s="11"/>
      <c r="AL188" s="12" t="s">
        <v>1364</v>
      </c>
      <c r="AM188" s="12" t="s">
        <v>1365</v>
      </c>
      <c r="AN188" s="12" t="str">
        <f>IFERROR(_xlfn.LET(_xlpm.v,INDEX('product-export-27-8-2026'!$A:$AJ,MATCH($A188,'product-export-27-8-2026'!$A:$A,0),MATCH(AN$1,'product-export-27-8-2026'!$1:$1,0)),IF(_xlpm.v="","",_xlpm.v)),"")</f>
        <v/>
      </c>
      <c r="AO188" s="12" t="str">
        <f>IFERROR(_xlfn.LET(_xlpm.v,INDEX('product-export-27-8-2026'!$A:$AJ,MATCH($A188,'product-export-27-8-2026'!$A:$A,0),MATCH(AO$1,'product-export-27-8-2026'!$1:$1,0)),IF(_xlpm.v="","",_xlpm.v)),"")</f>
        <v/>
      </c>
      <c r="AP188" s="12" t="str">
        <f>IFERROR(_xlfn.LET(_xlpm.v,INDEX('product-export-27-8-2026'!$A:$AJ,MATCH($A188,'product-export-27-8-2026'!$A:$A,0),MATCH(AP$1,'product-export-27-8-2026'!$1:$1,0)),IF(_xlpm.v="","",_xlpm.v)),"")</f>
        <v/>
      </c>
      <c r="AQ188" s="12" t="str">
        <f>IFERROR(_xlfn.LET(_xlpm.v,INDEX('product-export-27-8-2026'!$A:$AJ,MATCH($A188,'product-export-27-8-2026'!$A:$A,0),MATCH(AQ$1,'product-export-27-8-2026'!$1:$1,0)),IF(_xlpm.v="","",_xlpm.v)),"")</f>
        <v/>
      </c>
      <c r="AR188" s="12" t="str">
        <f>IFERROR(_xlfn.LET(_xlpm.v,INDEX('product-export-27-8-2026'!$A:$AJ,MATCH($A188,'product-export-27-8-2026'!$A:$A,0),MATCH(AR$1,'product-export-27-8-2026'!$1:$1,0)),IF(_xlpm.v="","",_xlpm.v)),"")</f>
        <v>Card Holder, Gifts, Harrogate Collection</v>
      </c>
      <c r="AS188" s="12" t="str">
        <f>IFERROR(_xlfn.LET(_xlpm.v,INDEX('product-export-27-8-2026'!$A:$AJ,MATCH($A188,'product-export-27-8-2026'!$A:$A,0),MATCH(AS$1,'product-export-27-8-2026'!$1:$1,0)),IF(_xlpm.v="","",_xlpm.v)),"")</f>
        <v>Harrogate Collection Faux Leather Card Holder</v>
      </c>
      <c r="BC188" s="15"/>
    </row>
    <row r="189" spans="1:55" s="14" customFormat="1" ht="27.6" customHeight="1" x14ac:dyDescent="0.3">
      <c r="A189" s="11">
        <v>4804</v>
      </c>
      <c r="B189" s="12" t="s">
        <v>518</v>
      </c>
      <c r="C189" s="12" t="s">
        <v>220</v>
      </c>
      <c r="D189" s="12" t="s">
        <v>277</v>
      </c>
      <c r="E189" s="13" t="s">
        <v>573</v>
      </c>
      <c r="F189" s="12" t="s">
        <v>275</v>
      </c>
      <c r="G189" s="12" t="s">
        <v>221</v>
      </c>
      <c r="H189" s="12" t="s">
        <v>728</v>
      </c>
      <c r="I189" s="12"/>
      <c r="J189" s="12" t="s">
        <v>576</v>
      </c>
      <c r="K189" s="12"/>
      <c r="L189" s="60"/>
      <c r="M189" s="26">
        <v>5.5</v>
      </c>
      <c r="N189" s="18" t="s">
        <v>223</v>
      </c>
      <c r="O189" s="56">
        <f t="shared" si="17"/>
        <v>6.41</v>
      </c>
      <c r="P189" s="56">
        <f t="shared" si="17"/>
        <v>5.95</v>
      </c>
      <c r="Q189" s="56">
        <f t="shared" si="17"/>
        <v>3.47</v>
      </c>
      <c r="R189" s="56">
        <f t="shared" si="17"/>
        <v>2.89</v>
      </c>
      <c r="S189" s="56">
        <f t="shared" si="17"/>
        <v>2.42</v>
      </c>
      <c r="T189" s="56">
        <f t="shared" si="17"/>
        <v>2.02</v>
      </c>
      <c r="U189" s="56">
        <f t="shared" si="17"/>
        <v>1.79</v>
      </c>
      <c r="V189" s="56">
        <f t="shared" si="17"/>
        <v>1.71</v>
      </c>
      <c r="W189" s="56">
        <f t="shared" si="17"/>
        <v>1.6</v>
      </c>
      <c r="X189" s="30" t="str" cm="1">
        <f t="array" ref="X189">IF(Y189="","",_xlfn.TEXTJOIN(";",TRUE,SUBSTITUTE($Y$1:$AG$1,"Qty ","")&amp;":"&amp;TEXT(Y189:AG189,"0.00"))&amp;";")</f>
        <v>1:9.83;10:8.58;25:5.30;50:4.39;100:3.80;250:3.28;500:2.99;750:2.88;1000:2.74;</v>
      </c>
      <c r="Y189" s="56">
        <f>'Blocking Prices'!$C$14+O189</f>
        <v>9.83</v>
      </c>
      <c r="Z189" s="56">
        <f>'Blocking Prices'!$D$14+P189</f>
        <v>8.58</v>
      </c>
      <c r="AA189" s="56">
        <f>'Blocking Prices'!$E$14+Q189</f>
        <v>5.3000000000000007</v>
      </c>
      <c r="AB189" s="56">
        <f>'Blocking Prices'!$F$14+R189</f>
        <v>4.3900000000000006</v>
      </c>
      <c r="AC189" s="56">
        <f>'Blocking Prices'!$G$14+S189</f>
        <v>3.8</v>
      </c>
      <c r="AD189" s="56">
        <f>'Blocking Prices'!$H$14+T189</f>
        <v>3.2800000000000002</v>
      </c>
      <c r="AE189" s="56">
        <f>'Blocking Prices'!$I$14+U189</f>
        <v>2.99</v>
      </c>
      <c r="AF189" s="56">
        <f>'Blocking Prices'!$J$14+V189</f>
        <v>2.88</v>
      </c>
      <c r="AG189" s="56">
        <f>'Blocking Prices'!$K$14+W189</f>
        <v>2.74</v>
      </c>
      <c r="AH189" s="11"/>
      <c r="AI189" s="11"/>
      <c r="AJ189" s="11"/>
      <c r="AK189" s="11"/>
      <c r="AL189" s="12" t="s">
        <v>1364</v>
      </c>
      <c r="AM189" s="12" t="s">
        <v>1365</v>
      </c>
      <c r="AN189" s="12" t="str">
        <f>IFERROR(_xlfn.LET(_xlpm.v,INDEX('product-export-27-8-2026'!$A:$AJ,MATCH($A189,'product-export-27-8-2026'!$A:$A,0),MATCH(AN$1,'product-export-27-8-2026'!$1:$1,0)),IF(_xlpm.v="","",_xlpm.v)),"")</f>
        <v/>
      </c>
      <c r="AO189" s="12" t="str">
        <f>IFERROR(_xlfn.LET(_xlpm.v,INDEX('product-export-27-8-2026'!$A:$AJ,MATCH($A189,'product-export-27-8-2026'!$A:$A,0),MATCH(AO$1,'product-export-27-8-2026'!$1:$1,0)),IF(_xlpm.v="","",_xlpm.v)),"")</f>
        <v/>
      </c>
      <c r="AP189" s="12" t="str">
        <f>IFERROR(_xlfn.LET(_xlpm.v,INDEX('product-export-27-8-2026'!$A:$AJ,MATCH($A189,'product-export-27-8-2026'!$A:$A,0),MATCH(AP$1,'product-export-27-8-2026'!$1:$1,0)),IF(_xlpm.v="","",_xlpm.v)),"")</f>
        <v/>
      </c>
      <c r="AQ189" s="12" t="str">
        <f>IFERROR(_xlfn.LET(_xlpm.v,INDEX('product-export-27-8-2026'!$A:$AJ,MATCH($A189,'product-export-27-8-2026'!$A:$A,0),MATCH(AQ$1,'product-export-27-8-2026'!$1:$1,0)),IF(_xlpm.v="","",_xlpm.v)),"")</f>
        <v/>
      </c>
      <c r="AR189" s="12" t="str">
        <f>IFERROR(_xlfn.LET(_xlpm.v,INDEX('product-export-27-8-2026'!$A:$AJ,MATCH($A189,'product-export-27-8-2026'!$A:$A,0),MATCH(AR$1,'product-export-27-8-2026'!$1:$1,0)),IF(_xlpm.v="","",_xlpm.v)),"")</f>
        <v>Card Holder, Gifts, Harrogate Collection</v>
      </c>
      <c r="AS189" s="12" t="str">
        <f>IFERROR(_xlfn.LET(_xlpm.v,INDEX('product-export-27-8-2026'!$A:$AJ,MATCH($A189,'product-export-27-8-2026'!$A:$A,0),MATCH(AS$1,'product-export-27-8-2026'!$1:$1,0)),IF(_xlpm.v="","",_xlpm.v)),"")</f>
        <v>Harrogate Collection Faux Leather Card Holder</v>
      </c>
      <c r="BC189" s="15"/>
    </row>
    <row r="190" spans="1:55" s="14" customFormat="1" ht="27.6" customHeight="1" x14ac:dyDescent="0.3">
      <c r="A190" s="11">
        <v>4805</v>
      </c>
      <c r="B190" s="12" t="s">
        <v>519</v>
      </c>
      <c r="C190" s="12" t="s">
        <v>220</v>
      </c>
      <c r="D190" s="12" t="s">
        <v>278</v>
      </c>
      <c r="E190" s="13" t="s">
        <v>574</v>
      </c>
      <c r="F190" s="12" t="s">
        <v>279</v>
      </c>
      <c r="G190" s="12" t="s">
        <v>221</v>
      </c>
      <c r="H190" s="12" t="s">
        <v>672</v>
      </c>
      <c r="I190" s="12"/>
      <c r="J190" s="12" t="s">
        <v>576</v>
      </c>
      <c r="K190" s="12"/>
      <c r="L190" s="60"/>
      <c r="M190" s="26">
        <v>6.99</v>
      </c>
      <c r="N190" s="18" t="s">
        <v>264</v>
      </c>
      <c r="O190" s="56">
        <f t="shared" si="17"/>
        <v>7.49</v>
      </c>
      <c r="P190" s="56">
        <f t="shared" si="17"/>
        <v>6.91</v>
      </c>
      <c r="Q190" s="56">
        <f t="shared" si="17"/>
        <v>4.2</v>
      </c>
      <c r="R190" s="56">
        <f t="shared" si="17"/>
        <v>3.5</v>
      </c>
      <c r="S190" s="56">
        <f t="shared" si="17"/>
        <v>2.91</v>
      </c>
      <c r="T190" s="56">
        <f t="shared" si="17"/>
        <v>2.42</v>
      </c>
      <c r="U190" s="56">
        <f t="shared" si="17"/>
        <v>2.13</v>
      </c>
      <c r="V190" s="56">
        <f t="shared" si="17"/>
        <v>2.04</v>
      </c>
      <c r="W190" s="56">
        <f t="shared" si="17"/>
        <v>1.9</v>
      </c>
      <c r="X190" s="30" t="str" cm="1">
        <f t="array" ref="X190">IF(Y190="","",_xlfn.TEXTJOIN(";",TRUE,SUBSTITUTE($Y$1:$AG$1,"Qty ","")&amp;":"&amp;TEXT(Y190:AG190,"0.00"))&amp;";")</f>
        <v>1:10.91;10:9.54;25:6.03;50:5.00;100:4.29;250:3.68;500:3.33;750:3.21;1000:3.04;</v>
      </c>
      <c r="Y190" s="56">
        <f>'Blocking Prices'!$C$14+O190</f>
        <v>10.91</v>
      </c>
      <c r="Z190" s="56">
        <f>'Blocking Prices'!$D$14+P190</f>
        <v>9.5399999999999991</v>
      </c>
      <c r="AA190" s="56">
        <f>'Blocking Prices'!$E$14+Q190</f>
        <v>6.03</v>
      </c>
      <c r="AB190" s="56">
        <f>'Blocking Prices'!$F$14+R190</f>
        <v>5</v>
      </c>
      <c r="AC190" s="56">
        <f>'Blocking Prices'!$G$14+S190</f>
        <v>4.29</v>
      </c>
      <c r="AD190" s="56">
        <f>'Blocking Prices'!$H$14+T190</f>
        <v>3.6799999999999997</v>
      </c>
      <c r="AE190" s="56">
        <f>'Blocking Prices'!$I$14+U190</f>
        <v>3.33</v>
      </c>
      <c r="AF190" s="56">
        <f>'Blocking Prices'!$J$14+V190</f>
        <v>3.21</v>
      </c>
      <c r="AG190" s="56">
        <f>'Blocking Prices'!$K$14+W190</f>
        <v>3.04</v>
      </c>
      <c r="AH190" s="11"/>
      <c r="AI190" s="11"/>
      <c r="AJ190" s="11"/>
      <c r="AK190" s="11"/>
      <c r="AL190" s="12" t="s">
        <v>1376</v>
      </c>
      <c r="AM190" s="12" t="s">
        <v>1377</v>
      </c>
      <c r="AN190" s="12" t="str">
        <f>IFERROR(_xlfn.LET(_xlpm.v,INDEX('product-export-27-8-2026'!$A:$AJ,MATCH($A190,'product-export-27-8-2026'!$A:$A,0),MATCH(AN$1,'product-export-27-8-2026'!$1:$1,0)),IF(_xlpm.v="","",_xlpm.v)),"")</f>
        <v/>
      </c>
      <c r="AO190" s="12" t="str">
        <f>IFERROR(_xlfn.LET(_xlpm.v,INDEX('product-export-27-8-2026'!$A:$AJ,MATCH($A190,'product-export-27-8-2026'!$A:$A,0),MATCH(AO$1,'product-export-27-8-2026'!$1:$1,0)),IF(_xlpm.v="","",_xlpm.v)),"")</f>
        <v/>
      </c>
      <c r="AP190" s="12" t="str">
        <f>IFERROR(_xlfn.LET(_xlpm.v,INDEX('product-export-27-8-2026'!$A:$AJ,MATCH($A190,'product-export-27-8-2026'!$A:$A,0),MATCH(AP$1,'product-export-27-8-2026'!$1:$1,0)),IF(_xlpm.v="","",_xlpm.v)),"")</f>
        <v/>
      </c>
      <c r="AQ190" s="12" t="str">
        <f>IFERROR(_xlfn.LET(_xlpm.v,INDEX('product-export-27-8-2026'!$A:$AJ,MATCH($A190,'product-export-27-8-2026'!$A:$A,0),MATCH(AQ$1,'product-export-27-8-2026'!$1:$1,0)),IF(_xlpm.v="","",_xlpm.v)),"")</f>
        <v/>
      </c>
      <c r="AR190" s="12" t="str">
        <f>IFERROR(_xlfn.LET(_xlpm.v,INDEX('product-export-27-8-2026'!$A:$AJ,MATCH($A190,'product-export-27-8-2026'!$A:$A,0),MATCH(AR$1,'product-export-27-8-2026'!$1:$1,0)),IF(_xlpm.v="","",_xlpm.v)),"")</f>
        <v>Card Holder, Gifts, Windsor Collection</v>
      </c>
      <c r="AS190" s="12" t="str">
        <f>IFERROR(_xlfn.LET(_xlpm.v,INDEX('product-export-27-8-2026'!$A:$AJ,MATCH($A190,'product-export-27-8-2026'!$A:$A,0),MATCH(AS$1,'product-export-27-8-2026'!$1:$1,0)),IF(_xlpm.v="","",_xlpm.v)),"")</f>
        <v>Windsor Hide Leather Membership/Oyster Card Holder</v>
      </c>
      <c r="BC190" s="15"/>
    </row>
    <row r="191" spans="1:55" s="14" customFormat="1" ht="27.6" customHeight="1" x14ac:dyDescent="0.3">
      <c r="A191" s="11">
        <v>4809</v>
      </c>
      <c r="B191" s="12" t="s">
        <v>520</v>
      </c>
      <c r="C191" s="12" t="s">
        <v>220</v>
      </c>
      <c r="D191" s="12" t="s">
        <v>280</v>
      </c>
      <c r="E191" s="13" t="s">
        <v>575</v>
      </c>
      <c r="F191" s="12" t="s">
        <v>279</v>
      </c>
      <c r="G191" s="12" t="s">
        <v>221</v>
      </c>
      <c r="H191" s="12" t="s">
        <v>1595</v>
      </c>
      <c r="I191" s="12"/>
      <c r="J191" s="12" t="s">
        <v>576</v>
      </c>
      <c r="K191" s="12"/>
      <c r="L191" s="60"/>
      <c r="M191" s="26">
        <v>6.99</v>
      </c>
      <c r="N191" s="18" t="s">
        <v>264</v>
      </c>
      <c r="O191" s="56">
        <f t="shared" si="17"/>
        <v>7.49</v>
      </c>
      <c r="P191" s="56">
        <f t="shared" si="17"/>
        <v>6.91</v>
      </c>
      <c r="Q191" s="56">
        <f t="shared" si="17"/>
        <v>4.2</v>
      </c>
      <c r="R191" s="56">
        <f t="shared" si="17"/>
        <v>3.5</v>
      </c>
      <c r="S191" s="56">
        <f t="shared" si="17"/>
        <v>2.91</v>
      </c>
      <c r="T191" s="56">
        <f t="shared" si="17"/>
        <v>2.42</v>
      </c>
      <c r="U191" s="56">
        <f t="shared" si="17"/>
        <v>2.13</v>
      </c>
      <c r="V191" s="56">
        <f t="shared" si="17"/>
        <v>2.04</v>
      </c>
      <c r="W191" s="56">
        <f t="shared" si="17"/>
        <v>1.9</v>
      </c>
      <c r="X191" s="30" t="str" cm="1">
        <f t="array" ref="X191">IF(Y191="","",_xlfn.TEXTJOIN(";",TRUE,SUBSTITUTE($Y$1:$AG$1,"Qty ","")&amp;":"&amp;TEXT(Y191:AG191,"0.00"))&amp;";")</f>
        <v>1:10.91;10:9.54;25:6.03;50:5.00;100:4.29;250:3.68;500:3.33;750:3.21;1000:3.04;</v>
      </c>
      <c r="Y191" s="56">
        <f>'Blocking Prices'!$C$14+O191</f>
        <v>10.91</v>
      </c>
      <c r="Z191" s="56">
        <f>'Blocking Prices'!$D$14+P191</f>
        <v>9.5399999999999991</v>
      </c>
      <c r="AA191" s="56">
        <f>'Blocking Prices'!$E$14+Q191</f>
        <v>6.03</v>
      </c>
      <c r="AB191" s="56">
        <f>'Blocking Prices'!$F$14+R191</f>
        <v>5</v>
      </c>
      <c r="AC191" s="56">
        <f>'Blocking Prices'!$G$14+S191</f>
        <v>4.29</v>
      </c>
      <c r="AD191" s="56">
        <f>'Blocking Prices'!$H$14+T191</f>
        <v>3.6799999999999997</v>
      </c>
      <c r="AE191" s="56">
        <f>'Blocking Prices'!$I$14+U191</f>
        <v>3.33</v>
      </c>
      <c r="AF191" s="56">
        <f>'Blocking Prices'!$J$14+V191</f>
        <v>3.21</v>
      </c>
      <c r="AG191" s="56">
        <f>'Blocking Prices'!$K$14+W191</f>
        <v>3.04</v>
      </c>
      <c r="AH191" s="11"/>
      <c r="AI191" s="11"/>
      <c r="AJ191" s="11"/>
      <c r="AK191" s="11"/>
      <c r="AL191" s="12" t="s">
        <v>1376</v>
      </c>
      <c r="AM191" s="12" t="s">
        <v>1377</v>
      </c>
      <c r="AN191" s="12" t="str">
        <f>IFERROR(_xlfn.LET(_xlpm.v,INDEX('product-export-27-8-2026'!$A:$AJ,MATCH($A191,'product-export-27-8-2026'!$A:$A,0),MATCH(AN$1,'product-export-27-8-2026'!$1:$1,0)),IF(_xlpm.v="","",_xlpm.v)),"")</f>
        <v/>
      </c>
      <c r="AO191" s="12" t="str">
        <f>IFERROR(_xlfn.LET(_xlpm.v,INDEX('product-export-27-8-2026'!$A:$AJ,MATCH($A191,'product-export-27-8-2026'!$A:$A,0),MATCH(AO$1,'product-export-27-8-2026'!$1:$1,0)),IF(_xlpm.v="","",_xlpm.v)),"")</f>
        <v/>
      </c>
      <c r="AP191" s="12" t="str">
        <f>IFERROR(_xlfn.LET(_xlpm.v,INDEX('product-export-27-8-2026'!$A:$AJ,MATCH($A191,'product-export-27-8-2026'!$A:$A,0),MATCH(AP$1,'product-export-27-8-2026'!$1:$1,0)),IF(_xlpm.v="","",_xlpm.v)),"")</f>
        <v/>
      </c>
      <c r="AQ191" s="12" t="str">
        <f>IFERROR(_xlfn.LET(_xlpm.v,INDEX('product-export-27-8-2026'!$A:$AJ,MATCH($A191,'product-export-27-8-2026'!$A:$A,0),MATCH(AQ$1,'product-export-27-8-2026'!$1:$1,0)),IF(_xlpm.v="","",_xlpm.v)),"")</f>
        <v/>
      </c>
      <c r="AR191" s="12" t="str">
        <f>IFERROR(_xlfn.LET(_xlpm.v,INDEX('product-export-27-8-2026'!$A:$AJ,MATCH($A191,'product-export-27-8-2026'!$A:$A,0),MATCH(AR$1,'product-export-27-8-2026'!$1:$1,0)),IF(_xlpm.v="","",_xlpm.v)),"")</f>
        <v>Card Holder, Gifts, Windsor Collection</v>
      </c>
      <c r="AS191" s="12" t="str">
        <f>IFERROR(_xlfn.LET(_xlpm.v,INDEX('product-export-27-8-2026'!$A:$AJ,MATCH($A191,'product-export-27-8-2026'!$A:$A,0),MATCH(AS$1,'product-export-27-8-2026'!$1:$1,0)),IF(_xlpm.v="","",_xlpm.v)),"")</f>
        <v>Windsor Hide Leather Membership/Oyster Card Holder</v>
      </c>
      <c r="BC191" s="15"/>
    </row>
    <row r="192" spans="1:55" s="20" customFormat="1" ht="27.6" customHeight="1" x14ac:dyDescent="0.3">
      <c r="A192" s="17">
        <v>4810</v>
      </c>
      <c r="B192" s="18" t="s">
        <v>521</v>
      </c>
      <c r="C192" s="18" t="s">
        <v>282</v>
      </c>
      <c r="D192" s="18" t="s">
        <v>281</v>
      </c>
      <c r="E192" s="19" t="s">
        <v>576</v>
      </c>
      <c r="F192" s="18" t="s">
        <v>284</v>
      </c>
      <c r="G192" s="18" t="s">
        <v>283</v>
      </c>
      <c r="H192" s="18" t="s">
        <v>672</v>
      </c>
      <c r="I192" s="18"/>
      <c r="J192" s="18" t="s">
        <v>576</v>
      </c>
      <c r="K192" s="18"/>
      <c r="L192" s="54"/>
      <c r="M192" s="17">
        <v>14.99</v>
      </c>
      <c r="N192" s="18" t="s">
        <v>285</v>
      </c>
      <c r="O192" s="58">
        <f t="shared" ref="O192:W201" si="18">IFERROR(VALUE(_xlfn.TEXTBEFORE(_xlfn.TEXTAFTER(";"&amp;$N192,";"&amp;SUBSTITUTE(O$1,"Qty ","")&amp;":"),";")),"")</f>
        <v>13.14</v>
      </c>
      <c r="P192" s="58">
        <f t="shared" si="18"/>
        <v>12.11</v>
      </c>
      <c r="Q192" s="58">
        <f t="shared" si="18"/>
        <v>8.1</v>
      </c>
      <c r="R192" s="58">
        <f t="shared" si="18"/>
        <v>6.75</v>
      </c>
      <c r="S192" s="58">
        <f t="shared" si="18"/>
        <v>5.58</v>
      </c>
      <c r="T192" s="58">
        <f t="shared" si="18"/>
        <v>4.5999999999999996</v>
      </c>
      <c r="U192" s="58">
        <f t="shared" si="18"/>
        <v>3.98</v>
      </c>
      <c r="V192" s="58">
        <f t="shared" si="18"/>
        <v>3.83</v>
      </c>
      <c r="W192" s="58">
        <f t="shared" si="18"/>
        <v>3.52</v>
      </c>
      <c r="X192" s="31" t="str" cm="1">
        <f t="array" ref="X192">IF(Y192="","",_xlfn.TEXTJOIN(";",TRUE,SUBSTITUTE($Y$1:$AG$1,"Qty ","")&amp;":"&amp;TEXT(Y192:AG192,"0.00"))&amp;";")</f>
        <v>1:18.36;10:16.51;25:11.67;50:9.72;100:8.31;250:6.98;500:6.35;750:6.14;1000:5.77;</v>
      </c>
      <c r="Y192" s="56">
        <f>'Blocking Prices'!$C$15+O192</f>
        <v>18.36</v>
      </c>
      <c r="Z192" s="56">
        <f>'Blocking Prices'!$D$15+P192</f>
        <v>16.509999999999998</v>
      </c>
      <c r="AA192" s="56">
        <f>'Blocking Prices'!$E$15+Q192</f>
        <v>11.67</v>
      </c>
      <c r="AB192" s="56">
        <f>'Blocking Prices'!$F$15+R192</f>
        <v>9.7200000000000006</v>
      </c>
      <c r="AC192" s="56">
        <f>'Blocking Prices'!$G$15+S192</f>
        <v>8.31</v>
      </c>
      <c r="AD192" s="56">
        <f>'Blocking Prices'!$H$15+T192</f>
        <v>6.9799999999999995</v>
      </c>
      <c r="AE192" s="56">
        <f>'Blocking Prices'!$I$15+U192</f>
        <v>6.35</v>
      </c>
      <c r="AF192" s="56">
        <f>'Blocking Prices'!$J$15+V192</f>
        <v>6.1400000000000006</v>
      </c>
      <c r="AG192" s="56">
        <f>'Blocking Prices'!$K$15+W192</f>
        <v>5.77</v>
      </c>
      <c r="AH192" s="17"/>
      <c r="AI192" s="17"/>
      <c r="AJ192" s="17"/>
      <c r="AK192" s="17"/>
      <c r="AL192" s="18" t="s">
        <v>1385</v>
      </c>
      <c r="AM192" s="18" t="s">
        <v>1386</v>
      </c>
      <c r="AN192" s="18" t="str">
        <f>IFERROR(_xlfn.LET(_xlpm.v,INDEX('product-export-27-8-2026'!$A:$AJ,MATCH($A192,'product-export-27-8-2026'!$A:$A,0),MATCH(AN$1,'product-export-27-8-2026'!$1:$1,0)),IF(_xlpm.v="","",_xlpm.v)),"")</f>
        <v/>
      </c>
      <c r="AO192" s="18" t="str">
        <f>IFERROR(_xlfn.LET(_xlpm.v,INDEX('product-export-27-8-2026'!$A:$AJ,MATCH($A192,'product-export-27-8-2026'!$A:$A,0),MATCH(AO$1,'product-export-27-8-2026'!$1:$1,0)),IF(_xlpm.v="","",_xlpm.v)),"")</f>
        <v/>
      </c>
      <c r="AP192" s="18" t="str">
        <f>IFERROR(_xlfn.LET(_xlpm.v,INDEX('product-export-27-8-2026'!$A:$AJ,MATCH($A192,'product-export-27-8-2026'!$A:$A,0),MATCH(AP$1,'product-export-27-8-2026'!$1:$1,0)),IF(_xlpm.v="","",_xlpm.v)),"")</f>
        <v/>
      </c>
      <c r="AQ192" s="18" t="str">
        <f>IFERROR(_xlfn.LET(_xlpm.v,INDEX('product-export-27-8-2026'!$A:$AJ,MATCH($A192,'product-export-27-8-2026'!$A:$A,0),MATCH(AQ$1,'product-export-27-8-2026'!$1:$1,0)),IF(_xlpm.v="","",_xlpm.v)),"")</f>
        <v/>
      </c>
      <c r="AR192" s="18" t="str">
        <f>IFERROR(_xlfn.LET(_xlpm.v,INDEX('product-export-27-8-2026'!$A:$AJ,MATCH($A192,'product-export-27-8-2026'!$A:$A,0),MATCH(AR$1,'product-export-27-8-2026'!$1:$1,0)),IF(_xlpm.v="","",_xlpm.v)),"")</f>
        <v>Card Holder, Dorchester Collection, Gifts</v>
      </c>
      <c r="AS192" s="18" t="str">
        <f>IFERROR(_xlfn.LET(_xlpm.v,INDEX('product-export-27-8-2026'!$A:$AJ,MATCH($A192,'product-export-27-8-2026'!$A:$A,0),MATCH(AS$1,'product-export-27-8-2026'!$1:$1,0)),IF(_xlpm.v="","",_xlpm.v)),"")</f>
        <v>Dorchester Passport Wallet Total Pres Style</v>
      </c>
      <c r="BC192" s="15"/>
    </row>
    <row r="193" spans="1:55" s="20" customFormat="1" ht="27.6" customHeight="1" x14ac:dyDescent="0.3">
      <c r="A193" s="17">
        <v>4818</v>
      </c>
      <c r="B193" s="18" t="s">
        <v>522</v>
      </c>
      <c r="C193" s="18" t="s">
        <v>282</v>
      </c>
      <c r="D193" s="18" t="s">
        <v>286</v>
      </c>
      <c r="E193" s="19" t="s">
        <v>576</v>
      </c>
      <c r="F193" s="18" t="s">
        <v>284</v>
      </c>
      <c r="G193" s="18" t="s">
        <v>283</v>
      </c>
      <c r="H193" s="18" t="s">
        <v>728</v>
      </c>
      <c r="I193" s="18"/>
      <c r="J193" s="18" t="s">
        <v>576</v>
      </c>
      <c r="K193" s="18"/>
      <c r="L193" s="54"/>
      <c r="M193" s="17">
        <v>14.99</v>
      </c>
      <c r="N193" s="18" t="s">
        <v>285</v>
      </c>
      <c r="O193" s="58">
        <f t="shared" si="18"/>
        <v>13.14</v>
      </c>
      <c r="P193" s="58">
        <f t="shared" si="18"/>
        <v>12.11</v>
      </c>
      <c r="Q193" s="58">
        <f t="shared" si="18"/>
        <v>8.1</v>
      </c>
      <c r="R193" s="58">
        <f t="shared" si="18"/>
        <v>6.75</v>
      </c>
      <c r="S193" s="58">
        <f t="shared" si="18"/>
        <v>5.58</v>
      </c>
      <c r="T193" s="58">
        <f t="shared" si="18"/>
        <v>4.5999999999999996</v>
      </c>
      <c r="U193" s="58">
        <f t="shared" si="18"/>
        <v>3.98</v>
      </c>
      <c r="V193" s="58">
        <f t="shared" si="18"/>
        <v>3.83</v>
      </c>
      <c r="W193" s="58">
        <f t="shared" si="18"/>
        <v>3.52</v>
      </c>
      <c r="X193" s="31" t="str" cm="1">
        <f t="array" ref="X193">IF(Y193="","",_xlfn.TEXTJOIN(";",TRUE,SUBSTITUTE($Y$1:$AG$1,"Qty ","")&amp;":"&amp;TEXT(Y193:AG193,"0.00"))&amp;";")</f>
        <v>1:18.36;10:16.51;25:11.67;50:9.72;100:8.31;250:6.98;500:6.35;750:6.14;1000:5.77;</v>
      </c>
      <c r="Y193" s="56">
        <f>'Blocking Prices'!$C$15+O193</f>
        <v>18.36</v>
      </c>
      <c r="Z193" s="56">
        <f>'Blocking Prices'!$D$15+P193</f>
        <v>16.509999999999998</v>
      </c>
      <c r="AA193" s="56">
        <f>'Blocking Prices'!$E$15+Q193</f>
        <v>11.67</v>
      </c>
      <c r="AB193" s="56">
        <f>'Blocking Prices'!$F$15+R193</f>
        <v>9.7200000000000006</v>
      </c>
      <c r="AC193" s="56">
        <f>'Blocking Prices'!$G$15+S193</f>
        <v>8.31</v>
      </c>
      <c r="AD193" s="56">
        <f>'Blocking Prices'!$H$15+T193</f>
        <v>6.9799999999999995</v>
      </c>
      <c r="AE193" s="56">
        <f>'Blocking Prices'!$I$15+U193</f>
        <v>6.35</v>
      </c>
      <c r="AF193" s="56">
        <f>'Blocking Prices'!$J$15+V193</f>
        <v>6.1400000000000006</v>
      </c>
      <c r="AG193" s="56">
        <f>'Blocking Prices'!$K$15+W193</f>
        <v>5.77</v>
      </c>
      <c r="AH193" s="17"/>
      <c r="AI193" s="17"/>
      <c r="AJ193" s="17"/>
      <c r="AK193" s="17"/>
      <c r="AL193" s="18" t="s">
        <v>1385</v>
      </c>
      <c r="AM193" s="18" t="s">
        <v>1386</v>
      </c>
      <c r="AN193" s="18" t="str">
        <f>IFERROR(_xlfn.LET(_xlpm.v,INDEX('product-export-27-8-2026'!$A:$AJ,MATCH($A193,'product-export-27-8-2026'!$A:$A,0),MATCH(AN$1,'product-export-27-8-2026'!$1:$1,0)),IF(_xlpm.v="","",_xlpm.v)),"")</f>
        <v/>
      </c>
      <c r="AO193" s="18" t="str">
        <f>IFERROR(_xlfn.LET(_xlpm.v,INDEX('product-export-27-8-2026'!$A:$AJ,MATCH($A193,'product-export-27-8-2026'!$A:$A,0),MATCH(AO$1,'product-export-27-8-2026'!$1:$1,0)),IF(_xlpm.v="","",_xlpm.v)),"")</f>
        <v/>
      </c>
      <c r="AP193" s="18" t="str">
        <f>IFERROR(_xlfn.LET(_xlpm.v,INDEX('product-export-27-8-2026'!$A:$AJ,MATCH($A193,'product-export-27-8-2026'!$A:$A,0),MATCH(AP$1,'product-export-27-8-2026'!$1:$1,0)),IF(_xlpm.v="","",_xlpm.v)),"")</f>
        <v/>
      </c>
      <c r="AQ193" s="18" t="str">
        <f>IFERROR(_xlfn.LET(_xlpm.v,INDEX('product-export-27-8-2026'!$A:$AJ,MATCH($A193,'product-export-27-8-2026'!$A:$A,0),MATCH(AQ$1,'product-export-27-8-2026'!$1:$1,0)),IF(_xlpm.v="","",_xlpm.v)),"")</f>
        <v/>
      </c>
      <c r="AR193" s="18" t="str">
        <f>IFERROR(_xlfn.LET(_xlpm.v,INDEX('product-export-27-8-2026'!$A:$AJ,MATCH($A193,'product-export-27-8-2026'!$A:$A,0),MATCH(AR$1,'product-export-27-8-2026'!$1:$1,0)),IF(_xlpm.v="","",_xlpm.v)),"")</f>
        <v>Card Holder, Dorchester Collection, Gifts</v>
      </c>
      <c r="AS193" s="18" t="str">
        <f>IFERROR(_xlfn.LET(_xlpm.v,INDEX('product-export-27-8-2026'!$A:$AJ,MATCH($A193,'product-export-27-8-2026'!$A:$A,0),MATCH(AS$1,'product-export-27-8-2026'!$1:$1,0)),IF(_xlpm.v="","",_xlpm.v)),"")</f>
        <v>Dorchester Passport Wallet Total Pres Style</v>
      </c>
      <c r="BC193" s="15"/>
    </row>
    <row r="194" spans="1:55" s="20" customFormat="1" ht="27.6" customHeight="1" x14ac:dyDescent="0.3">
      <c r="A194" s="17">
        <v>4819</v>
      </c>
      <c r="B194" s="18" t="s">
        <v>523</v>
      </c>
      <c r="C194" s="18" t="s">
        <v>282</v>
      </c>
      <c r="D194" s="18" t="s">
        <v>287</v>
      </c>
      <c r="E194" s="19" t="s">
        <v>576</v>
      </c>
      <c r="F194" s="18" t="s">
        <v>284</v>
      </c>
      <c r="G194" s="18" t="s">
        <v>283</v>
      </c>
      <c r="H194" s="18" t="s">
        <v>1051</v>
      </c>
      <c r="I194" s="18"/>
      <c r="J194" s="18" t="s">
        <v>576</v>
      </c>
      <c r="K194" s="18"/>
      <c r="L194" s="54"/>
      <c r="M194" s="17">
        <v>14.99</v>
      </c>
      <c r="N194" s="18" t="s">
        <v>285</v>
      </c>
      <c r="O194" s="58">
        <f t="shared" si="18"/>
        <v>13.14</v>
      </c>
      <c r="P194" s="58">
        <f t="shared" si="18"/>
        <v>12.11</v>
      </c>
      <c r="Q194" s="58">
        <f t="shared" si="18"/>
        <v>8.1</v>
      </c>
      <c r="R194" s="58">
        <f t="shared" si="18"/>
        <v>6.75</v>
      </c>
      <c r="S194" s="58">
        <f t="shared" si="18"/>
        <v>5.58</v>
      </c>
      <c r="T194" s="58">
        <f t="shared" si="18"/>
        <v>4.5999999999999996</v>
      </c>
      <c r="U194" s="58">
        <f t="shared" si="18"/>
        <v>3.98</v>
      </c>
      <c r="V194" s="58">
        <f t="shared" si="18"/>
        <v>3.83</v>
      </c>
      <c r="W194" s="58">
        <f t="shared" si="18"/>
        <v>3.52</v>
      </c>
      <c r="X194" s="31" t="str" cm="1">
        <f t="array" ref="X194">IF(Y194="","",_xlfn.TEXTJOIN(";",TRUE,SUBSTITUTE($Y$1:$AG$1,"Qty ","")&amp;":"&amp;TEXT(Y194:AG194,"0.00"))&amp;";")</f>
        <v>1:18.36;10:16.51;25:11.67;50:9.72;100:8.31;250:6.98;500:6.35;750:6.14;1000:5.77;</v>
      </c>
      <c r="Y194" s="56">
        <f>'Blocking Prices'!$C$15+O194</f>
        <v>18.36</v>
      </c>
      <c r="Z194" s="56">
        <f>'Blocking Prices'!$D$15+P194</f>
        <v>16.509999999999998</v>
      </c>
      <c r="AA194" s="56">
        <f>'Blocking Prices'!$E$15+Q194</f>
        <v>11.67</v>
      </c>
      <c r="AB194" s="56">
        <f>'Blocking Prices'!$F$15+R194</f>
        <v>9.7200000000000006</v>
      </c>
      <c r="AC194" s="56">
        <f>'Blocking Prices'!$G$15+S194</f>
        <v>8.31</v>
      </c>
      <c r="AD194" s="56">
        <f>'Blocking Prices'!$H$15+T194</f>
        <v>6.9799999999999995</v>
      </c>
      <c r="AE194" s="56">
        <f>'Blocking Prices'!$I$15+U194</f>
        <v>6.35</v>
      </c>
      <c r="AF194" s="56">
        <f>'Blocking Prices'!$J$15+V194</f>
        <v>6.1400000000000006</v>
      </c>
      <c r="AG194" s="56">
        <f>'Blocking Prices'!$K$15+W194</f>
        <v>5.77</v>
      </c>
      <c r="AH194" s="17"/>
      <c r="AI194" s="17"/>
      <c r="AJ194" s="17"/>
      <c r="AK194" s="17"/>
      <c r="AL194" s="18" t="s">
        <v>1385</v>
      </c>
      <c r="AM194" s="18" t="s">
        <v>1386</v>
      </c>
      <c r="AN194" s="18" t="str">
        <f>IFERROR(_xlfn.LET(_xlpm.v,INDEX('product-export-27-8-2026'!$A:$AJ,MATCH($A194,'product-export-27-8-2026'!$A:$A,0),MATCH(AN$1,'product-export-27-8-2026'!$1:$1,0)),IF(_xlpm.v="","",_xlpm.v)),"")</f>
        <v/>
      </c>
      <c r="AO194" s="18" t="str">
        <f>IFERROR(_xlfn.LET(_xlpm.v,INDEX('product-export-27-8-2026'!$A:$AJ,MATCH($A194,'product-export-27-8-2026'!$A:$A,0),MATCH(AO$1,'product-export-27-8-2026'!$1:$1,0)),IF(_xlpm.v="","",_xlpm.v)),"")</f>
        <v/>
      </c>
      <c r="AP194" s="18" t="str">
        <f>IFERROR(_xlfn.LET(_xlpm.v,INDEX('product-export-27-8-2026'!$A:$AJ,MATCH($A194,'product-export-27-8-2026'!$A:$A,0),MATCH(AP$1,'product-export-27-8-2026'!$1:$1,0)),IF(_xlpm.v="","",_xlpm.v)),"")</f>
        <v/>
      </c>
      <c r="AQ194" s="18" t="str">
        <f>IFERROR(_xlfn.LET(_xlpm.v,INDEX('product-export-27-8-2026'!$A:$AJ,MATCH($A194,'product-export-27-8-2026'!$A:$A,0),MATCH(AQ$1,'product-export-27-8-2026'!$1:$1,0)),IF(_xlpm.v="","",_xlpm.v)),"")</f>
        <v/>
      </c>
      <c r="AR194" s="18" t="str">
        <f>IFERROR(_xlfn.LET(_xlpm.v,INDEX('product-export-27-8-2026'!$A:$AJ,MATCH($A194,'product-export-27-8-2026'!$A:$A,0),MATCH(AR$1,'product-export-27-8-2026'!$1:$1,0)),IF(_xlpm.v="","",_xlpm.v)),"")</f>
        <v>Card Holder, Dorchester Collection, Gifts</v>
      </c>
      <c r="AS194" s="18" t="str">
        <f>IFERROR(_xlfn.LET(_xlpm.v,INDEX('product-export-27-8-2026'!$A:$AJ,MATCH($A194,'product-export-27-8-2026'!$A:$A,0),MATCH(AS$1,'product-export-27-8-2026'!$1:$1,0)),IF(_xlpm.v="","",_xlpm.v)),"")</f>
        <v>Dorchester Passport Wallet Total Pres Style</v>
      </c>
      <c r="BC194" s="15"/>
    </row>
    <row r="195" spans="1:55" s="20" customFormat="1" ht="27.6" customHeight="1" x14ac:dyDescent="0.3">
      <c r="A195" s="17">
        <v>4820</v>
      </c>
      <c r="B195" s="18" t="s">
        <v>524</v>
      </c>
      <c r="C195" s="18" t="s">
        <v>282</v>
      </c>
      <c r="D195" s="18" t="s">
        <v>288</v>
      </c>
      <c r="E195" s="19" t="s">
        <v>576</v>
      </c>
      <c r="F195" s="18" t="s">
        <v>284</v>
      </c>
      <c r="G195" s="18" t="s">
        <v>283</v>
      </c>
      <c r="H195" s="18" t="s">
        <v>891</v>
      </c>
      <c r="I195" s="18"/>
      <c r="J195" s="18" t="s">
        <v>576</v>
      </c>
      <c r="K195" s="18"/>
      <c r="L195" s="54"/>
      <c r="M195" s="17">
        <v>14.99</v>
      </c>
      <c r="N195" s="18" t="s">
        <v>285</v>
      </c>
      <c r="O195" s="58">
        <f t="shared" si="18"/>
        <v>13.14</v>
      </c>
      <c r="P195" s="58">
        <f t="shared" si="18"/>
        <v>12.11</v>
      </c>
      <c r="Q195" s="58">
        <f t="shared" si="18"/>
        <v>8.1</v>
      </c>
      <c r="R195" s="58">
        <f t="shared" si="18"/>
        <v>6.75</v>
      </c>
      <c r="S195" s="58">
        <f t="shared" si="18"/>
        <v>5.58</v>
      </c>
      <c r="T195" s="58">
        <f t="shared" si="18"/>
        <v>4.5999999999999996</v>
      </c>
      <c r="U195" s="58">
        <f t="shared" si="18"/>
        <v>3.98</v>
      </c>
      <c r="V195" s="58">
        <f t="shared" si="18"/>
        <v>3.83</v>
      </c>
      <c r="W195" s="58">
        <f t="shared" si="18"/>
        <v>3.52</v>
      </c>
      <c r="X195" s="31" t="str" cm="1">
        <f t="array" ref="X195">IF(Y195="","",_xlfn.TEXTJOIN(";",TRUE,SUBSTITUTE($Y$1:$AG$1,"Qty ","")&amp;":"&amp;TEXT(Y195:AG195,"0.00"))&amp;";")</f>
        <v>1:18.36;10:16.51;25:11.67;50:9.72;100:8.31;250:6.98;500:6.35;750:6.14;1000:5.77;</v>
      </c>
      <c r="Y195" s="56">
        <f>'Blocking Prices'!$C$15+O195</f>
        <v>18.36</v>
      </c>
      <c r="Z195" s="56">
        <f>'Blocking Prices'!$D$15+P195</f>
        <v>16.509999999999998</v>
      </c>
      <c r="AA195" s="56">
        <f>'Blocking Prices'!$E$15+Q195</f>
        <v>11.67</v>
      </c>
      <c r="AB195" s="56">
        <f>'Blocking Prices'!$F$15+R195</f>
        <v>9.7200000000000006</v>
      </c>
      <c r="AC195" s="56">
        <f>'Blocking Prices'!$G$15+S195</f>
        <v>8.31</v>
      </c>
      <c r="AD195" s="56">
        <f>'Blocking Prices'!$H$15+T195</f>
        <v>6.9799999999999995</v>
      </c>
      <c r="AE195" s="56">
        <f>'Blocking Prices'!$I$15+U195</f>
        <v>6.35</v>
      </c>
      <c r="AF195" s="56">
        <f>'Blocking Prices'!$J$15+V195</f>
        <v>6.1400000000000006</v>
      </c>
      <c r="AG195" s="56">
        <f>'Blocking Prices'!$K$15+W195</f>
        <v>5.77</v>
      </c>
      <c r="AH195" s="17"/>
      <c r="AI195" s="17"/>
      <c r="AJ195" s="17"/>
      <c r="AK195" s="17"/>
      <c r="AL195" s="18" t="s">
        <v>1385</v>
      </c>
      <c r="AM195" s="18" t="s">
        <v>1386</v>
      </c>
      <c r="AN195" s="18" t="str">
        <f>IFERROR(_xlfn.LET(_xlpm.v,INDEX('product-export-27-8-2026'!$A:$AJ,MATCH($A195,'product-export-27-8-2026'!$A:$A,0),MATCH(AN$1,'product-export-27-8-2026'!$1:$1,0)),IF(_xlpm.v="","",_xlpm.v)),"")</f>
        <v/>
      </c>
      <c r="AO195" s="18" t="str">
        <f>IFERROR(_xlfn.LET(_xlpm.v,INDEX('product-export-27-8-2026'!$A:$AJ,MATCH($A195,'product-export-27-8-2026'!$A:$A,0),MATCH(AO$1,'product-export-27-8-2026'!$1:$1,0)),IF(_xlpm.v="","",_xlpm.v)),"")</f>
        <v/>
      </c>
      <c r="AP195" s="18" t="str">
        <f>IFERROR(_xlfn.LET(_xlpm.v,INDEX('product-export-27-8-2026'!$A:$AJ,MATCH($A195,'product-export-27-8-2026'!$A:$A,0),MATCH(AP$1,'product-export-27-8-2026'!$1:$1,0)),IF(_xlpm.v="","",_xlpm.v)),"")</f>
        <v/>
      </c>
      <c r="AQ195" s="18" t="str">
        <f>IFERROR(_xlfn.LET(_xlpm.v,INDEX('product-export-27-8-2026'!$A:$AJ,MATCH($A195,'product-export-27-8-2026'!$A:$A,0),MATCH(AQ$1,'product-export-27-8-2026'!$1:$1,0)),IF(_xlpm.v="","",_xlpm.v)),"")</f>
        <v/>
      </c>
      <c r="AR195" s="18" t="str">
        <f>IFERROR(_xlfn.LET(_xlpm.v,INDEX('product-export-27-8-2026'!$A:$AJ,MATCH($A195,'product-export-27-8-2026'!$A:$A,0),MATCH(AR$1,'product-export-27-8-2026'!$1:$1,0)),IF(_xlpm.v="","",_xlpm.v)),"")</f>
        <v>Card Holder, Dorchester Collection, Gifts</v>
      </c>
      <c r="AS195" s="18" t="str">
        <f>IFERROR(_xlfn.LET(_xlpm.v,INDEX('product-export-27-8-2026'!$A:$AJ,MATCH($A195,'product-export-27-8-2026'!$A:$A,0),MATCH(AS$1,'product-export-27-8-2026'!$1:$1,0)),IF(_xlpm.v="","",_xlpm.v)),"")</f>
        <v>Dorchester Passport Wallet Total Pres Style</v>
      </c>
      <c r="BC195" s="15"/>
    </row>
    <row r="196" spans="1:55" s="20" customFormat="1" ht="27.6" customHeight="1" x14ac:dyDescent="0.3">
      <c r="A196" s="17">
        <v>4821</v>
      </c>
      <c r="B196" s="18" t="s">
        <v>525</v>
      </c>
      <c r="C196" s="18" t="s">
        <v>282</v>
      </c>
      <c r="D196" s="18" t="s">
        <v>289</v>
      </c>
      <c r="E196" s="19" t="s">
        <v>576</v>
      </c>
      <c r="F196" s="18" t="s">
        <v>284</v>
      </c>
      <c r="G196" s="18" t="s">
        <v>283</v>
      </c>
      <c r="H196" s="18" t="s">
        <v>792</v>
      </c>
      <c r="I196" s="18"/>
      <c r="J196" s="18" t="s">
        <v>576</v>
      </c>
      <c r="K196" s="18"/>
      <c r="L196" s="54"/>
      <c r="M196" s="17">
        <v>14.99</v>
      </c>
      <c r="N196" s="18" t="s">
        <v>285</v>
      </c>
      <c r="O196" s="58">
        <f t="shared" si="18"/>
        <v>13.14</v>
      </c>
      <c r="P196" s="58">
        <f t="shared" si="18"/>
        <v>12.11</v>
      </c>
      <c r="Q196" s="58">
        <f t="shared" si="18"/>
        <v>8.1</v>
      </c>
      <c r="R196" s="58">
        <f t="shared" si="18"/>
        <v>6.75</v>
      </c>
      <c r="S196" s="58">
        <f t="shared" si="18"/>
        <v>5.58</v>
      </c>
      <c r="T196" s="58">
        <f t="shared" si="18"/>
        <v>4.5999999999999996</v>
      </c>
      <c r="U196" s="58">
        <f t="shared" si="18"/>
        <v>3.98</v>
      </c>
      <c r="V196" s="58">
        <f t="shared" si="18"/>
        <v>3.83</v>
      </c>
      <c r="W196" s="58">
        <f t="shared" si="18"/>
        <v>3.52</v>
      </c>
      <c r="X196" s="31" t="str" cm="1">
        <f t="array" ref="X196">IF(Y196="","",_xlfn.TEXTJOIN(";",TRUE,SUBSTITUTE($Y$1:$AG$1,"Qty ","")&amp;":"&amp;TEXT(Y196:AG196,"0.00"))&amp;";")</f>
        <v>1:18.36;10:16.51;25:11.67;50:9.72;100:8.31;250:6.98;500:6.35;750:6.14;1000:5.77;</v>
      </c>
      <c r="Y196" s="56">
        <f>'Blocking Prices'!$C$15+O196</f>
        <v>18.36</v>
      </c>
      <c r="Z196" s="56">
        <f>'Blocking Prices'!$D$15+P196</f>
        <v>16.509999999999998</v>
      </c>
      <c r="AA196" s="56">
        <f>'Blocking Prices'!$E$15+Q196</f>
        <v>11.67</v>
      </c>
      <c r="AB196" s="56">
        <f>'Blocking Prices'!$F$15+R196</f>
        <v>9.7200000000000006</v>
      </c>
      <c r="AC196" s="56">
        <f>'Blocking Prices'!$G$15+S196</f>
        <v>8.31</v>
      </c>
      <c r="AD196" s="56">
        <f>'Blocking Prices'!$H$15+T196</f>
        <v>6.9799999999999995</v>
      </c>
      <c r="AE196" s="56">
        <f>'Blocking Prices'!$I$15+U196</f>
        <v>6.35</v>
      </c>
      <c r="AF196" s="56">
        <f>'Blocking Prices'!$J$15+V196</f>
        <v>6.1400000000000006</v>
      </c>
      <c r="AG196" s="56">
        <f>'Blocking Prices'!$K$15+W196</f>
        <v>5.77</v>
      </c>
      <c r="AH196" s="17"/>
      <c r="AI196" s="17"/>
      <c r="AJ196" s="17"/>
      <c r="AK196" s="17"/>
      <c r="AL196" s="18" t="s">
        <v>1385</v>
      </c>
      <c r="AM196" s="18" t="s">
        <v>1386</v>
      </c>
      <c r="AN196" s="18" t="str">
        <f>IFERROR(_xlfn.LET(_xlpm.v,INDEX('product-export-27-8-2026'!$A:$AJ,MATCH($A196,'product-export-27-8-2026'!$A:$A,0),MATCH(AN$1,'product-export-27-8-2026'!$1:$1,0)),IF(_xlpm.v="","",_xlpm.v)),"")</f>
        <v/>
      </c>
      <c r="AO196" s="18" t="str">
        <f>IFERROR(_xlfn.LET(_xlpm.v,INDEX('product-export-27-8-2026'!$A:$AJ,MATCH($A196,'product-export-27-8-2026'!$A:$A,0),MATCH(AO$1,'product-export-27-8-2026'!$1:$1,0)),IF(_xlpm.v="","",_xlpm.v)),"")</f>
        <v/>
      </c>
      <c r="AP196" s="18" t="str">
        <f>IFERROR(_xlfn.LET(_xlpm.v,INDEX('product-export-27-8-2026'!$A:$AJ,MATCH($A196,'product-export-27-8-2026'!$A:$A,0),MATCH(AP$1,'product-export-27-8-2026'!$1:$1,0)),IF(_xlpm.v="","",_xlpm.v)),"")</f>
        <v/>
      </c>
      <c r="AQ196" s="18" t="str">
        <f>IFERROR(_xlfn.LET(_xlpm.v,INDEX('product-export-27-8-2026'!$A:$AJ,MATCH($A196,'product-export-27-8-2026'!$A:$A,0),MATCH(AQ$1,'product-export-27-8-2026'!$1:$1,0)),IF(_xlpm.v="","",_xlpm.v)),"")</f>
        <v/>
      </c>
      <c r="AR196" s="18" t="str">
        <f>IFERROR(_xlfn.LET(_xlpm.v,INDEX('product-export-27-8-2026'!$A:$AJ,MATCH($A196,'product-export-27-8-2026'!$A:$A,0),MATCH(AR$1,'product-export-27-8-2026'!$1:$1,0)),IF(_xlpm.v="","",_xlpm.v)),"")</f>
        <v>Card Holder, Dorchester Collection, Gifts</v>
      </c>
      <c r="AS196" s="18" t="str">
        <f>IFERROR(_xlfn.LET(_xlpm.v,INDEX('product-export-27-8-2026'!$A:$AJ,MATCH($A196,'product-export-27-8-2026'!$A:$A,0),MATCH(AS$1,'product-export-27-8-2026'!$1:$1,0)),IF(_xlpm.v="","",_xlpm.v)),"")</f>
        <v>Dorchester Passport Wallet Total Pres Style</v>
      </c>
      <c r="BC196" s="15"/>
    </row>
    <row r="197" spans="1:55" s="20" customFormat="1" ht="27.6" customHeight="1" x14ac:dyDescent="0.3">
      <c r="A197" s="17">
        <v>4822</v>
      </c>
      <c r="B197" s="18" t="s">
        <v>526</v>
      </c>
      <c r="C197" s="18" t="s">
        <v>282</v>
      </c>
      <c r="D197" s="18" t="s">
        <v>290</v>
      </c>
      <c r="E197" s="19" t="s">
        <v>576</v>
      </c>
      <c r="F197" s="18" t="s">
        <v>284</v>
      </c>
      <c r="G197" s="18" t="s">
        <v>283</v>
      </c>
      <c r="H197" s="18" t="s">
        <v>796</v>
      </c>
      <c r="I197" s="18"/>
      <c r="J197" s="18" t="s">
        <v>576</v>
      </c>
      <c r="K197" s="18"/>
      <c r="L197" s="54"/>
      <c r="M197" s="17">
        <v>14.99</v>
      </c>
      <c r="N197" s="18" t="s">
        <v>285</v>
      </c>
      <c r="O197" s="58">
        <f t="shared" si="18"/>
        <v>13.14</v>
      </c>
      <c r="P197" s="58">
        <f t="shared" si="18"/>
        <v>12.11</v>
      </c>
      <c r="Q197" s="58">
        <f t="shared" si="18"/>
        <v>8.1</v>
      </c>
      <c r="R197" s="58">
        <f t="shared" si="18"/>
        <v>6.75</v>
      </c>
      <c r="S197" s="58">
        <f t="shared" si="18"/>
        <v>5.58</v>
      </c>
      <c r="T197" s="58">
        <f t="shared" si="18"/>
        <v>4.5999999999999996</v>
      </c>
      <c r="U197" s="58">
        <f t="shared" si="18"/>
        <v>3.98</v>
      </c>
      <c r="V197" s="58">
        <f t="shared" si="18"/>
        <v>3.83</v>
      </c>
      <c r="W197" s="58">
        <f t="shared" si="18"/>
        <v>3.52</v>
      </c>
      <c r="X197" s="31" t="str" cm="1">
        <f t="array" ref="X197">IF(Y197="","",_xlfn.TEXTJOIN(";",TRUE,SUBSTITUTE($Y$1:$AG$1,"Qty ","")&amp;":"&amp;TEXT(Y197:AG197,"0.00"))&amp;";")</f>
        <v>1:18.36;10:16.51;25:11.67;50:9.72;100:8.31;250:6.98;500:6.35;750:6.14;1000:5.77;</v>
      </c>
      <c r="Y197" s="56">
        <f>'Blocking Prices'!$C$15+O197</f>
        <v>18.36</v>
      </c>
      <c r="Z197" s="56">
        <f>'Blocking Prices'!$D$15+P197</f>
        <v>16.509999999999998</v>
      </c>
      <c r="AA197" s="56">
        <f>'Blocking Prices'!$E$15+Q197</f>
        <v>11.67</v>
      </c>
      <c r="AB197" s="56">
        <f>'Blocking Prices'!$F$15+R197</f>
        <v>9.7200000000000006</v>
      </c>
      <c r="AC197" s="56">
        <f>'Blocking Prices'!$G$15+S197</f>
        <v>8.31</v>
      </c>
      <c r="AD197" s="56">
        <f>'Blocking Prices'!$H$15+T197</f>
        <v>6.9799999999999995</v>
      </c>
      <c r="AE197" s="56">
        <f>'Blocking Prices'!$I$15+U197</f>
        <v>6.35</v>
      </c>
      <c r="AF197" s="56">
        <f>'Blocking Prices'!$J$15+V197</f>
        <v>6.1400000000000006</v>
      </c>
      <c r="AG197" s="56">
        <f>'Blocking Prices'!$K$15+W197</f>
        <v>5.77</v>
      </c>
      <c r="AH197" s="17"/>
      <c r="AI197" s="17"/>
      <c r="AJ197" s="17"/>
      <c r="AK197" s="17"/>
      <c r="AL197" s="18" t="s">
        <v>1385</v>
      </c>
      <c r="AM197" s="18" t="s">
        <v>1386</v>
      </c>
      <c r="AN197" s="18" t="str">
        <f>IFERROR(_xlfn.LET(_xlpm.v,INDEX('product-export-27-8-2026'!$A:$AJ,MATCH($A197,'product-export-27-8-2026'!$A:$A,0),MATCH(AN$1,'product-export-27-8-2026'!$1:$1,0)),IF(_xlpm.v="","",_xlpm.v)),"")</f>
        <v/>
      </c>
      <c r="AO197" s="18" t="str">
        <f>IFERROR(_xlfn.LET(_xlpm.v,INDEX('product-export-27-8-2026'!$A:$AJ,MATCH($A197,'product-export-27-8-2026'!$A:$A,0),MATCH(AO$1,'product-export-27-8-2026'!$1:$1,0)),IF(_xlpm.v="","",_xlpm.v)),"")</f>
        <v/>
      </c>
      <c r="AP197" s="18" t="str">
        <f>IFERROR(_xlfn.LET(_xlpm.v,INDEX('product-export-27-8-2026'!$A:$AJ,MATCH($A197,'product-export-27-8-2026'!$A:$A,0),MATCH(AP$1,'product-export-27-8-2026'!$1:$1,0)),IF(_xlpm.v="","",_xlpm.v)),"")</f>
        <v/>
      </c>
      <c r="AQ197" s="18" t="str">
        <f>IFERROR(_xlfn.LET(_xlpm.v,INDEX('product-export-27-8-2026'!$A:$AJ,MATCH($A197,'product-export-27-8-2026'!$A:$A,0),MATCH(AQ$1,'product-export-27-8-2026'!$1:$1,0)),IF(_xlpm.v="","",_xlpm.v)),"")</f>
        <v/>
      </c>
      <c r="AR197" s="18" t="str">
        <f>IFERROR(_xlfn.LET(_xlpm.v,INDEX('product-export-27-8-2026'!$A:$AJ,MATCH($A197,'product-export-27-8-2026'!$A:$A,0),MATCH(AR$1,'product-export-27-8-2026'!$1:$1,0)),IF(_xlpm.v="","",_xlpm.v)),"")</f>
        <v>Card Holder, Dorchester Collection, Gifts</v>
      </c>
      <c r="AS197" s="18" t="str">
        <f>IFERROR(_xlfn.LET(_xlpm.v,INDEX('product-export-27-8-2026'!$A:$AJ,MATCH($A197,'product-export-27-8-2026'!$A:$A,0),MATCH(AS$1,'product-export-27-8-2026'!$1:$1,0)),IF(_xlpm.v="","",_xlpm.v)),"")</f>
        <v>Dorchester Passport Wallet Total Pres Style</v>
      </c>
      <c r="BC197" s="15"/>
    </row>
    <row r="198" spans="1:55" s="14" customFormat="1" ht="27.6" customHeight="1" x14ac:dyDescent="0.3">
      <c r="A198" s="11">
        <v>4918</v>
      </c>
      <c r="B198" s="12" t="s">
        <v>527</v>
      </c>
      <c r="C198" s="12" t="s">
        <v>292</v>
      </c>
      <c r="D198" s="12" t="s">
        <v>291</v>
      </c>
      <c r="E198" s="13" t="s">
        <v>576</v>
      </c>
      <c r="F198" s="12" t="s">
        <v>294</v>
      </c>
      <c r="G198" s="12" t="s">
        <v>293</v>
      </c>
      <c r="H198" s="12" t="s">
        <v>672</v>
      </c>
      <c r="I198" s="12"/>
      <c r="J198" s="12" t="s">
        <v>576</v>
      </c>
      <c r="K198" s="12"/>
      <c r="L198" s="60"/>
      <c r="M198" s="26">
        <v>9.99</v>
      </c>
      <c r="N198" s="18" t="s">
        <v>298</v>
      </c>
      <c r="O198" s="56">
        <f t="shared" si="18"/>
        <v>9.74</v>
      </c>
      <c r="P198" s="56">
        <f t="shared" si="18"/>
        <v>8.91</v>
      </c>
      <c r="Q198" s="56">
        <f t="shared" si="18"/>
        <v>5.7</v>
      </c>
      <c r="R198" s="56">
        <f t="shared" si="18"/>
        <v>4.75</v>
      </c>
      <c r="S198" s="56">
        <f t="shared" si="18"/>
        <v>3.94</v>
      </c>
      <c r="T198" s="56">
        <f t="shared" si="18"/>
        <v>3.26</v>
      </c>
      <c r="U198" s="56">
        <f t="shared" si="18"/>
        <v>2.84</v>
      </c>
      <c r="V198" s="56">
        <f t="shared" si="18"/>
        <v>2.73</v>
      </c>
      <c r="W198" s="56">
        <f t="shared" si="18"/>
        <v>2.52</v>
      </c>
      <c r="X198" s="30" t="str" cm="1">
        <f t="array" ref="X198">IF(Y198="","",_xlfn.TEXTJOIN(";",TRUE,SUBSTITUTE($Y$1:$AG$1,"Qty ","")&amp;":"&amp;TEXT(Y198:AG198,"0.00"))&amp;";")</f>
        <v>1:13.16;10:11.54;25:7.53;50:6.25;100:5.32;250:4.52;500:4.04;750:3.90;1000:3.66;</v>
      </c>
      <c r="Y198" s="56">
        <f>'Blocking Prices'!$C$14+O198</f>
        <v>13.16</v>
      </c>
      <c r="Z198" s="56">
        <f>'Blocking Prices'!$D$14+P198</f>
        <v>11.54</v>
      </c>
      <c r="AA198" s="56">
        <f>'Blocking Prices'!$E$14+Q198</f>
        <v>7.53</v>
      </c>
      <c r="AB198" s="56">
        <f>'Blocking Prices'!$F$14+R198</f>
        <v>6.25</v>
      </c>
      <c r="AC198" s="56">
        <f>'Blocking Prices'!$G$14+S198</f>
        <v>5.32</v>
      </c>
      <c r="AD198" s="56">
        <f>'Blocking Prices'!$H$14+T198</f>
        <v>4.5199999999999996</v>
      </c>
      <c r="AE198" s="56">
        <f>'Blocking Prices'!$I$14+U198</f>
        <v>4.04</v>
      </c>
      <c r="AF198" s="56">
        <f>'Blocking Prices'!$J$14+V198</f>
        <v>3.9</v>
      </c>
      <c r="AG198" s="56">
        <f>'Blocking Prices'!$K$14+W198</f>
        <v>3.66</v>
      </c>
      <c r="AH198" s="11"/>
      <c r="AI198" s="11"/>
      <c r="AJ198" s="11"/>
      <c r="AK198" s="11"/>
      <c r="AL198" s="12" t="s">
        <v>1408</v>
      </c>
      <c r="AM198" s="12" t="s">
        <v>1409</v>
      </c>
      <c r="AN198" s="12" t="str">
        <f>IFERROR(_xlfn.LET(_xlpm.v,INDEX('product-export-27-8-2026'!$A:$AJ,MATCH($A198,'product-export-27-8-2026'!$A:$A,0),MATCH(AN$1,'product-export-27-8-2026'!$1:$1,0)),IF(_xlpm.v="","",_xlpm.v)),"")</f>
        <v/>
      </c>
      <c r="AO198" s="12" t="str">
        <f>IFERROR(_xlfn.LET(_xlpm.v,INDEX('product-export-27-8-2026'!$A:$AJ,MATCH($A198,'product-export-27-8-2026'!$A:$A,0),MATCH(AO$1,'product-export-27-8-2026'!$1:$1,0)),IF(_xlpm.v="","",_xlpm.v)),"")</f>
        <v/>
      </c>
      <c r="AP198" s="12" t="str">
        <f>IFERROR(_xlfn.LET(_xlpm.v,INDEX('product-export-27-8-2026'!$A:$AJ,MATCH($A198,'product-export-27-8-2026'!$A:$A,0),MATCH(AP$1,'product-export-27-8-2026'!$1:$1,0)),IF(_xlpm.v="","",_xlpm.v)),"")</f>
        <v/>
      </c>
      <c r="AQ198" s="12" t="str">
        <f>IFERROR(_xlfn.LET(_xlpm.v,INDEX('product-export-27-8-2026'!$A:$AJ,MATCH($A198,'product-export-27-8-2026'!$A:$A,0),MATCH(AQ$1,'product-export-27-8-2026'!$1:$1,0)),IF(_xlpm.v="","",_xlpm.v)),"")</f>
        <v/>
      </c>
      <c r="AR198" s="12" t="str">
        <f>IFERROR(_xlfn.LET(_xlpm.v,INDEX('product-export-27-8-2026'!$A:$AJ,MATCH($A198,'product-export-27-8-2026'!$A:$A,0),MATCH(AR$1,'product-export-27-8-2026'!$1:$1,0)),IF(_xlpm.v="","",_xlpm.v)),"")</f>
        <v>Gifts, Luggage Tag, Windsor Collection</v>
      </c>
      <c r="AS198" s="12" t="str">
        <f>IFERROR(_xlfn.LET(_xlpm.v,INDEX('product-export-27-8-2026'!$A:$AJ,MATCH($A198,'product-export-27-8-2026'!$A:$A,0),MATCH(AS$1,'product-export-27-8-2026'!$1:$1,0)),IF(_xlpm.v="","",_xlpm.v)),"")</f>
        <v>Windsor Hide Leather Luggage Tag</v>
      </c>
      <c r="BC198" s="15"/>
    </row>
    <row r="199" spans="1:55" s="14" customFormat="1" ht="27.6" customHeight="1" x14ac:dyDescent="0.3">
      <c r="A199" s="11">
        <v>4928</v>
      </c>
      <c r="B199" s="12" t="s">
        <v>528</v>
      </c>
      <c r="C199" s="12" t="s">
        <v>292</v>
      </c>
      <c r="D199" s="12" t="s">
        <v>295</v>
      </c>
      <c r="E199" s="13" t="s">
        <v>576</v>
      </c>
      <c r="F199" s="12" t="s">
        <v>294</v>
      </c>
      <c r="G199" s="12" t="s">
        <v>293</v>
      </c>
      <c r="H199" s="12" t="s">
        <v>1595</v>
      </c>
      <c r="I199" s="12"/>
      <c r="J199" s="12" t="s">
        <v>576</v>
      </c>
      <c r="K199" s="12"/>
      <c r="L199" s="60"/>
      <c r="M199" s="26">
        <v>9.99</v>
      </c>
      <c r="N199" s="18" t="s">
        <v>298</v>
      </c>
      <c r="O199" s="56">
        <f t="shared" si="18"/>
        <v>9.74</v>
      </c>
      <c r="P199" s="56">
        <f t="shared" si="18"/>
        <v>8.91</v>
      </c>
      <c r="Q199" s="56">
        <f t="shared" si="18"/>
        <v>5.7</v>
      </c>
      <c r="R199" s="56">
        <f t="shared" si="18"/>
        <v>4.75</v>
      </c>
      <c r="S199" s="56">
        <f t="shared" si="18"/>
        <v>3.94</v>
      </c>
      <c r="T199" s="56">
        <f t="shared" si="18"/>
        <v>3.26</v>
      </c>
      <c r="U199" s="56">
        <f t="shared" si="18"/>
        <v>2.84</v>
      </c>
      <c r="V199" s="56">
        <f t="shared" si="18"/>
        <v>2.73</v>
      </c>
      <c r="W199" s="56">
        <f t="shared" si="18"/>
        <v>2.52</v>
      </c>
      <c r="X199" s="30" t="str" cm="1">
        <f t="array" ref="X199">IF(Y199="","",_xlfn.TEXTJOIN(";",TRUE,SUBSTITUTE($Y$1:$AG$1,"Qty ","")&amp;":"&amp;TEXT(Y199:AG199,"0.00"))&amp;";")</f>
        <v>1:13.16;10:11.54;25:7.53;50:6.25;100:5.32;250:4.52;500:4.04;750:3.90;1000:3.66;</v>
      </c>
      <c r="Y199" s="56">
        <f>'Blocking Prices'!$C$14+O199</f>
        <v>13.16</v>
      </c>
      <c r="Z199" s="56">
        <f>'Blocking Prices'!$D$14+P199</f>
        <v>11.54</v>
      </c>
      <c r="AA199" s="56">
        <f>'Blocking Prices'!$E$14+Q199</f>
        <v>7.53</v>
      </c>
      <c r="AB199" s="56">
        <f>'Blocking Prices'!$F$14+R199</f>
        <v>6.25</v>
      </c>
      <c r="AC199" s="56">
        <f>'Blocking Prices'!$G$14+S199</f>
        <v>5.32</v>
      </c>
      <c r="AD199" s="56">
        <f>'Blocking Prices'!$H$14+T199</f>
        <v>4.5199999999999996</v>
      </c>
      <c r="AE199" s="56">
        <f>'Blocking Prices'!$I$14+U199</f>
        <v>4.04</v>
      </c>
      <c r="AF199" s="56">
        <f>'Blocking Prices'!$J$14+V199</f>
        <v>3.9</v>
      </c>
      <c r="AG199" s="56">
        <f>'Blocking Prices'!$K$14+W199</f>
        <v>3.66</v>
      </c>
      <c r="AH199" s="11"/>
      <c r="AI199" s="11"/>
      <c r="AJ199" s="11"/>
      <c r="AK199" s="11"/>
      <c r="AL199" s="12" t="s">
        <v>1408</v>
      </c>
      <c r="AM199" s="12" t="s">
        <v>1409</v>
      </c>
      <c r="AN199" s="12" t="str">
        <f>IFERROR(_xlfn.LET(_xlpm.v,INDEX('product-export-27-8-2026'!$A:$AJ,MATCH($A199,'product-export-27-8-2026'!$A:$A,0),MATCH(AN$1,'product-export-27-8-2026'!$1:$1,0)),IF(_xlpm.v="","",_xlpm.v)),"")</f>
        <v/>
      </c>
      <c r="AO199" s="12" t="str">
        <f>IFERROR(_xlfn.LET(_xlpm.v,INDEX('product-export-27-8-2026'!$A:$AJ,MATCH($A199,'product-export-27-8-2026'!$A:$A,0),MATCH(AO$1,'product-export-27-8-2026'!$1:$1,0)),IF(_xlpm.v="","",_xlpm.v)),"")</f>
        <v/>
      </c>
      <c r="AP199" s="12" t="str">
        <f>IFERROR(_xlfn.LET(_xlpm.v,INDEX('product-export-27-8-2026'!$A:$AJ,MATCH($A199,'product-export-27-8-2026'!$A:$A,0),MATCH(AP$1,'product-export-27-8-2026'!$1:$1,0)),IF(_xlpm.v="","",_xlpm.v)),"")</f>
        <v/>
      </c>
      <c r="AQ199" s="12" t="str">
        <f>IFERROR(_xlfn.LET(_xlpm.v,INDEX('product-export-27-8-2026'!$A:$AJ,MATCH($A199,'product-export-27-8-2026'!$A:$A,0),MATCH(AQ$1,'product-export-27-8-2026'!$1:$1,0)),IF(_xlpm.v="","",_xlpm.v)),"")</f>
        <v/>
      </c>
      <c r="AR199" s="12" t="str">
        <f>IFERROR(_xlfn.LET(_xlpm.v,INDEX('product-export-27-8-2026'!$A:$AJ,MATCH($A199,'product-export-27-8-2026'!$A:$A,0),MATCH(AR$1,'product-export-27-8-2026'!$1:$1,0)),IF(_xlpm.v="","",_xlpm.v)),"")</f>
        <v>Gifts, Luggage Tag, Windsor Collection</v>
      </c>
      <c r="AS199" s="12" t="str">
        <f>IFERROR(_xlfn.LET(_xlpm.v,INDEX('product-export-27-8-2026'!$A:$AJ,MATCH($A199,'product-export-27-8-2026'!$A:$A,0),MATCH(AS$1,'product-export-27-8-2026'!$1:$1,0)),IF(_xlpm.v="","",_xlpm.v)),"")</f>
        <v>Windsor Hide Leather Luggage Tag</v>
      </c>
      <c r="BC199" s="15"/>
    </row>
    <row r="200" spans="1:55" s="14" customFormat="1" ht="27.6" customHeight="1" x14ac:dyDescent="0.3">
      <c r="A200" s="11">
        <v>4929</v>
      </c>
      <c r="B200" s="12" t="s">
        <v>529</v>
      </c>
      <c r="C200" s="12" t="s">
        <v>292</v>
      </c>
      <c r="D200" s="12" t="s">
        <v>296</v>
      </c>
      <c r="E200" s="13" t="s">
        <v>576</v>
      </c>
      <c r="F200" s="12" t="s">
        <v>297</v>
      </c>
      <c r="G200" s="12" t="s">
        <v>293</v>
      </c>
      <c r="H200" s="12" t="s">
        <v>672</v>
      </c>
      <c r="I200" s="12"/>
      <c r="J200" s="12" t="s">
        <v>576</v>
      </c>
      <c r="K200" s="12"/>
      <c r="L200" s="60"/>
      <c r="M200" s="11">
        <v>9.99</v>
      </c>
      <c r="N200" s="12" t="s">
        <v>298</v>
      </c>
      <c r="O200" s="56">
        <f t="shared" si="18"/>
        <v>9.74</v>
      </c>
      <c r="P200" s="56">
        <f t="shared" si="18"/>
        <v>8.91</v>
      </c>
      <c r="Q200" s="56">
        <f t="shared" si="18"/>
        <v>5.7</v>
      </c>
      <c r="R200" s="56">
        <f t="shared" si="18"/>
        <v>4.75</v>
      </c>
      <c r="S200" s="56">
        <f t="shared" si="18"/>
        <v>3.94</v>
      </c>
      <c r="T200" s="56">
        <f t="shared" si="18"/>
        <v>3.26</v>
      </c>
      <c r="U200" s="56">
        <f t="shared" si="18"/>
        <v>2.84</v>
      </c>
      <c r="V200" s="56">
        <f t="shared" si="18"/>
        <v>2.73</v>
      </c>
      <c r="W200" s="56">
        <f t="shared" si="18"/>
        <v>2.52</v>
      </c>
      <c r="X200" s="30" t="str" cm="1">
        <f t="array" ref="X200">IF(Y200="","",_xlfn.TEXTJOIN(";",TRUE,SUBSTITUTE($Y$1:$AG$1,"Qty ","")&amp;":"&amp;TEXT(Y200:AG200,"0.00"))&amp;";")</f>
        <v>1:13.16;10:11.54;25:7.53;50:6.25;100:5.32;250:4.52;500:4.04;750:3.90;1000:3.66;</v>
      </c>
      <c r="Y200" s="56">
        <f>'Blocking Prices'!$C$14+O200</f>
        <v>13.16</v>
      </c>
      <c r="Z200" s="56">
        <f>'Blocking Prices'!$D$14+P200</f>
        <v>11.54</v>
      </c>
      <c r="AA200" s="56">
        <f>'Blocking Prices'!$E$14+Q200</f>
        <v>7.53</v>
      </c>
      <c r="AB200" s="56">
        <f>'Blocking Prices'!$F$14+R200</f>
        <v>6.25</v>
      </c>
      <c r="AC200" s="56">
        <f>'Blocking Prices'!$G$14+S200</f>
        <v>5.32</v>
      </c>
      <c r="AD200" s="56">
        <f>'Blocking Prices'!$H$14+T200</f>
        <v>4.5199999999999996</v>
      </c>
      <c r="AE200" s="56">
        <f>'Blocking Prices'!$I$14+U200</f>
        <v>4.04</v>
      </c>
      <c r="AF200" s="56">
        <f>'Blocking Prices'!$J$14+V200</f>
        <v>3.9</v>
      </c>
      <c r="AG200" s="56">
        <f>'Blocking Prices'!$K$14+W200</f>
        <v>3.66</v>
      </c>
      <c r="AH200" s="11"/>
      <c r="AI200" s="11"/>
      <c r="AJ200" s="11"/>
      <c r="AK200" s="11"/>
      <c r="AL200" s="12" t="s">
        <v>1415</v>
      </c>
      <c r="AM200" s="12" t="s">
        <v>1416</v>
      </c>
      <c r="AN200" s="12" t="str">
        <f>IFERROR(_xlfn.LET(_xlpm.v,INDEX('product-export-27-8-2026'!$A:$AJ,MATCH($A200,'product-export-27-8-2026'!$A:$A,0),MATCH(AN$1,'product-export-27-8-2026'!$1:$1,0)),IF(_xlpm.v="","",_xlpm.v)),"")</f>
        <v/>
      </c>
      <c r="AO200" s="12" t="str">
        <f>IFERROR(_xlfn.LET(_xlpm.v,INDEX('product-export-27-8-2026'!$A:$AJ,MATCH($A200,'product-export-27-8-2026'!$A:$A,0),MATCH(AO$1,'product-export-27-8-2026'!$1:$1,0)),IF(_xlpm.v="","",_xlpm.v)),"")</f>
        <v/>
      </c>
      <c r="AP200" s="12" t="str">
        <f>IFERROR(_xlfn.LET(_xlpm.v,INDEX('product-export-27-8-2026'!$A:$AJ,MATCH($A200,'product-export-27-8-2026'!$A:$A,0),MATCH(AP$1,'product-export-27-8-2026'!$1:$1,0)),IF(_xlpm.v="","",_xlpm.v)),"")</f>
        <v/>
      </c>
      <c r="AQ200" s="12" t="str">
        <f>IFERROR(_xlfn.LET(_xlpm.v,INDEX('product-export-27-8-2026'!$A:$AJ,MATCH($A200,'product-export-27-8-2026'!$A:$A,0),MATCH(AQ$1,'product-export-27-8-2026'!$1:$1,0)),IF(_xlpm.v="","",_xlpm.v)),"")</f>
        <v/>
      </c>
      <c r="AR200" s="12" t="str">
        <f>IFERROR(_xlfn.LET(_xlpm.v,INDEX('product-export-27-8-2026'!$A:$AJ,MATCH($A200,'product-export-27-8-2026'!$A:$A,0),MATCH(AR$1,'product-export-27-8-2026'!$1:$1,0)),IF(_xlpm.v="","",_xlpm.v)),"")</f>
        <v>Chelsea Collection, Gifts, Luggage Tag</v>
      </c>
      <c r="AS200" s="12" t="str">
        <f>IFERROR(_xlfn.LET(_xlpm.v,INDEX('product-export-27-8-2026'!$A:$AJ,MATCH($A200,'product-export-27-8-2026'!$A:$A,0),MATCH(AS$1,'product-export-27-8-2026'!$1:$1,0)),IF(_xlpm.v="","",_xlpm.v)),"")</f>
        <v>Chelsea Leather Luggage Tag</v>
      </c>
      <c r="BC200" s="15"/>
    </row>
    <row r="201" spans="1:55" s="14" customFormat="1" ht="27.6" customHeight="1" x14ac:dyDescent="0.3">
      <c r="A201" s="11">
        <v>4940</v>
      </c>
      <c r="B201" s="12" t="s">
        <v>530</v>
      </c>
      <c r="C201" s="12" t="s">
        <v>292</v>
      </c>
      <c r="D201" s="12" t="s">
        <v>299</v>
      </c>
      <c r="E201" s="13" t="s">
        <v>576</v>
      </c>
      <c r="F201" s="12" t="s">
        <v>297</v>
      </c>
      <c r="G201" s="12" t="s">
        <v>293</v>
      </c>
      <c r="H201" s="12" t="s">
        <v>1595</v>
      </c>
      <c r="I201" s="12"/>
      <c r="J201" s="12" t="s">
        <v>576</v>
      </c>
      <c r="K201" s="12"/>
      <c r="L201" s="60"/>
      <c r="M201" s="11">
        <v>9.99</v>
      </c>
      <c r="N201" s="12" t="s">
        <v>298</v>
      </c>
      <c r="O201" s="56">
        <f t="shared" si="18"/>
        <v>9.74</v>
      </c>
      <c r="P201" s="56">
        <f t="shared" si="18"/>
        <v>8.91</v>
      </c>
      <c r="Q201" s="56">
        <f t="shared" si="18"/>
        <v>5.7</v>
      </c>
      <c r="R201" s="56">
        <f t="shared" si="18"/>
        <v>4.75</v>
      </c>
      <c r="S201" s="56">
        <f t="shared" si="18"/>
        <v>3.94</v>
      </c>
      <c r="T201" s="56">
        <f t="shared" si="18"/>
        <v>3.26</v>
      </c>
      <c r="U201" s="56">
        <f t="shared" si="18"/>
        <v>2.84</v>
      </c>
      <c r="V201" s="56">
        <f t="shared" si="18"/>
        <v>2.73</v>
      </c>
      <c r="W201" s="56">
        <f t="shared" si="18"/>
        <v>2.52</v>
      </c>
      <c r="X201" s="30" t="str" cm="1">
        <f t="array" ref="X201">IF(Y201="","",_xlfn.TEXTJOIN(";",TRUE,SUBSTITUTE($Y$1:$AG$1,"Qty ","")&amp;":"&amp;TEXT(Y201:AG201,"0.00"))&amp;";")</f>
        <v>1:13.16;10:11.54;25:7.53;50:6.25;100:5.32;250:4.52;500:4.04;750:3.90;1000:3.66;</v>
      </c>
      <c r="Y201" s="56">
        <f>'Blocking Prices'!$C$14+O201</f>
        <v>13.16</v>
      </c>
      <c r="Z201" s="56">
        <f>'Blocking Prices'!$D$14+P201</f>
        <v>11.54</v>
      </c>
      <c r="AA201" s="56">
        <f>'Blocking Prices'!$E$14+Q201</f>
        <v>7.53</v>
      </c>
      <c r="AB201" s="56">
        <f>'Blocking Prices'!$F$14+R201</f>
        <v>6.25</v>
      </c>
      <c r="AC201" s="56">
        <f>'Blocking Prices'!$G$14+S201</f>
        <v>5.32</v>
      </c>
      <c r="AD201" s="56">
        <f>'Blocking Prices'!$H$14+T201</f>
        <v>4.5199999999999996</v>
      </c>
      <c r="AE201" s="56">
        <f>'Blocking Prices'!$I$14+U201</f>
        <v>4.04</v>
      </c>
      <c r="AF201" s="56">
        <f>'Blocking Prices'!$J$14+V201</f>
        <v>3.9</v>
      </c>
      <c r="AG201" s="56">
        <f>'Blocking Prices'!$K$14+W201</f>
        <v>3.66</v>
      </c>
      <c r="AH201" s="11"/>
      <c r="AI201" s="11"/>
      <c r="AJ201" s="11"/>
      <c r="AK201" s="11"/>
      <c r="AL201" s="12" t="s">
        <v>1415</v>
      </c>
      <c r="AM201" s="12" t="s">
        <v>1416</v>
      </c>
      <c r="AN201" s="12" t="str">
        <f>IFERROR(_xlfn.LET(_xlpm.v,INDEX('product-export-27-8-2026'!$A:$AJ,MATCH($A201,'product-export-27-8-2026'!$A:$A,0),MATCH(AN$1,'product-export-27-8-2026'!$1:$1,0)),IF(_xlpm.v="","",_xlpm.v)),"")</f>
        <v/>
      </c>
      <c r="AO201" s="12" t="str">
        <f>IFERROR(_xlfn.LET(_xlpm.v,INDEX('product-export-27-8-2026'!$A:$AJ,MATCH($A201,'product-export-27-8-2026'!$A:$A,0),MATCH(AO$1,'product-export-27-8-2026'!$1:$1,0)),IF(_xlpm.v="","",_xlpm.v)),"")</f>
        <v/>
      </c>
      <c r="AP201" s="12" t="str">
        <f>IFERROR(_xlfn.LET(_xlpm.v,INDEX('product-export-27-8-2026'!$A:$AJ,MATCH($A201,'product-export-27-8-2026'!$A:$A,0),MATCH(AP$1,'product-export-27-8-2026'!$1:$1,0)),IF(_xlpm.v="","",_xlpm.v)),"")</f>
        <v/>
      </c>
      <c r="AQ201" s="12" t="str">
        <f>IFERROR(_xlfn.LET(_xlpm.v,INDEX('product-export-27-8-2026'!$A:$AJ,MATCH($A201,'product-export-27-8-2026'!$A:$A,0),MATCH(AQ$1,'product-export-27-8-2026'!$1:$1,0)),IF(_xlpm.v="","",_xlpm.v)),"")</f>
        <v/>
      </c>
      <c r="AR201" s="12" t="str">
        <f>IFERROR(_xlfn.LET(_xlpm.v,INDEX('product-export-27-8-2026'!$A:$AJ,MATCH($A201,'product-export-27-8-2026'!$A:$A,0),MATCH(AR$1,'product-export-27-8-2026'!$1:$1,0)),IF(_xlpm.v="","",_xlpm.v)),"")</f>
        <v>Chelsea Collection, Gifts, Luggage Tag</v>
      </c>
      <c r="AS201" s="12" t="str">
        <f>IFERROR(_xlfn.LET(_xlpm.v,INDEX('product-export-27-8-2026'!$A:$AJ,MATCH($A201,'product-export-27-8-2026'!$A:$A,0),MATCH(AS$1,'product-export-27-8-2026'!$1:$1,0)),IF(_xlpm.v="","",_xlpm.v)),"")</f>
        <v>Chelsea Leather Luggage Tag</v>
      </c>
      <c r="BC201" s="15"/>
    </row>
    <row r="202" spans="1:55" s="14" customFormat="1" ht="27.6" customHeight="1" x14ac:dyDescent="0.3">
      <c r="A202" s="11">
        <v>4941</v>
      </c>
      <c r="B202" s="12" t="s">
        <v>531</v>
      </c>
      <c r="C202" s="12" t="s">
        <v>292</v>
      </c>
      <c r="D202" s="12" t="s">
        <v>300</v>
      </c>
      <c r="E202" s="13" t="s">
        <v>576</v>
      </c>
      <c r="F202" s="12" t="s">
        <v>297</v>
      </c>
      <c r="G202" s="12" t="s">
        <v>293</v>
      </c>
      <c r="H202" s="12" t="s">
        <v>792</v>
      </c>
      <c r="I202" s="12"/>
      <c r="J202" s="12" t="s">
        <v>576</v>
      </c>
      <c r="K202" s="12"/>
      <c r="L202" s="60"/>
      <c r="M202" s="11">
        <v>9.99</v>
      </c>
      <c r="N202" s="12" t="s">
        <v>298</v>
      </c>
      <c r="O202" s="56">
        <f t="shared" ref="O202:W211" si="19">IFERROR(VALUE(_xlfn.TEXTBEFORE(_xlfn.TEXTAFTER(";"&amp;$N202,";"&amp;SUBSTITUTE(O$1,"Qty ","")&amp;":"),";")),"")</f>
        <v>9.74</v>
      </c>
      <c r="P202" s="56">
        <f t="shared" si="19"/>
        <v>8.91</v>
      </c>
      <c r="Q202" s="56">
        <f t="shared" si="19"/>
        <v>5.7</v>
      </c>
      <c r="R202" s="56">
        <f t="shared" si="19"/>
        <v>4.75</v>
      </c>
      <c r="S202" s="56">
        <f t="shared" si="19"/>
        <v>3.94</v>
      </c>
      <c r="T202" s="56">
        <f t="shared" si="19"/>
        <v>3.26</v>
      </c>
      <c r="U202" s="56">
        <f t="shared" si="19"/>
        <v>2.84</v>
      </c>
      <c r="V202" s="56">
        <f t="shared" si="19"/>
        <v>2.73</v>
      </c>
      <c r="W202" s="56">
        <f t="shared" si="19"/>
        <v>2.52</v>
      </c>
      <c r="X202" s="30" t="str" cm="1">
        <f t="array" ref="X202">IF(Y202="","",_xlfn.TEXTJOIN(";",TRUE,SUBSTITUTE($Y$1:$AG$1,"Qty ","")&amp;":"&amp;TEXT(Y202:AG202,"0.00"))&amp;";")</f>
        <v>1:13.16;10:11.54;25:7.53;50:6.25;100:5.32;250:4.52;500:4.04;750:3.90;1000:3.66;</v>
      </c>
      <c r="Y202" s="56">
        <f>'Blocking Prices'!$C$14+O202</f>
        <v>13.16</v>
      </c>
      <c r="Z202" s="56">
        <f>'Blocking Prices'!$D$14+P202</f>
        <v>11.54</v>
      </c>
      <c r="AA202" s="56">
        <f>'Blocking Prices'!$E$14+Q202</f>
        <v>7.53</v>
      </c>
      <c r="AB202" s="56">
        <f>'Blocking Prices'!$F$14+R202</f>
        <v>6.25</v>
      </c>
      <c r="AC202" s="56">
        <f>'Blocking Prices'!$G$14+S202</f>
        <v>5.32</v>
      </c>
      <c r="AD202" s="56">
        <f>'Blocking Prices'!$H$14+T202</f>
        <v>4.5199999999999996</v>
      </c>
      <c r="AE202" s="56">
        <f>'Blocking Prices'!$I$14+U202</f>
        <v>4.04</v>
      </c>
      <c r="AF202" s="56">
        <f>'Blocking Prices'!$J$14+V202</f>
        <v>3.9</v>
      </c>
      <c r="AG202" s="56">
        <f>'Blocking Prices'!$K$14+W202</f>
        <v>3.66</v>
      </c>
      <c r="AH202" s="11"/>
      <c r="AI202" s="11"/>
      <c r="AJ202" s="11"/>
      <c r="AK202" s="11"/>
      <c r="AL202" s="12" t="s">
        <v>1415</v>
      </c>
      <c r="AM202" s="12" t="s">
        <v>1416</v>
      </c>
      <c r="AN202" s="12" t="str">
        <f>IFERROR(_xlfn.LET(_xlpm.v,INDEX('product-export-27-8-2026'!$A:$AJ,MATCH($A202,'product-export-27-8-2026'!$A:$A,0),MATCH(AN$1,'product-export-27-8-2026'!$1:$1,0)),IF(_xlpm.v="","",_xlpm.v)),"")</f>
        <v/>
      </c>
      <c r="AO202" s="12" t="str">
        <f>IFERROR(_xlfn.LET(_xlpm.v,INDEX('product-export-27-8-2026'!$A:$AJ,MATCH($A202,'product-export-27-8-2026'!$A:$A,0),MATCH(AO$1,'product-export-27-8-2026'!$1:$1,0)),IF(_xlpm.v="","",_xlpm.v)),"")</f>
        <v/>
      </c>
      <c r="AP202" s="12" t="str">
        <f>IFERROR(_xlfn.LET(_xlpm.v,INDEX('product-export-27-8-2026'!$A:$AJ,MATCH($A202,'product-export-27-8-2026'!$A:$A,0),MATCH(AP$1,'product-export-27-8-2026'!$1:$1,0)),IF(_xlpm.v="","",_xlpm.v)),"")</f>
        <v/>
      </c>
      <c r="AQ202" s="12" t="str">
        <f>IFERROR(_xlfn.LET(_xlpm.v,INDEX('product-export-27-8-2026'!$A:$AJ,MATCH($A202,'product-export-27-8-2026'!$A:$A,0),MATCH(AQ$1,'product-export-27-8-2026'!$1:$1,0)),IF(_xlpm.v="","",_xlpm.v)),"")</f>
        <v/>
      </c>
      <c r="AR202" s="12" t="str">
        <f>IFERROR(_xlfn.LET(_xlpm.v,INDEX('product-export-27-8-2026'!$A:$AJ,MATCH($A202,'product-export-27-8-2026'!$A:$A,0),MATCH(AR$1,'product-export-27-8-2026'!$1:$1,0)),IF(_xlpm.v="","",_xlpm.v)),"")</f>
        <v>Chelsea Collection, Gifts, Luggage Tag</v>
      </c>
      <c r="AS202" s="12" t="str">
        <f>IFERROR(_xlfn.LET(_xlpm.v,INDEX('product-export-27-8-2026'!$A:$AJ,MATCH($A202,'product-export-27-8-2026'!$A:$A,0),MATCH(AS$1,'product-export-27-8-2026'!$1:$1,0)),IF(_xlpm.v="","",_xlpm.v)),"")</f>
        <v>Chelsea Leather Luggage Tag</v>
      </c>
      <c r="BC202" s="15"/>
    </row>
    <row r="203" spans="1:55" s="14" customFormat="1" ht="27.6" customHeight="1" x14ac:dyDescent="0.3">
      <c r="A203" s="11">
        <v>4942</v>
      </c>
      <c r="B203" s="12" t="s">
        <v>532</v>
      </c>
      <c r="C203" s="12" t="s">
        <v>292</v>
      </c>
      <c r="D203" s="12" t="s">
        <v>301</v>
      </c>
      <c r="E203" s="13" t="s">
        <v>301</v>
      </c>
      <c r="F203" s="12" t="s">
        <v>303</v>
      </c>
      <c r="G203" s="12" t="s">
        <v>302</v>
      </c>
      <c r="H203" s="12" t="s">
        <v>796</v>
      </c>
      <c r="I203" s="12"/>
      <c r="J203" s="12" t="s">
        <v>576</v>
      </c>
      <c r="K203" s="12"/>
      <c r="L203" s="60"/>
      <c r="M203" s="11">
        <v>8.5</v>
      </c>
      <c r="N203" s="12" t="s">
        <v>304</v>
      </c>
      <c r="O203" s="56">
        <f t="shared" si="19"/>
        <v>8.66</v>
      </c>
      <c r="P203" s="56">
        <f t="shared" si="19"/>
        <v>7.95</v>
      </c>
      <c r="Q203" s="56">
        <f t="shared" si="19"/>
        <v>4.97</v>
      </c>
      <c r="R203" s="56">
        <f t="shared" si="19"/>
        <v>4.1399999999999997</v>
      </c>
      <c r="S203" s="56">
        <f t="shared" si="19"/>
        <v>3.44</v>
      </c>
      <c r="T203" s="56">
        <f t="shared" si="19"/>
        <v>2.85</v>
      </c>
      <c r="U203" s="56">
        <f t="shared" si="19"/>
        <v>2.5</v>
      </c>
      <c r="V203" s="56">
        <f t="shared" si="19"/>
        <v>2.4</v>
      </c>
      <c r="W203" s="56">
        <f t="shared" si="19"/>
        <v>2.2200000000000002</v>
      </c>
      <c r="X203" s="30" t="str" cm="1">
        <f t="array" ref="X203">IF(Y203="","",_xlfn.TEXTJOIN(";",TRUE,SUBSTITUTE($Y$1:$AG$1,"Qty ","")&amp;":"&amp;TEXT(Y203:AG203,"0.00"))&amp;";")</f>
        <v>1:12.08;10:10.58;25:6.80;50:5.64;100:4.82;250:4.11;500:3.70;750:3.57;1000:3.36;</v>
      </c>
      <c r="Y203" s="56">
        <f>'Blocking Prices'!$C$14+O203</f>
        <v>12.08</v>
      </c>
      <c r="Z203" s="56">
        <f>'Blocking Prices'!$D$14+P203</f>
        <v>10.58</v>
      </c>
      <c r="AA203" s="56">
        <f>'Blocking Prices'!$E$14+Q203</f>
        <v>6.8</v>
      </c>
      <c r="AB203" s="56">
        <f>'Blocking Prices'!$F$14+R203</f>
        <v>5.64</v>
      </c>
      <c r="AC203" s="56">
        <f>'Blocking Prices'!$G$14+S203</f>
        <v>4.82</v>
      </c>
      <c r="AD203" s="56">
        <f>'Blocking Prices'!$H$14+T203</f>
        <v>4.1100000000000003</v>
      </c>
      <c r="AE203" s="56">
        <f>'Blocking Prices'!$I$14+U203</f>
        <v>3.7</v>
      </c>
      <c r="AF203" s="56">
        <f>'Blocking Prices'!$J$14+V203</f>
        <v>3.57</v>
      </c>
      <c r="AG203" s="56">
        <f>'Blocking Prices'!$K$14+W203</f>
        <v>3.3600000000000003</v>
      </c>
      <c r="AH203" s="11"/>
      <c r="AI203" s="11"/>
      <c r="AJ203" s="11"/>
      <c r="AK203" s="11"/>
      <c r="AL203" s="12" t="s">
        <v>1428</v>
      </c>
      <c r="AM203" s="12" t="s">
        <v>1429</v>
      </c>
      <c r="AN203" s="12" t="str">
        <f>IFERROR(_xlfn.LET(_xlpm.v,INDEX('product-export-27-8-2026'!$A:$AJ,MATCH($A203,'product-export-27-8-2026'!$A:$A,0),MATCH(AN$1,'product-export-27-8-2026'!$1:$1,0)),IF(_xlpm.v="","",_xlpm.v)),"")</f>
        <v/>
      </c>
      <c r="AO203" s="12" t="str">
        <f>IFERROR(_xlfn.LET(_xlpm.v,INDEX('product-export-27-8-2026'!$A:$AJ,MATCH($A203,'product-export-27-8-2026'!$A:$A,0),MATCH(AO$1,'product-export-27-8-2026'!$1:$1,0)),IF(_xlpm.v="","",_xlpm.v)),"")</f>
        <v/>
      </c>
      <c r="AP203" s="12" t="str">
        <f>IFERROR(_xlfn.LET(_xlpm.v,INDEX('product-export-27-8-2026'!$A:$AJ,MATCH($A203,'product-export-27-8-2026'!$A:$A,0),MATCH(AP$1,'product-export-27-8-2026'!$1:$1,0)),IF(_xlpm.v="","",_xlpm.v)),"")</f>
        <v/>
      </c>
      <c r="AQ203" s="12" t="str">
        <f>IFERROR(_xlfn.LET(_xlpm.v,INDEX('product-export-27-8-2026'!$A:$AJ,MATCH($A203,'product-export-27-8-2026'!$A:$A,0),MATCH(AQ$1,'product-export-27-8-2026'!$1:$1,0)),IF(_xlpm.v="","",_xlpm.v)),"")</f>
        <v/>
      </c>
      <c r="AR203" s="12" t="str">
        <f>IFERROR(_xlfn.LET(_xlpm.v,INDEX('product-export-27-8-2026'!$A:$AJ,MATCH($A203,'product-export-27-8-2026'!$A:$A,0),MATCH(AR$1,'product-export-27-8-2026'!$1:$1,0)),IF(_xlpm.v="","",_xlpm.v)),"")</f>
        <v>Dorchester Collection, Gifts, Luggage Tag</v>
      </c>
      <c r="AS203" s="12" t="str">
        <f>IFERROR(_xlfn.LET(_xlpm.v,INDEX('product-export-27-8-2026'!$A:$AJ,MATCH($A203,'product-export-27-8-2026'!$A:$A,0),MATCH(AS$1,'product-export-27-8-2026'!$1:$1,0)),IF(_xlpm.v="","",_xlpm.v)),"")</f>
        <v>Dorchester Standard Luggage Tag</v>
      </c>
      <c r="BC203" s="15"/>
    </row>
    <row r="204" spans="1:55" s="14" customFormat="1" ht="27.6" customHeight="1" x14ac:dyDescent="0.3">
      <c r="A204" s="11">
        <v>4944</v>
      </c>
      <c r="B204" s="12" t="s">
        <v>533</v>
      </c>
      <c r="C204" s="12" t="s">
        <v>292</v>
      </c>
      <c r="D204" s="12" t="s">
        <v>305</v>
      </c>
      <c r="E204" s="13" t="s">
        <v>305</v>
      </c>
      <c r="F204" s="12" t="s">
        <v>303</v>
      </c>
      <c r="G204" s="12" t="s">
        <v>302</v>
      </c>
      <c r="H204" s="12" t="s">
        <v>792</v>
      </c>
      <c r="I204" s="12"/>
      <c r="J204" s="12" t="s">
        <v>576</v>
      </c>
      <c r="K204" s="12"/>
      <c r="L204" s="60"/>
      <c r="M204" s="11">
        <v>8.5</v>
      </c>
      <c r="N204" s="12" t="s">
        <v>304</v>
      </c>
      <c r="O204" s="56">
        <f t="shared" si="19"/>
        <v>8.66</v>
      </c>
      <c r="P204" s="56">
        <f t="shared" si="19"/>
        <v>7.95</v>
      </c>
      <c r="Q204" s="56">
        <f t="shared" si="19"/>
        <v>4.97</v>
      </c>
      <c r="R204" s="56">
        <f t="shared" si="19"/>
        <v>4.1399999999999997</v>
      </c>
      <c r="S204" s="56">
        <f t="shared" si="19"/>
        <v>3.44</v>
      </c>
      <c r="T204" s="56">
        <f t="shared" si="19"/>
        <v>2.85</v>
      </c>
      <c r="U204" s="56">
        <f t="shared" si="19"/>
        <v>2.5</v>
      </c>
      <c r="V204" s="56">
        <f t="shared" si="19"/>
        <v>2.4</v>
      </c>
      <c r="W204" s="56">
        <f t="shared" si="19"/>
        <v>2.2200000000000002</v>
      </c>
      <c r="X204" s="30" t="str" cm="1">
        <f t="array" ref="X204">IF(Y204="","",_xlfn.TEXTJOIN(";",TRUE,SUBSTITUTE($Y$1:$AG$1,"Qty ","")&amp;":"&amp;TEXT(Y204:AG204,"0.00"))&amp;";")</f>
        <v>1:12.08;10:10.58;25:6.80;50:5.64;100:4.82;250:4.11;500:3.70;750:3.57;1000:3.36;</v>
      </c>
      <c r="Y204" s="56">
        <f>'Blocking Prices'!$C$14+O204</f>
        <v>12.08</v>
      </c>
      <c r="Z204" s="56">
        <f>'Blocking Prices'!$D$14+P204</f>
        <v>10.58</v>
      </c>
      <c r="AA204" s="56">
        <f>'Blocking Prices'!$E$14+Q204</f>
        <v>6.8</v>
      </c>
      <c r="AB204" s="56">
        <f>'Blocking Prices'!$F$14+R204</f>
        <v>5.64</v>
      </c>
      <c r="AC204" s="56">
        <f>'Blocking Prices'!$G$14+S204</f>
        <v>4.82</v>
      </c>
      <c r="AD204" s="56">
        <f>'Blocking Prices'!$H$14+T204</f>
        <v>4.1100000000000003</v>
      </c>
      <c r="AE204" s="56">
        <f>'Blocking Prices'!$I$14+U204</f>
        <v>3.7</v>
      </c>
      <c r="AF204" s="56">
        <f>'Blocking Prices'!$J$14+V204</f>
        <v>3.57</v>
      </c>
      <c r="AG204" s="56">
        <f>'Blocking Prices'!$K$14+W204</f>
        <v>3.3600000000000003</v>
      </c>
      <c r="AH204" s="11"/>
      <c r="AI204" s="11"/>
      <c r="AJ204" s="11"/>
      <c r="AK204" s="11"/>
      <c r="AL204" s="12" t="s">
        <v>1428</v>
      </c>
      <c r="AM204" s="12" t="s">
        <v>1429</v>
      </c>
      <c r="AN204" s="12" t="str">
        <f>IFERROR(_xlfn.LET(_xlpm.v,INDEX('product-export-27-8-2026'!$A:$AJ,MATCH($A204,'product-export-27-8-2026'!$A:$A,0),MATCH(AN$1,'product-export-27-8-2026'!$1:$1,0)),IF(_xlpm.v="","",_xlpm.v)),"")</f>
        <v/>
      </c>
      <c r="AO204" s="12" t="str">
        <f>IFERROR(_xlfn.LET(_xlpm.v,INDEX('product-export-27-8-2026'!$A:$AJ,MATCH($A204,'product-export-27-8-2026'!$A:$A,0),MATCH(AO$1,'product-export-27-8-2026'!$1:$1,0)),IF(_xlpm.v="","",_xlpm.v)),"")</f>
        <v/>
      </c>
      <c r="AP204" s="12" t="str">
        <f>IFERROR(_xlfn.LET(_xlpm.v,INDEX('product-export-27-8-2026'!$A:$AJ,MATCH($A204,'product-export-27-8-2026'!$A:$A,0),MATCH(AP$1,'product-export-27-8-2026'!$1:$1,0)),IF(_xlpm.v="","",_xlpm.v)),"")</f>
        <v/>
      </c>
      <c r="AQ204" s="12" t="str">
        <f>IFERROR(_xlfn.LET(_xlpm.v,INDEX('product-export-27-8-2026'!$A:$AJ,MATCH($A204,'product-export-27-8-2026'!$A:$A,0),MATCH(AQ$1,'product-export-27-8-2026'!$1:$1,0)),IF(_xlpm.v="","",_xlpm.v)),"")</f>
        <v/>
      </c>
      <c r="AR204" s="12" t="str">
        <f>IFERROR(_xlfn.LET(_xlpm.v,INDEX('product-export-27-8-2026'!$A:$AJ,MATCH($A204,'product-export-27-8-2026'!$A:$A,0),MATCH(AR$1,'product-export-27-8-2026'!$1:$1,0)),IF(_xlpm.v="","",_xlpm.v)),"")</f>
        <v>Dorchester Collection, Gifts, Luggage Tag</v>
      </c>
      <c r="AS204" s="12" t="str">
        <f>IFERROR(_xlfn.LET(_xlpm.v,INDEX('product-export-27-8-2026'!$A:$AJ,MATCH($A204,'product-export-27-8-2026'!$A:$A,0),MATCH(AS$1,'product-export-27-8-2026'!$1:$1,0)),IF(_xlpm.v="","",_xlpm.v)),"")</f>
        <v>Dorchester Standard Luggage Tag</v>
      </c>
      <c r="BC204" s="15"/>
    </row>
    <row r="205" spans="1:55" s="14" customFormat="1" ht="27.6" customHeight="1" x14ac:dyDescent="0.3">
      <c r="A205" s="11">
        <v>4946</v>
      </c>
      <c r="B205" s="12" t="s">
        <v>534</v>
      </c>
      <c r="C205" s="12" t="s">
        <v>292</v>
      </c>
      <c r="D205" s="12" t="s">
        <v>306</v>
      </c>
      <c r="E205" s="13" t="s">
        <v>306</v>
      </c>
      <c r="F205" s="12" t="s">
        <v>303</v>
      </c>
      <c r="G205" s="12" t="s">
        <v>302</v>
      </c>
      <c r="H205" s="12" t="s">
        <v>891</v>
      </c>
      <c r="I205" s="12"/>
      <c r="J205" s="12" t="s">
        <v>576</v>
      </c>
      <c r="K205" s="12"/>
      <c r="L205" s="60"/>
      <c r="M205" s="11">
        <v>8.5</v>
      </c>
      <c r="N205" s="12" t="s">
        <v>304</v>
      </c>
      <c r="O205" s="56">
        <f t="shared" si="19"/>
        <v>8.66</v>
      </c>
      <c r="P205" s="56">
        <f t="shared" si="19"/>
        <v>7.95</v>
      </c>
      <c r="Q205" s="56">
        <f t="shared" si="19"/>
        <v>4.97</v>
      </c>
      <c r="R205" s="56">
        <f t="shared" si="19"/>
        <v>4.1399999999999997</v>
      </c>
      <c r="S205" s="56">
        <f t="shared" si="19"/>
        <v>3.44</v>
      </c>
      <c r="T205" s="56">
        <f t="shared" si="19"/>
        <v>2.85</v>
      </c>
      <c r="U205" s="56">
        <f t="shared" si="19"/>
        <v>2.5</v>
      </c>
      <c r="V205" s="56">
        <f t="shared" si="19"/>
        <v>2.4</v>
      </c>
      <c r="W205" s="56">
        <f t="shared" si="19"/>
        <v>2.2200000000000002</v>
      </c>
      <c r="X205" s="30" t="str" cm="1">
        <f t="array" ref="X205">IF(Y205="","",_xlfn.TEXTJOIN(";",TRUE,SUBSTITUTE($Y$1:$AG$1,"Qty ","")&amp;":"&amp;TEXT(Y205:AG205,"0.00"))&amp;";")</f>
        <v>1:12.08;10:10.58;25:6.80;50:5.64;100:4.82;250:4.11;500:3.70;750:3.57;1000:3.36;</v>
      </c>
      <c r="Y205" s="56">
        <f>'Blocking Prices'!$C$14+O205</f>
        <v>12.08</v>
      </c>
      <c r="Z205" s="56">
        <f>'Blocking Prices'!$D$14+P205</f>
        <v>10.58</v>
      </c>
      <c r="AA205" s="56">
        <f>'Blocking Prices'!$E$14+Q205</f>
        <v>6.8</v>
      </c>
      <c r="AB205" s="56">
        <f>'Blocking Prices'!$F$14+R205</f>
        <v>5.64</v>
      </c>
      <c r="AC205" s="56">
        <f>'Blocking Prices'!$G$14+S205</f>
        <v>4.82</v>
      </c>
      <c r="AD205" s="56">
        <f>'Blocking Prices'!$H$14+T205</f>
        <v>4.1100000000000003</v>
      </c>
      <c r="AE205" s="56">
        <f>'Blocking Prices'!$I$14+U205</f>
        <v>3.7</v>
      </c>
      <c r="AF205" s="56">
        <f>'Blocking Prices'!$J$14+V205</f>
        <v>3.57</v>
      </c>
      <c r="AG205" s="56">
        <f>'Blocking Prices'!$K$14+W205</f>
        <v>3.3600000000000003</v>
      </c>
      <c r="AH205" s="11"/>
      <c r="AI205" s="11"/>
      <c r="AJ205" s="11"/>
      <c r="AK205" s="11"/>
      <c r="AL205" s="12" t="s">
        <v>1428</v>
      </c>
      <c r="AM205" s="12" t="s">
        <v>1429</v>
      </c>
      <c r="AN205" s="12" t="str">
        <f>IFERROR(_xlfn.LET(_xlpm.v,INDEX('product-export-27-8-2026'!$A:$AJ,MATCH($A205,'product-export-27-8-2026'!$A:$A,0),MATCH(AN$1,'product-export-27-8-2026'!$1:$1,0)),IF(_xlpm.v="","",_xlpm.v)),"")</f>
        <v/>
      </c>
      <c r="AO205" s="12" t="str">
        <f>IFERROR(_xlfn.LET(_xlpm.v,INDEX('product-export-27-8-2026'!$A:$AJ,MATCH($A205,'product-export-27-8-2026'!$A:$A,0),MATCH(AO$1,'product-export-27-8-2026'!$1:$1,0)),IF(_xlpm.v="","",_xlpm.v)),"")</f>
        <v/>
      </c>
      <c r="AP205" s="12" t="str">
        <f>IFERROR(_xlfn.LET(_xlpm.v,INDEX('product-export-27-8-2026'!$A:$AJ,MATCH($A205,'product-export-27-8-2026'!$A:$A,0),MATCH(AP$1,'product-export-27-8-2026'!$1:$1,0)),IF(_xlpm.v="","",_xlpm.v)),"")</f>
        <v/>
      </c>
      <c r="AQ205" s="12" t="str">
        <f>IFERROR(_xlfn.LET(_xlpm.v,INDEX('product-export-27-8-2026'!$A:$AJ,MATCH($A205,'product-export-27-8-2026'!$A:$A,0),MATCH(AQ$1,'product-export-27-8-2026'!$1:$1,0)),IF(_xlpm.v="","",_xlpm.v)),"")</f>
        <v/>
      </c>
      <c r="AR205" s="12" t="str">
        <f>IFERROR(_xlfn.LET(_xlpm.v,INDEX('product-export-27-8-2026'!$A:$AJ,MATCH($A205,'product-export-27-8-2026'!$A:$A,0),MATCH(AR$1,'product-export-27-8-2026'!$1:$1,0)),IF(_xlpm.v="","",_xlpm.v)),"")</f>
        <v>Dorchester Collection, Gifts, Luggage Tag</v>
      </c>
      <c r="AS205" s="12" t="str">
        <f>IFERROR(_xlfn.LET(_xlpm.v,INDEX('product-export-27-8-2026'!$A:$AJ,MATCH($A205,'product-export-27-8-2026'!$A:$A,0),MATCH(AS$1,'product-export-27-8-2026'!$1:$1,0)),IF(_xlpm.v="","",_xlpm.v)),"")</f>
        <v>Dorchester Standard Luggage Tag</v>
      </c>
      <c r="BC205" s="15"/>
    </row>
    <row r="206" spans="1:55" s="14" customFormat="1" ht="27.6" customHeight="1" x14ac:dyDescent="0.3">
      <c r="A206" s="11">
        <v>4949</v>
      </c>
      <c r="B206" s="12" t="s">
        <v>535</v>
      </c>
      <c r="C206" s="12" t="s">
        <v>292</v>
      </c>
      <c r="D206" s="12" t="s">
        <v>307</v>
      </c>
      <c r="E206" s="13" t="s">
        <v>307</v>
      </c>
      <c r="F206" s="12" t="s">
        <v>303</v>
      </c>
      <c r="G206" s="12" t="s">
        <v>302</v>
      </c>
      <c r="H206" s="12" t="s">
        <v>1051</v>
      </c>
      <c r="I206" s="12"/>
      <c r="J206" s="12" t="s">
        <v>576</v>
      </c>
      <c r="K206" s="12"/>
      <c r="L206" s="60"/>
      <c r="M206" s="11">
        <v>8.5</v>
      </c>
      <c r="N206" s="12" t="s">
        <v>304</v>
      </c>
      <c r="O206" s="56">
        <f t="shared" si="19"/>
        <v>8.66</v>
      </c>
      <c r="P206" s="56">
        <f t="shared" si="19"/>
        <v>7.95</v>
      </c>
      <c r="Q206" s="56">
        <f t="shared" si="19"/>
        <v>4.97</v>
      </c>
      <c r="R206" s="56">
        <f t="shared" si="19"/>
        <v>4.1399999999999997</v>
      </c>
      <c r="S206" s="56">
        <f t="shared" si="19"/>
        <v>3.44</v>
      </c>
      <c r="T206" s="56">
        <f t="shared" si="19"/>
        <v>2.85</v>
      </c>
      <c r="U206" s="56">
        <f t="shared" si="19"/>
        <v>2.5</v>
      </c>
      <c r="V206" s="56">
        <f t="shared" si="19"/>
        <v>2.4</v>
      </c>
      <c r="W206" s="56">
        <f t="shared" si="19"/>
        <v>2.2200000000000002</v>
      </c>
      <c r="X206" s="30" t="str" cm="1">
        <f t="array" ref="X206">IF(Y206="","",_xlfn.TEXTJOIN(";",TRUE,SUBSTITUTE($Y$1:$AG$1,"Qty ","")&amp;":"&amp;TEXT(Y206:AG206,"0.00"))&amp;";")</f>
        <v>1:12.08;10:10.58;25:6.80;50:5.64;100:4.82;250:4.11;500:3.70;750:3.57;1000:3.36;</v>
      </c>
      <c r="Y206" s="56">
        <f>'Blocking Prices'!$C$14+O206</f>
        <v>12.08</v>
      </c>
      <c r="Z206" s="56">
        <f>'Blocking Prices'!$D$14+P206</f>
        <v>10.58</v>
      </c>
      <c r="AA206" s="56">
        <f>'Blocking Prices'!$E$14+Q206</f>
        <v>6.8</v>
      </c>
      <c r="AB206" s="56">
        <f>'Blocking Prices'!$F$14+R206</f>
        <v>5.64</v>
      </c>
      <c r="AC206" s="56">
        <f>'Blocking Prices'!$G$14+S206</f>
        <v>4.82</v>
      </c>
      <c r="AD206" s="56">
        <f>'Blocking Prices'!$H$14+T206</f>
        <v>4.1100000000000003</v>
      </c>
      <c r="AE206" s="56">
        <f>'Blocking Prices'!$I$14+U206</f>
        <v>3.7</v>
      </c>
      <c r="AF206" s="56">
        <f>'Blocking Prices'!$J$14+V206</f>
        <v>3.57</v>
      </c>
      <c r="AG206" s="56">
        <f>'Blocking Prices'!$K$14+W206</f>
        <v>3.3600000000000003</v>
      </c>
      <c r="AH206" s="11"/>
      <c r="AI206" s="11"/>
      <c r="AJ206" s="11"/>
      <c r="AK206" s="11"/>
      <c r="AL206" s="12" t="s">
        <v>1428</v>
      </c>
      <c r="AM206" s="12" t="s">
        <v>1429</v>
      </c>
      <c r="AN206" s="12" t="str">
        <f>IFERROR(_xlfn.LET(_xlpm.v,INDEX('product-export-27-8-2026'!$A:$AJ,MATCH($A206,'product-export-27-8-2026'!$A:$A,0),MATCH(AN$1,'product-export-27-8-2026'!$1:$1,0)),IF(_xlpm.v="","",_xlpm.v)),"")</f>
        <v/>
      </c>
      <c r="AO206" s="12" t="str">
        <f>IFERROR(_xlfn.LET(_xlpm.v,INDEX('product-export-27-8-2026'!$A:$AJ,MATCH($A206,'product-export-27-8-2026'!$A:$A,0),MATCH(AO$1,'product-export-27-8-2026'!$1:$1,0)),IF(_xlpm.v="","",_xlpm.v)),"")</f>
        <v/>
      </c>
      <c r="AP206" s="12" t="str">
        <f>IFERROR(_xlfn.LET(_xlpm.v,INDEX('product-export-27-8-2026'!$A:$AJ,MATCH($A206,'product-export-27-8-2026'!$A:$A,0),MATCH(AP$1,'product-export-27-8-2026'!$1:$1,0)),IF(_xlpm.v="","",_xlpm.v)),"")</f>
        <v/>
      </c>
      <c r="AQ206" s="12" t="str">
        <f>IFERROR(_xlfn.LET(_xlpm.v,INDEX('product-export-27-8-2026'!$A:$AJ,MATCH($A206,'product-export-27-8-2026'!$A:$A,0),MATCH(AQ$1,'product-export-27-8-2026'!$1:$1,0)),IF(_xlpm.v="","",_xlpm.v)),"")</f>
        <v/>
      </c>
      <c r="AR206" s="12" t="str">
        <f>IFERROR(_xlfn.LET(_xlpm.v,INDEX('product-export-27-8-2026'!$A:$AJ,MATCH($A206,'product-export-27-8-2026'!$A:$A,0),MATCH(AR$1,'product-export-27-8-2026'!$1:$1,0)),IF(_xlpm.v="","",_xlpm.v)),"")</f>
        <v>Dorchester Collection, Gifts, Luggage Tag</v>
      </c>
      <c r="AS206" s="12" t="str">
        <f>IFERROR(_xlfn.LET(_xlpm.v,INDEX('product-export-27-8-2026'!$A:$AJ,MATCH($A206,'product-export-27-8-2026'!$A:$A,0),MATCH(AS$1,'product-export-27-8-2026'!$1:$1,0)),IF(_xlpm.v="","",_xlpm.v)),"")</f>
        <v>Dorchester Standard Luggage Tag</v>
      </c>
      <c r="BC206" s="15"/>
    </row>
    <row r="207" spans="1:55" s="14" customFormat="1" ht="27.6" customHeight="1" x14ac:dyDescent="0.3">
      <c r="A207" s="11">
        <v>4951</v>
      </c>
      <c r="B207" s="12" t="s">
        <v>536</v>
      </c>
      <c r="C207" s="12" t="s">
        <v>292</v>
      </c>
      <c r="D207" s="12" t="s">
        <v>308</v>
      </c>
      <c r="E207" s="13" t="s">
        <v>308</v>
      </c>
      <c r="F207" s="12" t="s">
        <v>303</v>
      </c>
      <c r="G207" s="12" t="s">
        <v>302</v>
      </c>
      <c r="H207" s="12" t="s">
        <v>728</v>
      </c>
      <c r="I207" s="12"/>
      <c r="J207" s="12" t="s">
        <v>576</v>
      </c>
      <c r="K207" s="12"/>
      <c r="L207" s="60"/>
      <c r="M207" s="11">
        <v>8.5</v>
      </c>
      <c r="N207" s="12" t="s">
        <v>304</v>
      </c>
      <c r="O207" s="56">
        <f t="shared" si="19"/>
        <v>8.66</v>
      </c>
      <c r="P207" s="56">
        <f t="shared" si="19"/>
        <v>7.95</v>
      </c>
      <c r="Q207" s="56">
        <f t="shared" si="19"/>
        <v>4.97</v>
      </c>
      <c r="R207" s="56">
        <f t="shared" si="19"/>
        <v>4.1399999999999997</v>
      </c>
      <c r="S207" s="56">
        <f t="shared" si="19"/>
        <v>3.44</v>
      </c>
      <c r="T207" s="56">
        <f t="shared" si="19"/>
        <v>2.85</v>
      </c>
      <c r="U207" s="56">
        <f t="shared" si="19"/>
        <v>2.5</v>
      </c>
      <c r="V207" s="56">
        <f t="shared" si="19"/>
        <v>2.4</v>
      </c>
      <c r="W207" s="56">
        <f t="shared" si="19"/>
        <v>2.2200000000000002</v>
      </c>
      <c r="X207" s="30" t="str" cm="1">
        <f t="array" ref="X207">IF(Y207="","",_xlfn.TEXTJOIN(";",TRUE,SUBSTITUTE($Y$1:$AG$1,"Qty ","")&amp;":"&amp;TEXT(Y207:AG207,"0.00"))&amp;";")</f>
        <v>1:12.08;10:10.58;25:6.80;50:5.64;100:4.82;250:4.11;500:3.70;750:3.57;1000:3.36;</v>
      </c>
      <c r="Y207" s="56">
        <f>'Blocking Prices'!$C$14+O207</f>
        <v>12.08</v>
      </c>
      <c r="Z207" s="56">
        <f>'Blocking Prices'!$D$14+P207</f>
        <v>10.58</v>
      </c>
      <c r="AA207" s="56">
        <f>'Blocking Prices'!$E$14+Q207</f>
        <v>6.8</v>
      </c>
      <c r="AB207" s="56">
        <f>'Blocking Prices'!$F$14+R207</f>
        <v>5.64</v>
      </c>
      <c r="AC207" s="56">
        <f>'Blocking Prices'!$G$14+S207</f>
        <v>4.82</v>
      </c>
      <c r="AD207" s="56">
        <f>'Blocking Prices'!$H$14+T207</f>
        <v>4.1100000000000003</v>
      </c>
      <c r="AE207" s="56">
        <f>'Blocking Prices'!$I$14+U207</f>
        <v>3.7</v>
      </c>
      <c r="AF207" s="56">
        <f>'Blocking Prices'!$J$14+V207</f>
        <v>3.57</v>
      </c>
      <c r="AG207" s="56">
        <f>'Blocking Prices'!$K$14+W207</f>
        <v>3.3600000000000003</v>
      </c>
      <c r="AH207" s="11"/>
      <c r="AI207" s="11"/>
      <c r="AJ207" s="11"/>
      <c r="AK207" s="11"/>
      <c r="AL207" s="12" t="s">
        <v>1428</v>
      </c>
      <c r="AM207" s="12" t="s">
        <v>1429</v>
      </c>
      <c r="AN207" s="12" t="str">
        <f>IFERROR(_xlfn.LET(_xlpm.v,INDEX('product-export-27-8-2026'!$A:$AJ,MATCH($A207,'product-export-27-8-2026'!$A:$A,0),MATCH(AN$1,'product-export-27-8-2026'!$1:$1,0)),IF(_xlpm.v="","",_xlpm.v)),"")</f>
        <v/>
      </c>
      <c r="AO207" s="12" t="str">
        <f>IFERROR(_xlfn.LET(_xlpm.v,INDEX('product-export-27-8-2026'!$A:$AJ,MATCH($A207,'product-export-27-8-2026'!$A:$A,0),MATCH(AO$1,'product-export-27-8-2026'!$1:$1,0)),IF(_xlpm.v="","",_xlpm.v)),"")</f>
        <v/>
      </c>
      <c r="AP207" s="12" t="str">
        <f>IFERROR(_xlfn.LET(_xlpm.v,INDEX('product-export-27-8-2026'!$A:$AJ,MATCH($A207,'product-export-27-8-2026'!$A:$A,0),MATCH(AP$1,'product-export-27-8-2026'!$1:$1,0)),IF(_xlpm.v="","",_xlpm.v)),"")</f>
        <v/>
      </c>
      <c r="AQ207" s="12" t="str">
        <f>IFERROR(_xlfn.LET(_xlpm.v,INDEX('product-export-27-8-2026'!$A:$AJ,MATCH($A207,'product-export-27-8-2026'!$A:$A,0),MATCH(AQ$1,'product-export-27-8-2026'!$1:$1,0)),IF(_xlpm.v="","",_xlpm.v)),"")</f>
        <v/>
      </c>
      <c r="AR207" s="12" t="str">
        <f>IFERROR(_xlfn.LET(_xlpm.v,INDEX('product-export-27-8-2026'!$A:$AJ,MATCH($A207,'product-export-27-8-2026'!$A:$A,0),MATCH(AR$1,'product-export-27-8-2026'!$1:$1,0)),IF(_xlpm.v="","",_xlpm.v)),"")</f>
        <v>Dorchester Collection, Gifts, Luggage Tag</v>
      </c>
      <c r="AS207" s="12" t="str">
        <f>IFERROR(_xlfn.LET(_xlpm.v,INDEX('product-export-27-8-2026'!$A:$AJ,MATCH($A207,'product-export-27-8-2026'!$A:$A,0),MATCH(AS$1,'product-export-27-8-2026'!$1:$1,0)),IF(_xlpm.v="","",_xlpm.v)),"")</f>
        <v>Dorchester Standard Luggage Tag</v>
      </c>
      <c r="BC207" s="15"/>
    </row>
    <row r="208" spans="1:55" s="14" customFormat="1" ht="27.6" customHeight="1" x14ac:dyDescent="0.3">
      <c r="A208" s="11">
        <v>4953</v>
      </c>
      <c r="B208" s="12" t="s">
        <v>537</v>
      </c>
      <c r="C208" s="12" t="s">
        <v>292</v>
      </c>
      <c r="D208" s="12" t="s">
        <v>309</v>
      </c>
      <c r="E208" s="13" t="s">
        <v>309</v>
      </c>
      <c r="F208" s="12" t="s">
        <v>303</v>
      </c>
      <c r="G208" s="12" t="s">
        <v>302</v>
      </c>
      <c r="H208" s="12" t="s">
        <v>672</v>
      </c>
      <c r="I208" s="12"/>
      <c r="J208" s="12" t="s">
        <v>576</v>
      </c>
      <c r="K208" s="12"/>
      <c r="L208" s="60"/>
      <c r="M208" s="11">
        <v>8.5</v>
      </c>
      <c r="N208" s="12" t="s">
        <v>304</v>
      </c>
      <c r="O208" s="56">
        <f t="shared" si="19"/>
        <v>8.66</v>
      </c>
      <c r="P208" s="56">
        <f t="shared" si="19"/>
        <v>7.95</v>
      </c>
      <c r="Q208" s="56">
        <f t="shared" si="19"/>
        <v>4.97</v>
      </c>
      <c r="R208" s="56">
        <f t="shared" si="19"/>
        <v>4.1399999999999997</v>
      </c>
      <c r="S208" s="56">
        <f t="shared" si="19"/>
        <v>3.44</v>
      </c>
      <c r="T208" s="56">
        <f t="shared" si="19"/>
        <v>2.85</v>
      </c>
      <c r="U208" s="56">
        <f t="shared" si="19"/>
        <v>2.5</v>
      </c>
      <c r="V208" s="56">
        <f t="shared" si="19"/>
        <v>2.4</v>
      </c>
      <c r="W208" s="56">
        <f t="shared" si="19"/>
        <v>2.2200000000000002</v>
      </c>
      <c r="X208" s="30" t="str" cm="1">
        <f t="array" ref="X208">IF(Y208="","",_xlfn.TEXTJOIN(";",TRUE,SUBSTITUTE($Y$1:$AG$1,"Qty ","")&amp;":"&amp;TEXT(Y208:AG208,"0.00"))&amp;";")</f>
        <v>1:12.08;10:10.58;25:6.80;50:5.64;100:4.82;250:4.11;500:3.70;750:3.57;1000:3.36;</v>
      </c>
      <c r="Y208" s="56">
        <f>'Blocking Prices'!$C$14+O208</f>
        <v>12.08</v>
      </c>
      <c r="Z208" s="56">
        <f>'Blocking Prices'!$D$14+P208</f>
        <v>10.58</v>
      </c>
      <c r="AA208" s="56">
        <f>'Blocking Prices'!$E$14+Q208</f>
        <v>6.8</v>
      </c>
      <c r="AB208" s="56">
        <f>'Blocking Prices'!$F$14+R208</f>
        <v>5.64</v>
      </c>
      <c r="AC208" s="56">
        <f>'Blocking Prices'!$G$14+S208</f>
        <v>4.82</v>
      </c>
      <c r="AD208" s="56">
        <f>'Blocking Prices'!$H$14+T208</f>
        <v>4.1100000000000003</v>
      </c>
      <c r="AE208" s="56">
        <f>'Blocking Prices'!$I$14+U208</f>
        <v>3.7</v>
      </c>
      <c r="AF208" s="56">
        <f>'Blocking Prices'!$J$14+V208</f>
        <v>3.57</v>
      </c>
      <c r="AG208" s="56">
        <f>'Blocking Prices'!$K$14+W208</f>
        <v>3.3600000000000003</v>
      </c>
      <c r="AH208" s="11"/>
      <c r="AI208" s="11"/>
      <c r="AJ208" s="11"/>
      <c r="AK208" s="11"/>
      <c r="AL208" s="12" t="s">
        <v>1428</v>
      </c>
      <c r="AM208" s="12" t="s">
        <v>1429</v>
      </c>
      <c r="AN208" s="12" t="str">
        <f>IFERROR(_xlfn.LET(_xlpm.v,INDEX('product-export-27-8-2026'!$A:$AJ,MATCH($A208,'product-export-27-8-2026'!$A:$A,0),MATCH(AN$1,'product-export-27-8-2026'!$1:$1,0)),IF(_xlpm.v="","",_xlpm.v)),"")</f>
        <v/>
      </c>
      <c r="AO208" s="12" t="str">
        <f>IFERROR(_xlfn.LET(_xlpm.v,INDEX('product-export-27-8-2026'!$A:$AJ,MATCH($A208,'product-export-27-8-2026'!$A:$A,0),MATCH(AO$1,'product-export-27-8-2026'!$1:$1,0)),IF(_xlpm.v="","",_xlpm.v)),"")</f>
        <v/>
      </c>
      <c r="AP208" s="12" t="str">
        <f>IFERROR(_xlfn.LET(_xlpm.v,INDEX('product-export-27-8-2026'!$A:$AJ,MATCH($A208,'product-export-27-8-2026'!$A:$A,0),MATCH(AP$1,'product-export-27-8-2026'!$1:$1,0)),IF(_xlpm.v="","",_xlpm.v)),"")</f>
        <v/>
      </c>
      <c r="AQ208" s="12" t="str">
        <f>IFERROR(_xlfn.LET(_xlpm.v,INDEX('product-export-27-8-2026'!$A:$AJ,MATCH($A208,'product-export-27-8-2026'!$A:$A,0),MATCH(AQ$1,'product-export-27-8-2026'!$1:$1,0)),IF(_xlpm.v="","",_xlpm.v)),"")</f>
        <v/>
      </c>
      <c r="AR208" s="12" t="str">
        <f>IFERROR(_xlfn.LET(_xlpm.v,INDEX('product-export-27-8-2026'!$A:$AJ,MATCH($A208,'product-export-27-8-2026'!$A:$A,0),MATCH(AR$1,'product-export-27-8-2026'!$1:$1,0)),IF(_xlpm.v="","",_xlpm.v)),"")</f>
        <v>Dorchester Collection, Gifts, Luggage Tag</v>
      </c>
      <c r="AS208" s="12" t="str">
        <f>IFERROR(_xlfn.LET(_xlpm.v,INDEX('product-export-27-8-2026'!$A:$AJ,MATCH($A208,'product-export-27-8-2026'!$A:$A,0),MATCH(AS$1,'product-export-27-8-2026'!$1:$1,0)),IF(_xlpm.v="","",_xlpm.v)),"")</f>
        <v>Dorchester Standard Luggage Tag</v>
      </c>
      <c r="BC208" s="15"/>
    </row>
    <row r="209" spans="1:55" s="14" customFormat="1" ht="27.6" customHeight="1" x14ac:dyDescent="0.3">
      <c r="A209" s="11">
        <v>4955</v>
      </c>
      <c r="B209" s="12" t="s">
        <v>538</v>
      </c>
      <c r="C209" s="12" t="s">
        <v>292</v>
      </c>
      <c r="D209" s="12" t="s">
        <v>310</v>
      </c>
      <c r="E209" s="13" t="s">
        <v>310</v>
      </c>
      <c r="F209" s="12" t="s">
        <v>311</v>
      </c>
      <c r="G209" s="12" t="s">
        <v>293</v>
      </c>
      <c r="H209" s="12" t="s">
        <v>891</v>
      </c>
      <c r="I209" s="12"/>
      <c r="J209" s="12" t="s">
        <v>576</v>
      </c>
      <c r="K209" s="12"/>
      <c r="L209" s="60"/>
      <c r="M209" s="11">
        <v>7.99</v>
      </c>
      <c r="N209" s="12" t="s">
        <v>312</v>
      </c>
      <c r="O209" s="56">
        <f t="shared" si="19"/>
        <v>8.24</v>
      </c>
      <c r="P209" s="56">
        <f t="shared" si="19"/>
        <v>7.58</v>
      </c>
      <c r="Q209" s="56">
        <f t="shared" si="19"/>
        <v>4.7</v>
      </c>
      <c r="R209" s="56">
        <f t="shared" si="19"/>
        <v>3.91</v>
      </c>
      <c r="S209" s="56">
        <f t="shared" si="19"/>
        <v>3.26</v>
      </c>
      <c r="T209" s="56">
        <f t="shared" si="19"/>
        <v>2.7</v>
      </c>
      <c r="U209" s="56">
        <f t="shared" si="19"/>
        <v>2.37</v>
      </c>
      <c r="V209" s="56">
        <f t="shared" si="19"/>
        <v>2.27</v>
      </c>
      <c r="W209" s="56">
        <f t="shared" si="19"/>
        <v>2.11</v>
      </c>
      <c r="X209" s="30" t="str" cm="1">
        <f t="array" ref="X209">IF(Y209="","",_xlfn.TEXTJOIN(";",TRUE,SUBSTITUTE($Y$1:$AG$1,"Qty ","")&amp;":"&amp;TEXT(Y209:AG209,"0.00"))&amp;";")</f>
        <v>1:11.66;10:10.21;25:6.53;50:5.41;100:4.64;250:3.96;500:3.57;750:3.44;1000:3.25;</v>
      </c>
      <c r="Y209" s="56">
        <f>'Blocking Prices'!$C$14+O209</f>
        <v>11.66</v>
      </c>
      <c r="Z209" s="56">
        <f>'Blocking Prices'!$D$14+P209</f>
        <v>10.210000000000001</v>
      </c>
      <c r="AA209" s="56">
        <f>'Blocking Prices'!$E$14+Q209</f>
        <v>6.53</v>
      </c>
      <c r="AB209" s="56">
        <f>'Blocking Prices'!$F$14+R209</f>
        <v>5.41</v>
      </c>
      <c r="AC209" s="56">
        <f>'Blocking Prices'!$G$14+S209</f>
        <v>4.6399999999999997</v>
      </c>
      <c r="AD209" s="56">
        <f>'Blocking Prices'!$H$14+T209</f>
        <v>3.96</v>
      </c>
      <c r="AE209" s="56">
        <f>'Blocking Prices'!$I$14+U209</f>
        <v>3.5700000000000003</v>
      </c>
      <c r="AF209" s="56">
        <f>'Blocking Prices'!$J$14+V209</f>
        <v>3.44</v>
      </c>
      <c r="AG209" s="56">
        <f>'Blocking Prices'!$K$14+W209</f>
        <v>3.25</v>
      </c>
      <c r="AH209" s="11"/>
      <c r="AI209" s="11"/>
      <c r="AJ209" s="11"/>
      <c r="AK209" s="11"/>
      <c r="AL209" s="12" t="s">
        <v>1440</v>
      </c>
      <c r="AM209" s="12" t="s">
        <v>1441</v>
      </c>
      <c r="AN209" s="12" t="str">
        <f>IFERROR(_xlfn.LET(_xlpm.v,INDEX('product-export-27-8-2026'!$A:$AJ,MATCH($A209,'product-export-27-8-2026'!$A:$A,0),MATCH(AN$1,'product-export-27-8-2026'!$1:$1,0)),IF(_xlpm.v="","",_xlpm.v)),"")</f>
        <v/>
      </c>
      <c r="AO209" s="12" t="str">
        <f>IFERROR(_xlfn.LET(_xlpm.v,INDEX('product-export-27-8-2026'!$A:$AJ,MATCH($A209,'product-export-27-8-2026'!$A:$A,0),MATCH(AO$1,'product-export-27-8-2026'!$1:$1,0)),IF(_xlpm.v="","",_xlpm.v)),"")</f>
        <v/>
      </c>
      <c r="AP209" s="12" t="str">
        <f>IFERROR(_xlfn.LET(_xlpm.v,INDEX('product-export-27-8-2026'!$A:$AJ,MATCH($A209,'product-export-27-8-2026'!$A:$A,0),MATCH(AP$1,'product-export-27-8-2026'!$1:$1,0)),IF(_xlpm.v="","",_xlpm.v)),"")</f>
        <v/>
      </c>
      <c r="AQ209" s="12" t="str">
        <f>IFERROR(_xlfn.LET(_xlpm.v,INDEX('product-export-27-8-2026'!$A:$AJ,MATCH($A209,'product-export-27-8-2026'!$A:$A,0),MATCH(AQ$1,'product-export-27-8-2026'!$1:$1,0)),IF(_xlpm.v="","",_xlpm.v)),"")</f>
        <v/>
      </c>
      <c r="AR209" s="12" t="str">
        <f>IFERROR(_xlfn.LET(_xlpm.v,INDEX('product-export-27-8-2026'!$A:$AJ,MATCH($A209,'product-export-27-8-2026'!$A:$A,0),MATCH(AR$1,'product-export-27-8-2026'!$1:$1,0)),IF(_xlpm.v="","",_xlpm.v)),"")</f>
        <v>Dorchester Collection, Gifts, Luggage Tag</v>
      </c>
      <c r="AS209" s="12" t="str">
        <f>IFERROR(_xlfn.LET(_xlpm.v,INDEX('product-export-27-8-2026'!$A:$AJ,MATCH($A209,'product-export-27-8-2026'!$A:$A,0),MATCH(AS$1,'product-export-27-8-2026'!$1:$1,0)),IF(_xlpm.v="","",_xlpm.v)),"")</f>
        <v>Dorchester Large Luggage Tag</v>
      </c>
      <c r="BC209" s="15"/>
    </row>
    <row r="210" spans="1:55" s="14" customFormat="1" ht="27.6" customHeight="1" x14ac:dyDescent="0.3">
      <c r="A210" s="11">
        <v>4957</v>
      </c>
      <c r="B210" s="12" t="s">
        <v>539</v>
      </c>
      <c r="C210" s="12" t="s">
        <v>292</v>
      </c>
      <c r="D210" s="12" t="s">
        <v>313</v>
      </c>
      <c r="E210" s="13" t="s">
        <v>313</v>
      </c>
      <c r="F210" s="12" t="s">
        <v>311</v>
      </c>
      <c r="G210" s="12" t="s">
        <v>293</v>
      </c>
      <c r="H210" s="12" t="s">
        <v>720</v>
      </c>
      <c r="I210" s="12"/>
      <c r="J210" s="12" t="s">
        <v>576</v>
      </c>
      <c r="K210" s="12"/>
      <c r="L210" s="60"/>
      <c r="M210" s="11">
        <v>7.99</v>
      </c>
      <c r="N210" s="12" t="s">
        <v>312</v>
      </c>
      <c r="O210" s="56">
        <f t="shared" si="19"/>
        <v>8.24</v>
      </c>
      <c r="P210" s="56">
        <f t="shared" si="19"/>
        <v>7.58</v>
      </c>
      <c r="Q210" s="56">
        <f t="shared" si="19"/>
        <v>4.7</v>
      </c>
      <c r="R210" s="56">
        <f t="shared" si="19"/>
        <v>3.91</v>
      </c>
      <c r="S210" s="56">
        <f t="shared" si="19"/>
        <v>3.26</v>
      </c>
      <c r="T210" s="56">
        <f t="shared" si="19"/>
        <v>2.7</v>
      </c>
      <c r="U210" s="56">
        <f t="shared" si="19"/>
        <v>2.37</v>
      </c>
      <c r="V210" s="56">
        <f t="shared" si="19"/>
        <v>2.27</v>
      </c>
      <c r="W210" s="56">
        <f t="shared" si="19"/>
        <v>2.11</v>
      </c>
      <c r="X210" s="30" t="str" cm="1">
        <f t="array" ref="X210">IF(Y210="","",_xlfn.TEXTJOIN(";",TRUE,SUBSTITUTE($Y$1:$AG$1,"Qty ","")&amp;":"&amp;TEXT(Y210:AG210,"0.00"))&amp;";")</f>
        <v>1:11.66;10:10.21;25:6.53;50:5.41;100:4.64;250:3.96;500:3.57;750:3.44;1000:3.25;</v>
      </c>
      <c r="Y210" s="56">
        <f>'Blocking Prices'!$C$14+O210</f>
        <v>11.66</v>
      </c>
      <c r="Z210" s="56">
        <f>'Blocking Prices'!$D$14+P210</f>
        <v>10.210000000000001</v>
      </c>
      <c r="AA210" s="56">
        <f>'Blocking Prices'!$E$14+Q210</f>
        <v>6.53</v>
      </c>
      <c r="AB210" s="56">
        <f>'Blocking Prices'!$F$14+R210</f>
        <v>5.41</v>
      </c>
      <c r="AC210" s="56">
        <f>'Blocking Prices'!$G$14+S210</f>
        <v>4.6399999999999997</v>
      </c>
      <c r="AD210" s="56">
        <f>'Blocking Prices'!$H$14+T210</f>
        <v>3.96</v>
      </c>
      <c r="AE210" s="56">
        <f>'Blocking Prices'!$I$14+U210</f>
        <v>3.5700000000000003</v>
      </c>
      <c r="AF210" s="56">
        <f>'Blocking Prices'!$J$14+V210</f>
        <v>3.44</v>
      </c>
      <c r="AG210" s="56">
        <f>'Blocking Prices'!$K$14+W210</f>
        <v>3.25</v>
      </c>
      <c r="AH210" s="11"/>
      <c r="AI210" s="11"/>
      <c r="AJ210" s="11"/>
      <c r="AK210" s="11"/>
      <c r="AL210" s="12" t="s">
        <v>1440</v>
      </c>
      <c r="AM210" s="12" t="s">
        <v>1441</v>
      </c>
      <c r="AN210" s="12" t="str">
        <f>IFERROR(_xlfn.LET(_xlpm.v,INDEX('product-export-27-8-2026'!$A:$AJ,MATCH($A210,'product-export-27-8-2026'!$A:$A,0),MATCH(AN$1,'product-export-27-8-2026'!$1:$1,0)),IF(_xlpm.v="","",_xlpm.v)),"")</f>
        <v/>
      </c>
      <c r="AO210" s="12" t="str">
        <f>IFERROR(_xlfn.LET(_xlpm.v,INDEX('product-export-27-8-2026'!$A:$AJ,MATCH($A210,'product-export-27-8-2026'!$A:$A,0),MATCH(AO$1,'product-export-27-8-2026'!$1:$1,0)),IF(_xlpm.v="","",_xlpm.v)),"")</f>
        <v/>
      </c>
      <c r="AP210" s="12" t="str">
        <f>IFERROR(_xlfn.LET(_xlpm.v,INDEX('product-export-27-8-2026'!$A:$AJ,MATCH($A210,'product-export-27-8-2026'!$A:$A,0),MATCH(AP$1,'product-export-27-8-2026'!$1:$1,0)),IF(_xlpm.v="","",_xlpm.v)),"")</f>
        <v/>
      </c>
      <c r="AQ210" s="12" t="str">
        <f>IFERROR(_xlfn.LET(_xlpm.v,INDEX('product-export-27-8-2026'!$A:$AJ,MATCH($A210,'product-export-27-8-2026'!$A:$A,0),MATCH(AQ$1,'product-export-27-8-2026'!$1:$1,0)),IF(_xlpm.v="","",_xlpm.v)),"")</f>
        <v/>
      </c>
      <c r="AR210" s="12" t="str">
        <f>IFERROR(_xlfn.LET(_xlpm.v,INDEX('product-export-27-8-2026'!$A:$AJ,MATCH($A210,'product-export-27-8-2026'!$A:$A,0),MATCH(AR$1,'product-export-27-8-2026'!$1:$1,0)),IF(_xlpm.v="","",_xlpm.v)),"")</f>
        <v>Dorchester Collection, Gifts, Luggage Tag</v>
      </c>
      <c r="AS210" s="12" t="str">
        <f>IFERROR(_xlfn.LET(_xlpm.v,INDEX('product-export-27-8-2026'!$A:$AJ,MATCH($A210,'product-export-27-8-2026'!$A:$A,0),MATCH(AS$1,'product-export-27-8-2026'!$1:$1,0)),IF(_xlpm.v="","",_xlpm.v)),"")</f>
        <v>Dorchester Large Luggage Tag</v>
      </c>
      <c r="BC210" s="15"/>
    </row>
    <row r="211" spans="1:55" s="14" customFormat="1" ht="27.6" customHeight="1" x14ac:dyDescent="0.3">
      <c r="A211" s="11">
        <v>4959</v>
      </c>
      <c r="B211" s="12" t="s">
        <v>540</v>
      </c>
      <c r="C211" s="12" t="s">
        <v>292</v>
      </c>
      <c r="D211" s="12" t="s">
        <v>314</v>
      </c>
      <c r="E211" s="13" t="s">
        <v>314</v>
      </c>
      <c r="F211" s="12" t="s">
        <v>311</v>
      </c>
      <c r="G211" s="12" t="s">
        <v>293</v>
      </c>
      <c r="H211" s="12" t="s">
        <v>1051</v>
      </c>
      <c r="I211" s="12"/>
      <c r="J211" s="12" t="s">
        <v>576</v>
      </c>
      <c r="K211" s="12"/>
      <c r="L211" s="60"/>
      <c r="M211" s="11">
        <v>7.99</v>
      </c>
      <c r="N211" s="12" t="s">
        <v>312</v>
      </c>
      <c r="O211" s="56">
        <f t="shared" si="19"/>
        <v>8.24</v>
      </c>
      <c r="P211" s="56">
        <f t="shared" si="19"/>
        <v>7.58</v>
      </c>
      <c r="Q211" s="56">
        <f t="shared" si="19"/>
        <v>4.7</v>
      </c>
      <c r="R211" s="56">
        <f t="shared" si="19"/>
        <v>3.91</v>
      </c>
      <c r="S211" s="56">
        <f t="shared" si="19"/>
        <v>3.26</v>
      </c>
      <c r="T211" s="56">
        <f t="shared" si="19"/>
        <v>2.7</v>
      </c>
      <c r="U211" s="56">
        <f t="shared" si="19"/>
        <v>2.37</v>
      </c>
      <c r="V211" s="56">
        <f t="shared" si="19"/>
        <v>2.27</v>
      </c>
      <c r="W211" s="56">
        <f t="shared" si="19"/>
        <v>2.11</v>
      </c>
      <c r="X211" s="30" t="str" cm="1">
        <f t="array" ref="X211">IF(Y211="","",_xlfn.TEXTJOIN(";",TRUE,SUBSTITUTE($Y$1:$AG$1,"Qty ","")&amp;":"&amp;TEXT(Y211:AG211,"0.00"))&amp;";")</f>
        <v>1:11.66;10:10.21;25:6.53;50:5.41;100:4.64;250:3.96;500:3.57;750:3.44;1000:3.25;</v>
      </c>
      <c r="Y211" s="56">
        <f>'Blocking Prices'!$C$14+O211</f>
        <v>11.66</v>
      </c>
      <c r="Z211" s="56">
        <f>'Blocking Prices'!$D$14+P211</f>
        <v>10.210000000000001</v>
      </c>
      <c r="AA211" s="56">
        <f>'Blocking Prices'!$E$14+Q211</f>
        <v>6.53</v>
      </c>
      <c r="AB211" s="56">
        <f>'Blocking Prices'!$F$14+R211</f>
        <v>5.41</v>
      </c>
      <c r="AC211" s="56">
        <f>'Blocking Prices'!$G$14+S211</f>
        <v>4.6399999999999997</v>
      </c>
      <c r="AD211" s="56">
        <f>'Blocking Prices'!$H$14+T211</f>
        <v>3.96</v>
      </c>
      <c r="AE211" s="56">
        <f>'Blocking Prices'!$I$14+U211</f>
        <v>3.5700000000000003</v>
      </c>
      <c r="AF211" s="56">
        <f>'Blocking Prices'!$J$14+V211</f>
        <v>3.44</v>
      </c>
      <c r="AG211" s="56">
        <f>'Blocking Prices'!$K$14+W211</f>
        <v>3.25</v>
      </c>
      <c r="AH211" s="11"/>
      <c r="AI211" s="11"/>
      <c r="AJ211" s="11"/>
      <c r="AK211" s="11"/>
      <c r="AL211" s="12" t="s">
        <v>1440</v>
      </c>
      <c r="AM211" s="12" t="s">
        <v>1441</v>
      </c>
      <c r="AN211" s="12" t="str">
        <f>IFERROR(_xlfn.LET(_xlpm.v,INDEX('product-export-27-8-2026'!$A:$AJ,MATCH($A211,'product-export-27-8-2026'!$A:$A,0),MATCH(AN$1,'product-export-27-8-2026'!$1:$1,0)),IF(_xlpm.v="","",_xlpm.v)),"")</f>
        <v/>
      </c>
      <c r="AO211" s="12" t="str">
        <f>IFERROR(_xlfn.LET(_xlpm.v,INDEX('product-export-27-8-2026'!$A:$AJ,MATCH($A211,'product-export-27-8-2026'!$A:$A,0),MATCH(AO$1,'product-export-27-8-2026'!$1:$1,0)),IF(_xlpm.v="","",_xlpm.v)),"")</f>
        <v/>
      </c>
      <c r="AP211" s="12" t="str">
        <f>IFERROR(_xlfn.LET(_xlpm.v,INDEX('product-export-27-8-2026'!$A:$AJ,MATCH($A211,'product-export-27-8-2026'!$A:$A,0),MATCH(AP$1,'product-export-27-8-2026'!$1:$1,0)),IF(_xlpm.v="","",_xlpm.v)),"")</f>
        <v/>
      </c>
      <c r="AQ211" s="12" t="str">
        <f>IFERROR(_xlfn.LET(_xlpm.v,INDEX('product-export-27-8-2026'!$A:$AJ,MATCH($A211,'product-export-27-8-2026'!$A:$A,0),MATCH(AQ$1,'product-export-27-8-2026'!$1:$1,0)),IF(_xlpm.v="","",_xlpm.v)),"")</f>
        <v/>
      </c>
      <c r="AR211" s="12" t="str">
        <f>IFERROR(_xlfn.LET(_xlpm.v,INDEX('product-export-27-8-2026'!$A:$AJ,MATCH($A211,'product-export-27-8-2026'!$A:$A,0),MATCH(AR$1,'product-export-27-8-2026'!$1:$1,0)),IF(_xlpm.v="","",_xlpm.v)),"")</f>
        <v>Dorchester Collection, Gifts, Luggage Tag</v>
      </c>
      <c r="AS211" s="12" t="str">
        <f>IFERROR(_xlfn.LET(_xlpm.v,INDEX('product-export-27-8-2026'!$A:$AJ,MATCH($A211,'product-export-27-8-2026'!$A:$A,0),MATCH(AS$1,'product-export-27-8-2026'!$1:$1,0)),IF(_xlpm.v="","",_xlpm.v)),"")</f>
        <v>Dorchester Large Luggage Tag</v>
      </c>
      <c r="BC211" s="15"/>
    </row>
    <row r="212" spans="1:55" s="14" customFormat="1" ht="27.6" customHeight="1" x14ac:dyDescent="0.3">
      <c r="A212" s="11">
        <v>4960</v>
      </c>
      <c r="B212" s="12" t="s">
        <v>541</v>
      </c>
      <c r="C212" s="12" t="s">
        <v>292</v>
      </c>
      <c r="D212" s="12" t="s">
        <v>315</v>
      </c>
      <c r="E212" s="13" t="s">
        <v>315</v>
      </c>
      <c r="F212" s="12" t="s">
        <v>311</v>
      </c>
      <c r="G212" s="12" t="s">
        <v>293</v>
      </c>
      <c r="H212" s="12" t="s">
        <v>792</v>
      </c>
      <c r="I212" s="12"/>
      <c r="J212" s="12" t="s">
        <v>576</v>
      </c>
      <c r="K212" s="12"/>
      <c r="L212" s="60"/>
      <c r="M212" s="11">
        <v>7.99</v>
      </c>
      <c r="N212" s="12" t="s">
        <v>312</v>
      </c>
      <c r="O212" s="56">
        <f t="shared" ref="O212:W224" si="20">IFERROR(VALUE(_xlfn.TEXTBEFORE(_xlfn.TEXTAFTER(";"&amp;$N212,";"&amp;SUBSTITUTE(O$1,"Qty ","")&amp;":"),";")),"")</f>
        <v>8.24</v>
      </c>
      <c r="P212" s="56">
        <f t="shared" si="20"/>
        <v>7.58</v>
      </c>
      <c r="Q212" s="56">
        <f t="shared" si="20"/>
        <v>4.7</v>
      </c>
      <c r="R212" s="56">
        <f t="shared" si="20"/>
        <v>3.91</v>
      </c>
      <c r="S212" s="56">
        <f t="shared" si="20"/>
        <v>3.26</v>
      </c>
      <c r="T212" s="56">
        <f t="shared" si="20"/>
        <v>2.7</v>
      </c>
      <c r="U212" s="56">
        <f t="shared" si="20"/>
        <v>2.37</v>
      </c>
      <c r="V212" s="56">
        <f t="shared" si="20"/>
        <v>2.27</v>
      </c>
      <c r="W212" s="56">
        <f t="shared" si="20"/>
        <v>2.11</v>
      </c>
      <c r="X212" s="30" t="str" cm="1">
        <f t="array" ref="X212">IF(Y212="","",_xlfn.TEXTJOIN(";",TRUE,SUBSTITUTE($Y$1:$AG$1,"Qty ","")&amp;":"&amp;TEXT(Y212:AG212,"0.00"))&amp;";")</f>
        <v>1:11.66;10:10.21;25:6.53;50:5.41;100:4.64;250:3.96;500:3.57;750:3.44;1000:3.25;</v>
      </c>
      <c r="Y212" s="56">
        <f>'Blocking Prices'!$C$14+O212</f>
        <v>11.66</v>
      </c>
      <c r="Z212" s="56">
        <f>'Blocking Prices'!$D$14+P212</f>
        <v>10.210000000000001</v>
      </c>
      <c r="AA212" s="56">
        <f>'Blocking Prices'!$E$14+Q212</f>
        <v>6.53</v>
      </c>
      <c r="AB212" s="56">
        <f>'Blocking Prices'!$F$14+R212</f>
        <v>5.41</v>
      </c>
      <c r="AC212" s="56">
        <f>'Blocking Prices'!$G$14+S212</f>
        <v>4.6399999999999997</v>
      </c>
      <c r="AD212" s="56">
        <f>'Blocking Prices'!$H$14+T212</f>
        <v>3.96</v>
      </c>
      <c r="AE212" s="56">
        <f>'Blocking Prices'!$I$14+U212</f>
        <v>3.5700000000000003</v>
      </c>
      <c r="AF212" s="56">
        <f>'Blocking Prices'!$J$14+V212</f>
        <v>3.44</v>
      </c>
      <c r="AG212" s="56">
        <f>'Blocking Prices'!$K$14+W212</f>
        <v>3.25</v>
      </c>
      <c r="AH212" s="11"/>
      <c r="AI212" s="11"/>
      <c r="AJ212" s="11"/>
      <c r="AK212" s="11"/>
      <c r="AL212" s="12" t="s">
        <v>1440</v>
      </c>
      <c r="AM212" s="12" t="s">
        <v>1441</v>
      </c>
      <c r="AN212" s="12" t="str">
        <f>IFERROR(_xlfn.LET(_xlpm.v,INDEX('product-export-27-8-2026'!$A:$AJ,MATCH($A212,'product-export-27-8-2026'!$A:$A,0),MATCH(AN$1,'product-export-27-8-2026'!$1:$1,0)),IF(_xlpm.v="","",_xlpm.v)),"")</f>
        <v/>
      </c>
      <c r="AO212" s="12" t="str">
        <f>IFERROR(_xlfn.LET(_xlpm.v,INDEX('product-export-27-8-2026'!$A:$AJ,MATCH($A212,'product-export-27-8-2026'!$A:$A,0),MATCH(AO$1,'product-export-27-8-2026'!$1:$1,0)),IF(_xlpm.v="","",_xlpm.v)),"")</f>
        <v/>
      </c>
      <c r="AP212" s="12" t="str">
        <f>IFERROR(_xlfn.LET(_xlpm.v,INDEX('product-export-27-8-2026'!$A:$AJ,MATCH($A212,'product-export-27-8-2026'!$A:$A,0),MATCH(AP$1,'product-export-27-8-2026'!$1:$1,0)),IF(_xlpm.v="","",_xlpm.v)),"")</f>
        <v/>
      </c>
      <c r="AQ212" s="12" t="str">
        <f>IFERROR(_xlfn.LET(_xlpm.v,INDEX('product-export-27-8-2026'!$A:$AJ,MATCH($A212,'product-export-27-8-2026'!$A:$A,0),MATCH(AQ$1,'product-export-27-8-2026'!$1:$1,0)),IF(_xlpm.v="","",_xlpm.v)),"")</f>
        <v/>
      </c>
      <c r="AR212" s="12" t="str">
        <f>IFERROR(_xlfn.LET(_xlpm.v,INDEX('product-export-27-8-2026'!$A:$AJ,MATCH($A212,'product-export-27-8-2026'!$A:$A,0),MATCH(AR$1,'product-export-27-8-2026'!$1:$1,0)),IF(_xlpm.v="","",_xlpm.v)),"")</f>
        <v>Dorchester Collection, Gifts, Luggage Tag</v>
      </c>
      <c r="AS212" s="12" t="str">
        <f>IFERROR(_xlfn.LET(_xlpm.v,INDEX('product-export-27-8-2026'!$A:$AJ,MATCH($A212,'product-export-27-8-2026'!$A:$A,0),MATCH(AS$1,'product-export-27-8-2026'!$1:$1,0)),IF(_xlpm.v="","",_xlpm.v)),"")</f>
        <v>Dorchester Large Luggage Tag</v>
      </c>
      <c r="BC212" s="15"/>
    </row>
    <row r="213" spans="1:55" s="14" customFormat="1" ht="27.6" customHeight="1" x14ac:dyDescent="0.3">
      <c r="A213" s="11">
        <v>4961</v>
      </c>
      <c r="B213" s="12" t="s">
        <v>542</v>
      </c>
      <c r="C213" s="12" t="s">
        <v>292</v>
      </c>
      <c r="D213" s="12" t="s">
        <v>316</v>
      </c>
      <c r="E213" s="13" t="s">
        <v>316</v>
      </c>
      <c r="F213" s="12" t="s">
        <v>311</v>
      </c>
      <c r="G213" s="12" t="s">
        <v>293</v>
      </c>
      <c r="H213" s="12" t="s">
        <v>796</v>
      </c>
      <c r="I213" s="12"/>
      <c r="J213" s="12" t="s">
        <v>576</v>
      </c>
      <c r="K213" s="12"/>
      <c r="L213" s="60"/>
      <c r="M213" s="11">
        <v>7.99</v>
      </c>
      <c r="N213" s="12" t="s">
        <v>312</v>
      </c>
      <c r="O213" s="56">
        <f t="shared" si="20"/>
        <v>8.24</v>
      </c>
      <c r="P213" s="56">
        <f t="shared" si="20"/>
        <v>7.58</v>
      </c>
      <c r="Q213" s="56">
        <f t="shared" si="20"/>
        <v>4.7</v>
      </c>
      <c r="R213" s="56">
        <f t="shared" si="20"/>
        <v>3.91</v>
      </c>
      <c r="S213" s="56">
        <f t="shared" si="20"/>
        <v>3.26</v>
      </c>
      <c r="T213" s="56">
        <f t="shared" si="20"/>
        <v>2.7</v>
      </c>
      <c r="U213" s="56">
        <f t="shared" si="20"/>
        <v>2.37</v>
      </c>
      <c r="V213" s="56">
        <f t="shared" si="20"/>
        <v>2.27</v>
      </c>
      <c r="W213" s="56">
        <f t="shared" si="20"/>
        <v>2.11</v>
      </c>
      <c r="X213" s="30" t="str" cm="1">
        <f t="array" ref="X213">IF(Y213="","",_xlfn.TEXTJOIN(";",TRUE,SUBSTITUTE($Y$1:$AG$1,"Qty ","")&amp;":"&amp;TEXT(Y213:AG213,"0.00"))&amp;";")</f>
        <v>1:11.66;10:10.21;25:6.53;50:5.41;100:4.64;250:3.96;500:3.57;750:3.44;1000:3.25;</v>
      </c>
      <c r="Y213" s="56">
        <f>'Blocking Prices'!$C$14+O213</f>
        <v>11.66</v>
      </c>
      <c r="Z213" s="56">
        <f>'Blocking Prices'!$D$14+P213</f>
        <v>10.210000000000001</v>
      </c>
      <c r="AA213" s="56">
        <f>'Blocking Prices'!$E$14+Q213</f>
        <v>6.53</v>
      </c>
      <c r="AB213" s="56">
        <f>'Blocking Prices'!$F$14+R213</f>
        <v>5.41</v>
      </c>
      <c r="AC213" s="56">
        <f>'Blocking Prices'!$G$14+S213</f>
        <v>4.6399999999999997</v>
      </c>
      <c r="AD213" s="56">
        <f>'Blocking Prices'!$H$14+T213</f>
        <v>3.96</v>
      </c>
      <c r="AE213" s="56">
        <f>'Blocking Prices'!$I$14+U213</f>
        <v>3.5700000000000003</v>
      </c>
      <c r="AF213" s="56">
        <f>'Blocking Prices'!$J$14+V213</f>
        <v>3.44</v>
      </c>
      <c r="AG213" s="56">
        <f>'Blocking Prices'!$K$14+W213</f>
        <v>3.25</v>
      </c>
      <c r="AH213" s="11"/>
      <c r="AI213" s="11"/>
      <c r="AJ213" s="11"/>
      <c r="AK213" s="11"/>
      <c r="AL213" s="12" t="s">
        <v>1440</v>
      </c>
      <c r="AM213" s="12" t="s">
        <v>1441</v>
      </c>
      <c r="AN213" s="12" t="str">
        <f>IFERROR(_xlfn.LET(_xlpm.v,INDEX('product-export-27-8-2026'!$A:$AJ,MATCH($A213,'product-export-27-8-2026'!$A:$A,0),MATCH(AN$1,'product-export-27-8-2026'!$1:$1,0)),IF(_xlpm.v="","",_xlpm.v)),"")</f>
        <v/>
      </c>
      <c r="AO213" s="12" t="str">
        <f>IFERROR(_xlfn.LET(_xlpm.v,INDEX('product-export-27-8-2026'!$A:$AJ,MATCH($A213,'product-export-27-8-2026'!$A:$A,0),MATCH(AO$1,'product-export-27-8-2026'!$1:$1,0)),IF(_xlpm.v="","",_xlpm.v)),"")</f>
        <v/>
      </c>
      <c r="AP213" s="12" t="str">
        <f>IFERROR(_xlfn.LET(_xlpm.v,INDEX('product-export-27-8-2026'!$A:$AJ,MATCH($A213,'product-export-27-8-2026'!$A:$A,0),MATCH(AP$1,'product-export-27-8-2026'!$1:$1,0)),IF(_xlpm.v="","",_xlpm.v)),"")</f>
        <v/>
      </c>
      <c r="AQ213" s="12" t="str">
        <f>IFERROR(_xlfn.LET(_xlpm.v,INDEX('product-export-27-8-2026'!$A:$AJ,MATCH($A213,'product-export-27-8-2026'!$A:$A,0),MATCH(AQ$1,'product-export-27-8-2026'!$1:$1,0)),IF(_xlpm.v="","",_xlpm.v)),"")</f>
        <v/>
      </c>
      <c r="AR213" s="12" t="str">
        <f>IFERROR(_xlfn.LET(_xlpm.v,INDEX('product-export-27-8-2026'!$A:$AJ,MATCH($A213,'product-export-27-8-2026'!$A:$A,0),MATCH(AR$1,'product-export-27-8-2026'!$1:$1,0)),IF(_xlpm.v="","",_xlpm.v)),"")</f>
        <v>Dorchester Collection, Gifts, Luggage Tag</v>
      </c>
      <c r="AS213" s="12" t="str">
        <f>IFERROR(_xlfn.LET(_xlpm.v,INDEX('product-export-27-8-2026'!$A:$AJ,MATCH($A213,'product-export-27-8-2026'!$A:$A,0),MATCH(AS$1,'product-export-27-8-2026'!$1:$1,0)),IF(_xlpm.v="","",_xlpm.v)),"")</f>
        <v>Dorchester Large Luggage Tag</v>
      </c>
      <c r="BC213" s="15"/>
    </row>
    <row r="214" spans="1:55" s="14" customFormat="1" ht="27.6" customHeight="1" x14ac:dyDescent="0.3">
      <c r="A214" s="11">
        <v>4962</v>
      </c>
      <c r="B214" s="12" t="s">
        <v>543</v>
      </c>
      <c r="C214" s="12" t="s">
        <v>292</v>
      </c>
      <c r="D214" s="12" t="s">
        <v>317</v>
      </c>
      <c r="E214" s="13" t="s">
        <v>317</v>
      </c>
      <c r="F214" s="12" t="s">
        <v>311</v>
      </c>
      <c r="G214" s="12" t="s">
        <v>293</v>
      </c>
      <c r="H214" s="12" t="s">
        <v>728</v>
      </c>
      <c r="I214" s="12"/>
      <c r="J214" s="12" t="s">
        <v>576</v>
      </c>
      <c r="K214" s="12"/>
      <c r="L214" s="60"/>
      <c r="M214" s="11">
        <v>7.99</v>
      </c>
      <c r="N214" s="12" t="s">
        <v>312</v>
      </c>
      <c r="O214" s="56">
        <f t="shared" si="20"/>
        <v>8.24</v>
      </c>
      <c r="P214" s="56">
        <f t="shared" si="20"/>
        <v>7.58</v>
      </c>
      <c r="Q214" s="56">
        <f t="shared" si="20"/>
        <v>4.7</v>
      </c>
      <c r="R214" s="56">
        <f t="shared" si="20"/>
        <v>3.91</v>
      </c>
      <c r="S214" s="56">
        <f t="shared" si="20"/>
        <v>3.26</v>
      </c>
      <c r="T214" s="56">
        <f t="shared" si="20"/>
        <v>2.7</v>
      </c>
      <c r="U214" s="56">
        <f t="shared" si="20"/>
        <v>2.37</v>
      </c>
      <c r="V214" s="56">
        <f t="shared" si="20"/>
        <v>2.27</v>
      </c>
      <c r="W214" s="56">
        <f t="shared" si="20"/>
        <v>2.11</v>
      </c>
      <c r="X214" s="30" t="str" cm="1">
        <f t="array" ref="X214">IF(Y214="","",_xlfn.TEXTJOIN(";",TRUE,SUBSTITUTE($Y$1:$AG$1,"Qty ","")&amp;":"&amp;TEXT(Y214:AG214,"0.00"))&amp;";")</f>
        <v>1:11.66;10:10.21;25:6.53;50:5.41;100:4.64;250:3.96;500:3.57;750:3.44;1000:3.25;</v>
      </c>
      <c r="Y214" s="56">
        <f>'Blocking Prices'!$C$14+O214</f>
        <v>11.66</v>
      </c>
      <c r="Z214" s="56">
        <f>'Blocking Prices'!$D$14+P214</f>
        <v>10.210000000000001</v>
      </c>
      <c r="AA214" s="56">
        <f>'Blocking Prices'!$E$14+Q214</f>
        <v>6.53</v>
      </c>
      <c r="AB214" s="56">
        <f>'Blocking Prices'!$F$14+R214</f>
        <v>5.41</v>
      </c>
      <c r="AC214" s="56">
        <f>'Blocking Prices'!$G$14+S214</f>
        <v>4.6399999999999997</v>
      </c>
      <c r="AD214" s="56">
        <f>'Blocking Prices'!$H$14+T214</f>
        <v>3.96</v>
      </c>
      <c r="AE214" s="56">
        <f>'Blocking Prices'!$I$14+U214</f>
        <v>3.5700000000000003</v>
      </c>
      <c r="AF214" s="56">
        <f>'Blocking Prices'!$J$14+V214</f>
        <v>3.44</v>
      </c>
      <c r="AG214" s="56">
        <f>'Blocking Prices'!$K$14+W214</f>
        <v>3.25</v>
      </c>
      <c r="AH214" s="11"/>
      <c r="AI214" s="11"/>
      <c r="AJ214" s="11"/>
      <c r="AK214" s="11"/>
      <c r="AL214" s="12" t="s">
        <v>1440</v>
      </c>
      <c r="AM214" s="12" t="s">
        <v>1441</v>
      </c>
      <c r="AN214" s="12" t="str">
        <f>IFERROR(_xlfn.LET(_xlpm.v,INDEX('product-export-27-8-2026'!$A:$AJ,MATCH($A214,'product-export-27-8-2026'!$A:$A,0),MATCH(AN$1,'product-export-27-8-2026'!$1:$1,0)),IF(_xlpm.v="","",_xlpm.v)),"")</f>
        <v/>
      </c>
      <c r="AO214" s="12" t="str">
        <f>IFERROR(_xlfn.LET(_xlpm.v,INDEX('product-export-27-8-2026'!$A:$AJ,MATCH($A214,'product-export-27-8-2026'!$A:$A,0),MATCH(AO$1,'product-export-27-8-2026'!$1:$1,0)),IF(_xlpm.v="","",_xlpm.v)),"")</f>
        <v/>
      </c>
      <c r="AP214" s="12" t="str">
        <f>IFERROR(_xlfn.LET(_xlpm.v,INDEX('product-export-27-8-2026'!$A:$AJ,MATCH($A214,'product-export-27-8-2026'!$A:$A,0),MATCH(AP$1,'product-export-27-8-2026'!$1:$1,0)),IF(_xlpm.v="","",_xlpm.v)),"")</f>
        <v/>
      </c>
      <c r="AQ214" s="12" t="str">
        <f>IFERROR(_xlfn.LET(_xlpm.v,INDEX('product-export-27-8-2026'!$A:$AJ,MATCH($A214,'product-export-27-8-2026'!$A:$A,0),MATCH(AQ$1,'product-export-27-8-2026'!$1:$1,0)),IF(_xlpm.v="","",_xlpm.v)),"")</f>
        <v/>
      </c>
      <c r="AR214" s="12" t="str">
        <f>IFERROR(_xlfn.LET(_xlpm.v,INDEX('product-export-27-8-2026'!$A:$AJ,MATCH($A214,'product-export-27-8-2026'!$A:$A,0),MATCH(AR$1,'product-export-27-8-2026'!$1:$1,0)),IF(_xlpm.v="","",_xlpm.v)),"")</f>
        <v>Dorchester Collection, Gifts, Luggage Tag</v>
      </c>
      <c r="AS214" s="12" t="str">
        <f>IFERROR(_xlfn.LET(_xlpm.v,INDEX('product-export-27-8-2026'!$A:$AJ,MATCH($A214,'product-export-27-8-2026'!$A:$A,0),MATCH(AS$1,'product-export-27-8-2026'!$1:$1,0)),IF(_xlpm.v="","",_xlpm.v)),"")</f>
        <v>Dorchester Large Luggage Tag</v>
      </c>
      <c r="BC214" s="15"/>
    </row>
    <row r="215" spans="1:55" s="14" customFormat="1" ht="27.6" customHeight="1" x14ac:dyDescent="0.3">
      <c r="A215" s="11">
        <v>4963</v>
      </c>
      <c r="B215" s="12" t="s">
        <v>544</v>
      </c>
      <c r="C215" s="12" t="s">
        <v>292</v>
      </c>
      <c r="D215" s="12" t="s">
        <v>318</v>
      </c>
      <c r="E215" s="13" t="s">
        <v>318</v>
      </c>
      <c r="F215" s="12" t="s">
        <v>311</v>
      </c>
      <c r="G215" s="12" t="s">
        <v>293</v>
      </c>
      <c r="H215" s="12" t="s">
        <v>672</v>
      </c>
      <c r="I215" s="12"/>
      <c r="J215" s="12" t="s">
        <v>576</v>
      </c>
      <c r="K215" s="12"/>
      <c r="L215" s="60"/>
      <c r="M215" s="11">
        <v>7.99</v>
      </c>
      <c r="N215" s="12" t="s">
        <v>312</v>
      </c>
      <c r="O215" s="56">
        <f t="shared" si="20"/>
        <v>8.24</v>
      </c>
      <c r="P215" s="56">
        <f t="shared" si="20"/>
        <v>7.58</v>
      </c>
      <c r="Q215" s="56">
        <f t="shared" si="20"/>
        <v>4.7</v>
      </c>
      <c r="R215" s="56">
        <f t="shared" si="20"/>
        <v>3.91</v>
      </c>
      <c r="S215" s="56">
        <f t="shared" si="20"/>
        <v>3.26</v>
      </c>
      <c r="T215" s="56">
        <f t="shared" si="20"/>
        <v>2.7</v>
      </c>
      <c r="U215" s="56">
        <f t="shared" si="20"/>
        <v>2.37</v>
      </c>
      <c r="V215" s="56">
        <f t="shared" si="20"/>
        <v>2.27</v>
      </c>
      <c r="W215" s="56">
        <f t="shared" si="20"/>
        <v>2.11</v>
      </c>
      <c r="X215" s="30" t="str" cm="1">
        <f t="array" ref="X215">IF(Y215="","",_xlfn.TEXTJOIN(";",TRUE,SUBSTITUTE($Y$1:$AG$1,"Qty ","")&amp;":"&amp;TEXT(Y215:AG215,"0.00"))&amp;";")</f>
        <v>1:11.66;10:10.21;25:6.53;50:5.41;100:4.64;250:3.96;500:3.57;750:3.44;1000:3.25;</v>
      </c>
      <c r="Y215" s="56">
        <f>'Blocking Prices'!$C$14+O215</f>
        <v>11.66</v>
      </c>
      <c r="Z215" s="56">
        <f>'Blocking Prices'!$D$14+P215</f>
        <v>10.210000000000001</v>
      </c>
      <c r="AA215" s="56">
        <f>'Blocking Prices'!$E$14+Q215</f>
        <v>6.53</v>
      </c>
      <c r="AB215" s="56">
        <f>'Blocking Prices'!$F$14+R215</f>
        <v>5.41</v>
      </c>
      <c r="AC215" s="56">
        <f>'Blocking Prices'!$G$14+S215</f>
        <v>4.6399999999999997</v>
      </c>
      <c r="AD215" s="56">
        <f>'Blocking Prices'!$H$14+T215</f>
        <v>3.96</v>
      </c>
      <c r="AE215" s="56">
        <f>'Blocking Prices'!$I$14+U215</f>
        <v>3.5700000000000003</v>
      </c>
      <c r="AF215" s="56">
        <f>'Blocking Prices'!$J$14+V215</f>
        <v>3.44</v>
      </c>
      <c r="AG215" s="56">
        <f>'Blocking Prices'!$K$14+W215</f>
        <v>3.25</v>
      </c>
      <c r="AH215" s="11"/>
      <c r="AI215" s="11"/>
      <c r="AJ215" s="11"/>
      <c r="AK215" s="11"/>
      <c r="AL215" s="12" t="s">
        <v>1440</v>
      </c>
      <c r="AM215" s="12" t="s">
        <v>1441</v>
      </c>
      <c r="AN215" s="12" t="str">
        <f>IFERROR(_xlfn.LET(_xlpm.v,INDEX('product-export-27-8-2026'!$A:$AJ,MATCH($A215,'product-export-27-8-2026'!$A:$A,0),MATCH(AN$1,'product-export-27-8-2026'!$1:$1,0)),IF(_xlpm.v="","",_xlpm.v)),"")</f>
        <v/>
      </c>
      <c r="AO215" s="12" t="str">
        <f>IFERROR(_xlfn.LET(_xlpm.v,INDEX('product-export-27-8-2026'!$A:$AJ,MATCH($A215,'product-export-27-8-2026'!$A:$A,0),MATCH(AO$1,'product-export-27-8-2026'!$1:$1,0)),IF(_xlpm.v="","",_xlpm.v)),"")</f>
        <v/>
      </c>
      <c r="AP215" s="12" t="str">
        <f>IFERROR(_xlfn.LET(_xlpm.v,INDEX('product-export-27-8-2026'!$A:$AJ,MATCH($A215,'product-export-27-8-2026'!$A:$A,0),MATCH(AP$1,'product-export-27-8-2026'!$1:$1,0)),IF(_xlpm.v="","",_xlpm.v)),"")</f>
        <v/>
      </c>
      <c r="AQ215" s="12" t="str">
        <f>IFERROR(_xlfn.LET(_xlpm.v,INDEX('product-export-27-8-2026'!$A:$AJ,MATCH($A215,'product-export-27-8-2026'!$A:$A,0),MATCH(AQ$1,'product-export-27-8-2026'!$1:$1,0)),IF(_xlpm.v="","",_xlpm.v)),"")</f>
        <v/>
      </c>
      <c r="AR215" s="12" t="str">
        <f>IFERROR(_xlfn.LET(_xlpm.v,INDEX('product-export-27-8-2026'!$A:$AJ,MATCH($A215,'product-export-27-8-2026'!$A:$A,0),MATCH(AR$1,'product-export-27-8-2026'!$1:$1,0)),IF(_xlpm.v="","",_xlpm.v)),"")</f>
        <v>Dorchester Collection, Gifts, Luggage Tag</v>
      </c>
      <c r="AS215" s="12" t="str">
        <f>IFERROR(_xlfn.LET(_xlpm.v,INDEX('product-export-27-8-2026'!$A:$AJ,MATCH($A215,'product-export-27-8-2026'!$A:$A,0),MATCH(AS$1,'product-export-27-8-2026'!$1:$1,0)),IF(_xlpm.v="","",_xlpm.v)),"")</f>
        <v>Dorchester Large Luggage Tag</v>
      </c>
      <c r="BC215" s="15"/>
    </row>
    <row r="216" spans="1:55" s="14" customFormat="1" ht="27.6" customHeight="1" x14ac:dyDescent="0.3">
      <c r="A216" s="11">
        <v>4964</v>
      </c>
      <c r="B216" s="12" t="s">
        <v>545</v>
      </c>
      <c r="C216" s="12" t="s">
        <v>320</v>
      </c>
      <c r="D216" s="12" t="s">
        <v>319</v>
      </c>
      <c r="E216" s="13" t="s">
        <v>319</v>
      </c>
      <c r="F216" s="12" t="s">
        <v>322</v>
      </c>
      <c r="G216" s="12" t="s">
        <v>321</v>
      </c>
      <c r="H216" s="12" t="s">
        <v>796</v>
      </c>
      <c r="I216" s="12"/>
      <c r="J216" s="12" t="s">
        <v>576</v>
      </c>
      <c r="K216" s="12"/>
      <c r="L216" s="60"/>
      <c r="M216" s="11">
        <v>2.99</v>
      </c>
      <c r="N216" s="12" t="s">
        <v>323</v>
      </c>
      <c r="O216" s="56">
        <f t="shared" si="20"/>
        <v>4.49</v>
      </c>
      <c r="P216" s="56">
        <f t="shared" si="20"/>
        <v>4.25</v>
      </c>
      <c r="Q216" s="56">
        <f t="shared" si="20"/>
        <v>2.2000000000000002</v>
      </c>
      <c r="R216" s="56">
        <f t="shared" si="20"/>
        <v>1.83</v>
      </c>
      <c r="S216" s="56">
        <f t="shared" si="20"/>
        <v>1.55</v>
      </c>
      <c r="T216" s="56">
        <f t="shared" si="20"/>
        <v>1.3</v>
      </c>
      <c r="U216" s="56">
        <f t="shared" si="20"/>
        <v>1.18</v>
      </c>
      <c r="V216" s="56">
        <f t="shared" si="20"/>
        <v>1.1299999999999999</v>
      </c>
      <c r="W216" s="56">
        <f t="shared" si="20"/>
        <v>1.06</v>
      </c>
      <c r="X216" s="30" t="str" cm="1">
        <f t="array" ref="X216">IF(Y216="","",_xlfn.TEXTJOIN(";",TRUE,SUBSTITUTE($Y$1:$AG$1,"Qty ","")&amp;":"&amp;TEXT(Y216:AG216,"0.00"))&amp;";")</f>
        <v>1:7.91;10:6.88;25:4.03;50:3.33;100:2.93;250:2.56;500:2.38;750:2.30;1000:2.20;</v>
      </c>
      <c r="Y216" s="56">
        <f>'Blocking Prices'!$C$14+O216</f>
        <v>7.91</v>
      </c>
      <c r="Z216" s="56">
        <f>'Blocking Prices'!$D$14+P216</f>
        <v>6.88</v>
      </c>
      <c r="AA216" s="56">
        <f>'Blocking Prices'!$E$14+Q216</f>
        <v>4.03</v>
      </c>
      <c r="AB216" s="56">
        <f>'Blocking Prices'!$F$14+R216</f>
        <v>3.33</v>
      </c>
      <c r="AC216" s="56">
        <f>'Blocking Prices'!$G$14+S216</f>
        <v>2.9299999999999997</v>
      </c>
      <c r="AD216" s="56">
        <f>'Blocking Prices'!$H$14+T216</f>
        <v>2.56</v>
      </c>
      <c r="AE216" s="56">
        <f>'Blocking Prices'!$I$14+U216</f>
        <v>2.38</v>
      </c>
      <c r="AF216" s="56">
        <f>'Blocking Prices'!$J$14+V216</f>
        <v>2.2999999999999998</v>
      </c>
      <c r="AG216" s="56">
        <f>'Blocking Prices'!$K$14+W216</f>
        <v>2.2000000000000002</v>
      </c>
      <c r="AH216" s="11"/>
      <c r="AI216" s="11"/>
      <c r="AJ216" s="11"/>
      <c r="AK216" s="11"/>
      <c r="AL216" s="12" t="s">
        <v>1446</v>
      </c>
      <c r="AM216" s="12" t="s">
        <v>1447</v>
      </c>
      <c r="AN216" s="12" t="str">
        <f>IFERROR(_xlfn.LET(_xlpm.v,INDEX('product-export-27-8-2026'!$A:$AJ,MATCH($A216,'product-export-27-8-2026'!$A:$A,0),MATCH(AN$1,'product-export-27-8-2026'!$1:$1,0)),IF(_xlpm.v="","",_xlpm.v)),"")</f>
        <v/>
      </c>
      <c r="AO216" s="12" t="str">
        <f>IFERROR(_xlfn.LET(_xlpm.v,INDEX('product-export-27-8-2026'!$A:$AJ,MATCH($A216,'product-export-27-8-2026'!$A:$A,0),MATCH(AO$1,'product-export-27-8-2026'!$1:$1,0)),IF(_xlpm.v="","",_xlpm.v)),"")</f>
        <v/>
      </c>
      <c r="AP216" s="12" t="str">
        <f>IFERROR(_xlfn.LET(_xlpm.v,INDEX('product-export-27-8-2026'!$A:$AJ,MATCH($A216,'product-export-27-8-2026'!$A:$A,0),MATCH(AP$1,'product-export-27-8-2026'!$1:$1,0)),IF(_xlpm.v="","",_xlpm.v)),"")</f>
        <v/>
      </c>
      <c r="AQ216" s="12" t="str">
        <f>IFERROR(_xlfn.LET(_xlpm.v,INDEX('product-export-27-8-2026'!$A:$AJ,MATCH($A216,'product-export-27-8-2026'!$A:$A,0),MATCH(AQ$1,'product-export-27-8-2026'!$1:$1,0)),IF(_xlpm.v="","",_xlpm.v)),"")</f>
        <v/>
      </c>
      <c r="AR216" s="12" t="str">
        <f>IFERROR(_xlfn.LET(_xlpm.v,INDEX('product-export-27-8-2026'!$A:$AJ,MATCH($A216,'product-export-27-8-2026'!$A:$A,0),MATCH(AR$1,'product-export-27-8-2026'!$1:$1,0)),IF(_xlpm.v="","",_xlpm.v)),"")</f>
        <v>Dorchester Collection, Gifts, Keychains</v>
      </c>
      <c r="AS216" s="12" t="str">
        <f>IFERROR(_xlfn.LET(_xlpm.v,INDEX('product-export-27-8-2026'!$A:$AJ,MATCH($A216,'product-export-27-8-2026'!$A:$A,0),MATCH(AS$1,'product-export-27-8-2026'!$1:$1,0)),IF(_xlpm.v="","",_xlpm.v)),"")</f>
        <v>Dorchester Rectangle Key Fob</v>
      </c>
      <c r="BC216" s="15"/>
    </row>
    <row r="217" spans="1:55" s="14" customFormat="1" ht="27.6" customHeight="1" x14ac:dyDescent="0.3">
      <c r="A217" s="11">
        <v>4967</v>
      </c>
      <c r="B217" s="12" t="s">
        <v>546</v>
      </c>
      <c r="C217" s="12" t="s">
        <v>320</v>
      </c>
      <c r="D217" s="12" t="s">
        <v>324</v>
      </c>
      <c r="E217" s="13" t="s">
        <v>324</v>
      </c>
      <c r="F217" s="12" t="s">
        <v>322</v>
      </c>
      <c r="G217" s="12" t="s">
        <v>321</v>
      </c>
      <c r="H217" s="12" t="s">
        <v>792</v>
      </c>
      <c r="I217" s="12"/>
      <c r="J217" s="12" t="s">
        <v>576</v>
      </c>
      <c r="K217" s="12"/>
      <c r="L217" s="60"/>
      <c r="M217" s="11">
        <v>2.99</v>
      </c>
      <c r="N217" s="12" t="s">
        <v>323</v>
      </c>
      <c r="O217" s="56">
        <f t="shared" si="20"/>
        <v>4.49</v>
      </c>
      <c r="P217" s="56">
        <f t="shared" si="20"/>
        <v>4.25</v>
      </c>
      <c r="Q217" s="56">
        <f t="shared" si="20"/>
        <v>2.2000000000000002</v>
      </c>
      <c r="R217" s="56">
        <f t="shared" si="20"/>
        <v>1.83</v>
      </c>
      <c r="S217" s="56">
        <f t="shared" si="20"/>
        <v>1.55</v>
      </c>
      <c r="T217" s="56">
        <f t="shared" si="20"/>
        <v>1.3</v>
      </c>
      <c r="U217" s="56">
        <f t="shared" si="20"/>
        <v>1.18</v>
      </c>
      <c r="V217" s="56">
        <f t="shared" si="20"/>
        <v>1.1299999999999999</v>
      </c>
      <c r="W217" s="56">
        <f t="shared" si="20"/>
        <v>1.06</v>
      </c>
      <c r="X217" s="30" t="str" cm="1">
        <f t="array" ref="X217">IF(Y217="","",_xlfn.TEXTJOIN(";",TRUE,SUBSTITUTE($Y$1:$AG$1,"Qty ","")&amp;":"&amp;TEXT(Y217:AG217,"0.00"))&amp;";")</f>
        <v>1:7.91;10:6.88;25:4.03;50:3.33;100:2.93;250:2.56;500:2.38;750:2.30;1000:2.20;</v>
      </c>
      <c r="Y217" s="56">
        <f>'Blocking Prices'!$C$14+O217</f>
        <v>7.91</v>
      </c>
      <c r="Z217" s="56">
        <f>'Blocking Prices'!$D$14+P217</f>
        <v>6.88</v>
      </c>
      <c r="AA217" s="56">
        <f>'Blocking Prices'!$E$14+Q217</f>
        <v>4.03</v>
      </c>
      <c r="AB217" s="56">
        <f>'Blocking Prices'!$F$14+R217</f>
        <v>3.33</v>
      </c>
      <c r="AC217" s="56">
        <f>'Blocking Prices'!$G$14+S217</f>
        <v>2.9299999999999997</v>
      </c>
      <c r="AD217" s="56">
        <f>'Blocking Prices'!$H$14+T217</f>
        <v>2.56</v>
      </c>
      <c r="AE217" s="56">
        <f>'Blocking Prices'!$I$14+U217</f>
        <v>2.38</v>
      </c>
      <c r="AF217" s="56">
        <f>'Blocking Prices'!$J$14+V217</f>
        <v>2.2999999999999998</v>
      </c>
      <c r="AG217" s="56">
        <f>'Blocking Prices'!$K$14+W217</f>
        <v>2.2000000000000002</v>
      </c>
      <c r="AH217" s="11"/>
      <c r="AI217" s="11"/>
      <c r="AJ217" s="11"/>
      <c r="AK217" s="11"/>
      <c r="AL217" s="12" t="s">
        <v>1446</v>
      </c>
      <c r="AM217" s="12" t="s">
        <v>1447</v>
      </c>
      <c r="AN217" s="12" t="str">
        <f>IFERROR(_xlfn.LET(_xlpm.v,INDEX('product-export-27-8-2026'!$A:$AJ,MATCH($A217,'product-export-27-8-2026'!$A:$A,0),MATCH(AN$1,'product-export-27-8-2026'!$1:$1,0)),IF(_xlpm.v="","",_xlpm.v)),"")</f>
        <v/>
      </c>
      <c r="AO217" s="12" t="str">
        <f>IFERROR(_xlfn.LET(_xlpm.v,INDEX('product-export-27-8-2026'!$A:$AJ,MATCH($A217,'product-export-27-8-2026'!$A:$A,0),MATCH(AO$1,'product-export-27-8-2026'!$1:$1,0)),IF(_xlpm.v="","",_xlpm.v)),"")</f>
        <v/>
      </c>
      <c r="AP217" s="12" t="str">
        <f>IFERROR(_xlfn.LET(_xlpm.v,INDEX('product-export-27-8-2026'!$A:$AJ,MATCH($A217,'product-export-27-8-2026'!$A:$A,0),MATCH(AP$1,'product-export-27-8-2026'!$1:$1,0)),IF(_xlpm.v="","",_xlpm.v)),"")</f>
        <v/>
      </c>
      <c r="AQ217" s="12" t="str">
        <f>IFERROR(_xlfn.LET(_xlpm.v,INDEX('product-export-27-8-2026'!$A:$AJ,MATCH($A217,'product-export-27-8-2026'!$A:$A,0),MATCH(AQ$1,'product-export-27-8-2026'!$1:$1,0)),IF(_xlpm.v="","",_xlpm.v)),"")</f>
        <v/>
      </c>
      <c r="AR217" s="12" t="str">
        <f>IFERROR(_xlfn.LET(_xlpm.v,INDEX('product-export-27-8-2026'!$A:$AJ,MATCH($A217,'product-export-27-8-2026'!$A:$A,0),MATCH(AR$1,'product-export-27-8-2026'!$1:$1,0)),IF(_xlpm.v="","",_xlpm.v)),"")</f>
        <v>Dorchester Collection, Gifts, Keychains</v>
      </c>
      <c r="AS217" s="12" t="str">
        <f>IFERROR(_xlfn.LET(_xlpm.v,INDEX('product-export-27-8-2026'!$A:$AJ,MATCH($A217,'product-export-27-8-2026'!$A:$A,0),MATCH(AS$1,'product-export-27-8-2026'!$1:$1,0)),IF(_xlpm.v="","",_xlpm.v)),"")</f>
        <v>Dorchester Rectangle Key Fob</v>
      </c>
      <c r="BC217" s="15"/>
    </row>
    <row r="218" spans="1:55" s="14" customFormat="1" ht="27.6" customHeight="1" x14ac:dyDescent="0.3">
      <c r="A218" s="11">
        <v>4973</v>
      </c>
      <c r="B218" s="12" t="s">
        <v>547</v>
      </c>
      <c r="C218" s="12" t="s">
        <v>320</v>
      </c>
      <c r="D218" s="12" t="s">
        <v>325</v>
      </c>
      <c r="E218" s="13" t="s">
        <v>325</v>
      </c>
      <c r="F218" s="12" t="s">
        <v>322</v>
      </c>
      <c r="G218" s="12" t="s">
        <v>321</v>
      </c>
      <c r="H218" s="12" t="s">
        <v>672</v>
      </c>
      <c r="I218" s="12"/>
      <c r="J218" s="12" t="s">
        <v>576</v>
      </c>
      <c r="K218" s="12"/>
      <c r="L218" s="60"/>
      <c r="M218" s="11">
        <v>2.99</v>
      </c>
      <c r="N218" s="12" t="s">
        <v>323</v>
      </c>
      <c r="O218" s="56">
        <f t="shared" si="20"/>
        <v>4.49</v>
      </c>
      <c r="P218" s="56">
        <f t="shared" si="20"/>
        <v>4.25</v>
      </c>
      <c r="Q218" s="56">
        <f t="shared" si="20"/>
        <v>2.2000000000000002</v>
      </c>
      <c r="R218" s="56">
        <f t="shared" si="20"/>
        <v>1.83</v>
      </c>
      <c r="S218" s="56">
        <f t="shared" si="20"/>
        <v>1.55</v>
      </c>
      <c r="T218" s="56">
        <f t="shared" si="20"/>
        <v>1.3</v>
      </c>
      <c r="U218" s="56">
        <f t="shared" si="20"/>
        <v>1.18</v>
      </c>
      <c r="V218" s="56">
        <f t="shared" si="20"/>
        <v>1.1299999999999999</v>
      </c>
      <c r="W218" s="56">
        <f t="shared" si="20"/>
        <v>1.06</v>
      </c>
      <c r="X218" s="30" t="str" cm="1">
        <f t="array" ref="X218">IF(Y218="","",_xlfn.TEXTJOIN(";",TRUE,SUBSTITUTE($Y$1:$AG$1,"Qty ","")&amp;":"&amp;TEXT(Y218:AG218,"0.00"))&amp;";")</f>
        <v>1:7.91;10:6.88;25:4.03;50:3.33;100:2.93;250:2.56;500:2.38;750:2.30;1000:2.20;</v>
      </c>
      <c r="Y218" s="56">
        <f>'Blocking Prices'!$C$14+O218</f>
        <v>7.91</v>
      </c>
      <c r="Z218" s="56">
        <f>'Blocking Prices'!$D$14+P218</f>
        <v>6.88</v>
      </c>
      <c r="AA218" s="56">
        <f>'Blocking Prices'!$E$14+Q218</f>
        <v>4.03</v>
      </c>
      <c r="AB218" s="56">
        <f>'Blocking Prices'!$F$14+R218</f>
        <v>3.33</v>
      </c>
      <c r="AC218" s="56">
        <f>'Blocking Prices'!$G$14+S218</f>
        <v>2.9299999999999997</v>
      </c>
      <c r="AD218" s="56">
        <f>'Blocking Prices'!$H$14+T218</f>
        <v>2.56</v>
      </c>
      <c r="AE218" s="56">
        <f>'Blocking Prices'!$I$14+U218</f>
        <v>2.38</v>
      </c>
      <c r="AF218" s="56">
        <f>'Blocking Prices'!$J$14+V218</f>
        <v>2.2999999999999998</v>
      </c>
      <c r="AG218" s="56">
        <f>'Blocking Prices'!$K$14+W218</f>
        <v>2.2000000000000002</v>
      </c>
      <c r="AH218" s="11"/>
      <c r="AI218" s="11"/>
      <c r="AJ218" s="11"/>
      <c r="AK218" s="11"/>
      <c r="AL218" s="12" t="s">
        <v>1446</v>
      </c>
      <c r="AM218" s="12" t="s">
        <v>1447</v>
      </c>
      <c r="AN218" s="12" t="str">
        <f>IFERROR(_xlfn.LET(_xlpm.v,INDEX('product-export-27-8-2026'!$A:$AJ,MATCH($A218,'product-export-27-8-2026'!$A:$A,0),MATCH(AN$1,'product-export-27-8-2026'!$1:$1,0)),IF(_xlpm.v="","",_xlpm.v)),"")</f>
        <v/>
      </c>
      <c r="AO218" s="12" t="str">
        <f>IFERROR(_xlfn.LET(_xlpm.v,INDEX('product-export-27-8-2026'!$A:$AJ,MATCH($A218,'product-export-27-8-2026'!$A:$A,0),MATCH(AO$1,'product-export-27-8-2026'!$1:$1,0)),IF(_xlpm.v="","",_xlpm.v)),"")</f>
        <v/>
      </c>
      <c r="AP218" s="12" t="str">
        <f>IFERROR(_xlfn.LET(_xlpm.v,INDEX('product-export-27-8-2026'!$A:$AJ,MATCH($A218,'product-export-27-8-2026'!$A:$A,0),MATCH(AP$1,'product-export-27-8-2026'!$1:$1,0)),IF(_xlpm.v="","",_xlpm.v)),"")</f>
        <v/>
      </c>
      <c r="AQ218" s="12" t="str">
        <f>IFERROR(_xlfn.LET(_xlpm.v,INDEX('product-export-27-8-2026'!$A:$AJ,MATCH($A218,'product-export-27-8-2026'!$A:$A,0),MATCH(AQ$1,'product-export-27-8-2026'!$1:$1,0)),IF(_xlpm.v="","",_xlpm.v)),"")</f>
        <v/>
      </c>
      <c r="AR218" s="12" t="str">
        <f>IFERROR(_xlfn.LET(_xlpm.v,INDEX('product-export-27-8-2026'!$A:$AJ,MATCH($A218,'product-export-27-8-2026'!$A:$A,0),MATCH(AR$1,'product-export-27-8-2026'!$1:$1,0)),IF(_xlpm.v="","",_xlpm.v)),"")</f>
        <v>Dorchester Collection, Gifts, Keychains</v>
      </c>
      <c r="AS218" s="12" t="str">
        <f>IFERROR(_xlfn.LET(_xlpm.v,INDEX('product-export-27-8-2026'!$A:$AJ,MATCH($A218,'product-export-27-8-2026'!$A:$A,0),MATCH(AS$1,'product-export-27-8-2026'!$1:$1,0)),IF(_xlpm.v="","",_xlpm.v)),"")</f>
        <v>Dorchester Rectangle Key Fob</v>
      </c>
      <c r="BC218" s="15"/>
    </row>
    <row r="219" spans="1:55" s="14" customFormat="1" ht="27.6" customHeight="1" x14ac:dyDescent="0.3">
      <c r="A219" s="11">
        <v>4977</v>
      </c>
      <c r="B219" s="12" t="s">
        <v>548</v>
      </c>
      <c r="C219" s="12" t="s">
        <v>320</v>
      </c>
      <c r="D219" s="12" t="s">
        <v>326</v>
      </c>
      <c r="E219" s="13" t="s">
        <v>326</v>
      </c>
      <c r="F219" s="12" t="s">
        <v>322</v>
      </c>
      <c r="G219" s="12" t="s">
        <v>321</v>
      </c>
      <c r="H219" s="12" t="s">
        <v>728</v>
      </c>
      <c r="I219" s="12"/>
      <c r="J219" s="12" t="s">
        <v>576</v>
      </c>
      <c r="K219" s="12"/>
      <c r="L219" s="60"/>
      <c r="M219" s="11">
        <v>2.99</v>
      </c>
      <c r="N219" s="12" t="s">
        <v>323</v>
      </c>
      <c r="O219" s="56">
        <f t="shared" si="20"/>
        <v>4.49</v>
      </c>
      <c r="P219" s="56">
        <f t="shared" si="20"/>
        <v>4.25</v>
      </c>
      <c r="Q219" s="56">
        <f t="shared" si="20"/>
        <v>2.2000000000000002</v>
      </c>
      <c r="R219" s="56">
        <f t="shared" si="20"/>
        <v>1.83</v>
      </c>
      <c r="S219" s="56">
        <f t="shared" si="20"/>
        <v>1.55</v>
      </c>
      <c r="T219" s="56">
        <f t="shared" si="20"/>
        <v>1.3</v>
      </c>
      <c r="U219" s="56">
        <f t="shared" si="20"/>
        <v>1.18</v>
      </c>
      <c r="V219" s="56">
        <f t="shared" si="20"/>
        <v>1.1299999999999999</v>
      </c>
      <c r="W219" s="56">
        <f t="shared" si="20"/>
        <v>1.06</v>
      </c>
      <c r="X219" s="30" t="str" cm="1">
        <f t="array" ref="X219">IF(Y219="","",_xlfn.TEXTJOIN(";",TRUE,SUBSTITUTE($Y$1:$AG$1,"Qty ","")&amp;":"&amp;TEXT(Y219:AG219,"0.00"))&amp;";")</f>
        <v>1:7.91;10:6.88;25:4.03;50:3.33;100:2.93;250:2.56;500:2.38;750:2.30;1000:2.20;</v>
      </c>
      <c r="Y219" s="56">
        <f>'Blocking Prices'!$C$14+O219</f>
        <v>7.91</v>
      </c>
      <c r="Z219" s="56">
        <f>'Blocking Prices'!$D$14+P219</f>
        <v>6.88</v>
      </c>
      <c r="AA219" s="56">
        <f>'Blocking Prices'!$E$14+Q219</f>
        <v>4.03</v>
      </c>
      <c r="AB219" s="56">
        <f>'Blocking Prices'!$F$14+R219</f>
        <v>3.33</v>
      </c>
      <c r="AC219" s="56">
        <f>'Blocking Prices'!$G$14+S219</f>
        <v>2.9299999999999997</v>
      </c>
      <c r="AD219" s="56">
        <f>'Blocking Prices'!$H$14+T219</f>
        <v>2.56</v>
      </c>
      <c r="AE219" s="56">
        <f>'Blocking Prices'!$I$14+U219</f>
        <v>2.38</v>
      </c>
      <c r="AF219" s="56">
        <f>'Blocking Prices'!$J$14+V219</f>
        <v>2.2999999999999998</v>
      </c>
      <c r="AG219" s="56">
        <f>'Blocking Prices'!$K$14+W219</f>
        <v>2.2000000000000002</v>
      </c>
      <c r="AH219" s="11"/>
      <c r="AI219" s="11"/>
      <c r="AJ219" s="11"/>
      <c r="AK219" s="11"/>
      <c r="AL219" s="12" t="s">
        <v>1446</v>
      </c>
      <c r="AM219" s="12" t="s">
        <v>1447</v>
      </c>
      <c r="AN219" s="12" t="str">
        <f>IFERROR(_xlfn.LET(_xlpm.v,INDEX('product-export-27-8-2026'!$A:$AJ,MATCH($A219,'product-export-27-8-2026'!$A:$A,0),MATCH(AN$1,'product-export-27-8-2026'!$1:$1,0)),IF(_xlpm.v="","",_xlpm.v)),"")</f>
        <v/>
      </c>
      <c r="AO219" s="12" t="str">
        <f>IFERROR(_xlfn.LET(_xlpm.v,INDEX('product-export-27-8-2026'!$A:$AJ,MATCH($A219,'product-export-27-8-2026'!$A:$A,0),MATCH(AO$1,'product-export-27-8-2026'!$1:$1,0)),IF(_xlpm.v="","",_xlpm.v)),"")</f>
        <v/>
      </c>
      <c r="AP219" s="12" t="str">
        <f>IFERROR(_xlfn.LET(_xlpm.v,INDEX('product-export-27-8-2026'!$A:$AJ,MATCH($A219,'product-export-27-8-2026'!$A:$A,0),MATCH(AP$1,'product-export-27-8-2026'!$1:$1,0)),IF(_xlpm.v="","",_xlpm.v)),"")</f>
        <v/>
      </c>
      <c r="AQ219" s="12" t="str">
        <f>IFERROR(_xlfn.LET(_xlpm.v,INDEX('product-export-27-8-2026'!$A:$AJ,MATCH($A219,'product-export-27-8-2026'!$A:$A,0),MATCH(AQ$1,'product-export-27-8-2026'!$1:$1,0)),IF(_xlpm.v="","",_xlpm.v)),"")</f>
        <v/>
      </c>
      <c r="AR219" s="12" t="str">
        <f>IFERROR(_xlfn.LET(_xlpm.v,INDEX('product-export-27-8-2026'!$A:$AJ,MATCH($A219,'product-export-27-8-2026'!$A:$A,0),MATCH(AR$1,'product-export-27-8-2026'!$1:$1,0)),IF(_xlpm.v="","",_xlpm.v)),"")</f>
        <v>Dorchester Collection, Gifts, Keychains</v>
      </c>
      <c r="AS219" s="12" t="str">
        <f>IFERROR(_xlfn.LET(_xlpm.v,INDEX('product-export-27-8-2026'!$A:$AJ,MATCH($A219,'product-export-27-8-2026'!$A:$A,0),MATCH(AS$1,'product-export-27-8-2026'!$1:$1,0)),IF(_xlpm.v="","",_xlpm.v)),"")</f>
        <v>Dorchester Rectangle Key Fob</v>
      </c>
      <c r="BC219" s="15"/>
    </row>
    <row r="220" spans="1:55" s="14" customFormat="1" ht="27.6" customHeight="1" x14ac:dyDescent="0.3">
      <c r="A220" s="11">
        <v>4979</v>
      </c>
      <c r="B220" s="12" t="s">
        <v>549</v>
      </c>
      <c r="C220" s="12" t="s">
        <v>320</v>
      </c>
      <c r="D220" s="12" t="s">
        <v>327</v>
      </c>
      <c r="E220" s="13" t="s">
        <v>327</v>
      </c>
      <c r="F220" s="12" t="s">
        <v>322</v>
      </c>
      <c r="G220" s="12" t="s">
        <v>321</v>
      </c>
      <c r="H220" s="12" t="s">
        <v>720</v>
      </c>
      <c r="I220" s="12"/>
      <c r="J220" s="12" t="s">
        <v>576</v>
      </c>
      <c r="K220" s="12"/>
      <c r="L220" s="60"/>
      <c r="M220" s="11">
        <v>2.99</v>
      </c>
      <c r="N220" s="12" t="s">
        <v>323</v>
      </c>
      <c r="O220" s="56">
        <f t="shared" si="20"/>
        <v>4.49</v>
      </c>
      <c r="P220" s="56">
        <f t="shared" si="20"/>
        <v>4.25</v>
      </c>
      <c r="Q220" s="56">
        <f t="shared" si="20"/>
        <v>2.2000000000000002</v>
      </c>
      <c r="R220" s="56">
        <f t="shared" si="20"/>
        <v>1.83</v>
      </c>
      <c r="S220" s="56">
        <f t="shared" si="20"/>
        <v>1.55</v>
      </c>
      <c r="T220" s="56">
        <f t="shared" si="20"/>
        <v>1.3</v>
      </c>
      <c r="U220" s="56">
        <f t="shared" si="20"/>
        <v>1.18</v>
      </c>
      <c r="V220" s="56">
        <f t="shared" si="20"/>
        <v>1.1299999999999999</v>
      </c>
      <c r="W220" s="56">
        <f t="shared" si="20"/>
        <v>1.06</v>
      </c>
      <c r="X220" s="30" t="str" cm="1">
        <f t="array" ref="X220">IF(Y220="","",_xlfn.TEXTJOIN(";",TRUE,SUBSTITUTE($Y$1:$AG$1,"Qty ","")&amp;":"&amp;TEXT(Y220:AG220,"0.00"))&amp;";")</f>
        <v>1:7.91;10:6.88;25:4.03;50:3.33;100:2.93;250:2.56;500:2.38;750:2.30;1000:2.20;</v>
      </c>
      <c r="Y220" s="56">
        <f>'Blocking Prices'!$C$14+O220</f>
        <v>7.91</v>
      </c>
      <c r="Z220" s="56">
        <f>'Blocking Prices'!$D$14+P220</f>
        <v>6.88</v>
      </c>
      <c r="AA220" s="56">
        <f>'Blocking Prices'!$E$14+Q220</f>
        <v>4.03</v>
      </c>
      <c r="AB220" s="56">
        <f>'Blocking Prices'!$F$14+R220</f>
        <v>3.33</v>
      </c>
      <c r="AC220" s="56">
        <f>'Blocking Prices'!$G$14+S220</f>
        <v>2.9299999999999997</v>
      </c>
      <c r="AD220" s="56">
        <f>'Blocking Prices'!$H$14+T220</f>
        <v>2.56</v>
      </c>
      <c r="AE220" s="56">
        <f>'Blocking Prices'!$I$14+U220</f>
        <v>2.38</v>
      </c>
      <c r="AF220" s="56">
        <f>'Blocking Prices'!$J$14+V220</f>
        <v>2.2999999999999998</v>
      </c>
      <c r="AG220" s="56">
        <f>'Blocking Prices'!$K$14+W220</f>
        <v>2.2000000000000002</v>
      </c>
      <c r="AH220" s="11"/>
      <c r="AI220" s="11"/>
      <c r="AJ220" s="11"/>
      <c r="AK220" s="11"/>
      <c r="AL220" s="12" t="s">
        <v>1446</v>
      </c>
      <c r="AM220" s="12" t="s">
        <v>1447</v>
      </c>
      <c r="AN220" s="12" t="str">
        <f>IFERROR(_xlfn.LET(_xlpm.v,INDEX('product-export-27-8-2026'!$A:$AJ,MATCH($A220,'product-export-27-8-2026'!$A:$A,0),MATCH(AN$1,'product-export-27-8-2026'!$1:$1,0)),IF(_xlpm.v="","",_xlpm.v)),"")</f>
        <v/>
      </c>
      <c r="AO220" s="12" t="str">
        <f>IFERROR(_xlfn.LET(_xlpm.v,INDEX('product-export-27-8-2026'!$A:$AJ,MATCH($A220,'product-export-27-8-2026'!$A:$A,0),MATCH(AO$1,'product-export-27-8-2026'!$1:$1,0)),IF(_xlpm.v="","",_xlpm.v)),"")</f>
        <v/>
      </c>
      <c r="AP220" s="12" t="str">
        <f>IFERROR(_xlfn.LET(_xlpm.v,INDEX('product-export-27-8-2026'!$A:$AJ,MATCH($A220,'product-export-27-8-2026'!$A:$A,0),MATCH(AP$1,'product-export-27-8-2026'!$1:$1,0)),IF(_xlpm.v="","",_xlpm.v)),"")</f>
        <v/>
      </c>
      <c r="AQ220" s="12" t="str">
        <f>IFERROR(_xlfn.LET(_xlpm.v,INDEX('product-export-27-8-2026'!$A:$AJ,MATCH($A220,'product-export-27-8-2026'!$A:$A,0),MATCH(AQ$1,'product-export-27-8-2026'!$1:$1,0)),IF(_xlpm.v="","",_xlpm.v)),"")</f>
        <v/>
      </c>
      <c r="AR220" s="12" t="str">
        <f>IFERROR(_xlfn.LET(_xlpm.v,INDEX('product-export-27-8-2026'!$A:$AJ,MATCH($A220,'product-export-27-8-2026'!$A:$A,0),MATCH(AR$1,'product-export-27-8-2026'!$1:$1,0)),IF(_xlpm.v="","",_xlpm.v)),"")</f>
        <v>Dorchester Collection, Gifts, Keychains</v>
      </c>
      <c r="AS220" s="12" t="str">
        <f>IFERROR(_xlfn.LET(_xlpm.v,INDEX('product-export-27-8-2026'!$A:$AJ,MATCH($A220,'product-export-27-8-2026'!$A:$A,0),MATCH(AS$1,'product-export-27-8-2026'!$1:$1,0)),IF(_xlpm.v="","",_xlpm.v)),"")</f>
        <v>Dorchester Rectangle Key Fob</v>
      </c>
      <c r="BC220" s="15"/>
    </row>
    <row r="221" spans="1:55" s="14" customFormat="1" ht="27.6" customHeight="1" x14ac:dyDescent="0.3">
      <c r="A221" s="11">
        <v>4981</v>
      </c>
      <c r="B221" s="12" t="s">
        <v>550</v>
      </c>
      <c r="C221" s="12" t="s">
        <v>320</v>
      </c>
      <c r="D221" s="12" t="s">
        <v>328</v>
      </c>
      <c r="E221" s="13" t="s">
        <v>328</v>
      </c>
      <c r="F221" s="12" t="s">
        <v>330</v>
      </c>
      <c r="G221" s="12" t="s">
        <v>329</v>
      </c>
      <c r="H221" s="12" t="s">
        <v>720</v>
      </c>
      <c r="I221" s="12"/>
      <c r="J221" s="12" t="s">
        <v>576</v>
      </c>
      <c r="K221" s="12"/>
      <c r="L221" s="60"/>
      <c r="M221" s="26">
        <v>2.99</v>
      </c>
      <c r="N221" s="18" t="s">
        <v>323</v>
      </c>
      <c r="O221" s="56">
        <f t="shared" si="20"/>
        <v>4.49</v>
      </c>
      <c r="P221" s="56">
        <f t="shared" si="20"/>
        <v>4.25</v>
      </c>
      <c r="Q221" s="56">
        <f t="shared" si="20"/>
        <v>2.2000000000000002</v>
      </c>
      <c r="R221" s="56">
        <f t="shared" si="20"/>
        <v>1.83</v>
      </c>
      <c r="S221" s="56">
        <f t="shared" si="20"/>
        <v>1.55</v>
      </c>
      <c r="T221" s="56">
        <f t="shared" si="20"/>
        <v>1.3</v>
      </c>
      <c r="U221" s="56">
        <f t="shared" si="20"/>
        <v>1.18</v>
      </c>
      <c r="V221" s="56">
        <f t="shared" si="20"/>
        <v>1.1299999999999999</v>
      </c>
      <c r="W221" s="56">
        <f t="shared" si="20"/>
        <v>1.06</v>
      </c>
      <c r="X221" s="30" t="str" cm="1">
        <f t="array" ref="X221">IF(Y221="","",_xlfn.TEXTJOIN(";",TRUE,SUBSTITUTE($Y$1:$AG$1,"Qty ","")&amp;":"&amp;TEXT(Y221:AG221,"0.00"))&amp;";")</f>
        <v>1:7.91;10:6.88;25:4.03;50:3.33;100:2.93;250:2.56;500:2.38;750:2.30;1000:2.20;</v>
      </c>
      <c r="Y221" s="56">
        <f>'Blocking Prices'!$C$14+O221</f>
        <v>7.91</v>
      </c>
      <c r="Z221" s="56">
        <f>'Blocking Prices'!$D$14+P221</f>
        <v>6.88</v>
      </c>
      <c r="AA221" s="56">
        <f>'Blocking Prices'!$E$14+Q221</f>
        <v>4.03</v>
      </c>
      <c r="AB221" s="56">
        <f>'Blocking Prices'!$F$14+R221</f>
        <v>3.33</v>
      </c>
      <c r="AC221" s="56">
        <f>'Blocking Prices'!$G$14+S221</f>
        <v>2.9299999999999997</v>
      </c>
      <c r="AD221" s="56">
        <f>'Blocking Prices'!$H$14+T221</f>
        <v>2.56</v>
      </c>
      <c r="AE221" s="56">
        <f>'Blocking Prices'!$I$14+U221</f>
        <v>2.38</v>
      </c>
      <c r="AF221" s="56">
        <f>'Blocking Prices'!$J$14+V221</f>
        <v>2.2999999999999998</v>
      </c>
      <c r="AG221" s="56">
        <f>'Blocking Prices'!$K$14+W221</f>
        <v>2.2000000000000002</v>
      </c>
      <c r="AH221" s="11"/>
      <c r="AI221" s="11"/>
      <c r="AJ221" s="11"/>
      <c r="AK221" s="11"/>
      <c r="AL221" s="12" t="s">
        <v>1446</v>
      </c>
      <c r="AM221" s="12" t="s">
        <v>1447</v>
      </c>
      <c r="AN221" s="12" t="str">
        <f>IFERROR(_xlfn.LET(_xlpm.v,INDEX('product-export-27-8-2026'!$A:$AJ,MATCH($A221,'product-export-27-8-2026'!$A:$A,0),MATCH(AN$1,'product-export-27-8-2026'!$1:$1,0)),IF(_xlpm.v="","",_xlpm.v)),"")</f>
        <v/>
      </c>
      <c r="AO221" s="12" t="str">
        <f>IFERROR(_xlfn.LET(_xlpm.v,INDEX('product-export-27-8-2026'!$A:$AJ,MATCH($A221,'product-export-27-8-2026'!$A:$A,0),MATCH(AO$1,'product-export-27-8-2026'!$1:$1,0)),IF(_xlpm.v="","",_xlpm.v)),"")</f>
        <v/>
      </c>
      <c r="AP221" s="12" t="str">
        <f>IFERROR(_xlfn.LET(_xlpm.v,INDEX('product-export-27-8-2026'!$A:$AJ,MATCH($A221,'product-export-27-8-2026'!$A:$A,0),MATCH(AP$1,'product-export-27-8-2026'!$1:$1,0)),IF(_xlpm.v="","",_xlpm.v)),"")</f>
        <v/>
      </c>
      <c r="AQ221" s="12" t="str">
        <f>IFERROR(_xlfn.LET(_xlpm.v,INDEX('product-export-27-8-2026'!$A:$AJ,MATCH($A221,'product-export-27-8-2026'!$A:$A,0),MATCH(AQ$1,'product-export-27-8-2026'!$1:$1,0)),IF(_xlpm.v="","",_xlpm.v)),"")</f>
        <v/>
      </c>
      <c r="AR221" s="12" t="str">
        <f>IFERROR(_xlfn.LET(_xlpm.v,INDEX('product-export-27-8-2026'!$A:$AJ,MATCH($A221,'product-export-27-8-2026'!$A:$A,0),MATCH(AR$1,'product-export-27-8-2026'!$1:$1,0)),IF(_xlpm.v="","",_xlpm.v)),"")</f>
        <v>Dorchester Collection, Gifts, Keychains</v>
      </c>
      <c r="AS221" s="12" t="str">
        <f>IFERROR(_xlfn.LET(_xlpm.v,INDEX('product-export-27-8-2026'!$A:$AJ,MATCH($A221,'product-export-27-8-2026'!$A:$A,0),MATCH(AS$1,'product-export-27-8-2026'!$1:$1,0)),IF(_xlpm.v="","",_xlpm.v)),"")</f>
        <v>Dorchester Collection Key Fob</v>
      </c>
      <c r="BC221" s="15"/>
    </row>
    <row r="222" spans="1:55" s="14" customFormat="1" ht="27.6" customHeight="1" x14ac:dyDescent="0.3">
      <c r="A222" s="11">
        <v>4983</v>
      </c>
      <c r="B222" s="12" t="s">
        <v>551</v>
      </c>
      <c r="C222" s="12" t="s">
        <v>320</v>
      </c>
      <c r="D222" s="12" t="s">
        <v>331</v>
      </c>
      <c r="E222" s="13" t="s">
        <v>331</v>
      </c>
      <c r="F222" s="12" t="s">
        <v>330</v>
      </c>
      <c r="G222" s="12" t="s">
        <v>329</v>
      </c>
      <c r="H222" s="12" t="s">
        <v>891</v>
      </c>
      <c r="I222" s="12"/>
      <c r="J222" s="12" t="s">
        <v>576</v>
      </c>
      <c r="K222" s="12"/>
      <c r="L222" s="60"/>
      <c r="M222" s="26">
        <v>2.99</v>
      </c>
      <c r="N222" s="18" t="s">
        <v>323</v>
      </c>
      <c r="O222" s="56">
        <f t="shared" si="20"/>
        <v>4.49</v>
      </c>
      <c r="P222" s="56">
        <f t="shared" si="20"/>
        <v>4.25</v>
      </c>
      <c r="Q222" s="56">
        <f t="shared" si="20"/>
        <v>2.2000000000000002</v>
      </c>
      <c r="R222" s="56">
        <f t="shared" si="20"/>
        <v>1.83</v>
      </c>
      <c r="S222" s="56">
        <f t="shared" si="20"/>
        <v>1.55</v>
      </c>
      <c r="T222" s="56">
        <f t="shared" si="20"/>
        <v>1.3</v>
      </c>
      <c r="U222" s="56">
        <f t="shared" si="20"/>
        <v>1.18</v>
      </c>
      <c r="V222" s="56">
        <f t="shared" si="20"/>
        <v>1.1299999999999999</v>
      </c>
      <c r="W222" s="56">
        <f t="shared" si="20"/>
        <v>1.06</v>
      </c>
      <c r="X222" s="30" t="str" cm="1">
        <f t="array" ref="X222">IF(Y222="","",_xlfn.TEXTJOIN(";",TRUE,SUBSTITUTE($Y$1:$AG$1,"Qty ","")&amp;":"&amp;TEXT(Y222:AG222,"0.00"))&amp;";")</f>
        <v>1:7.91;10:6.88;25:4.03;50:3.33;100:2.93;250:2.56;500:2.38;750:2.30;1000:2.20;</v>
      </c>
      <c r="Y222" s="56">
        <f>'Blocking Prices'!$C$14+O222</f>
        <v>7.91</v>
      </c>
      <c r="Z222" s="56">
        <f>'Blocking Prices'!$D$14+P222</f>
        <v>6.88</v>
      </c>
      <c r="AA222" s="56">
        <f>'Blocking Prices'!$E$14+Q222</f>
        <v>4.03</v>
      </c>
      <c r="AB222" s="56">
        <f>'Blocking Prices'!$F$14+R222</f>
        <v>3.33</v>
      </c>
      <c r="AC222" s="56">
        <f>'Blocking Prices'!$G$14+S222</f>
        <v>2.9299999999999997</v>
      </c>
      <c r="AD222" s="56">
        <f>'Blocking Prices'!$H$14+T222</f>
        <v>2.56</v>
      </c>
      <c r="AE222" s="56">
        <f>'Blocking Prices'!$I$14+U222</f>
        <v>2.38</v>
      </c>
      <c r="AF222" s="56">
        <f>'Blocking Prices'!$J$14+V222</f>
        <v>2.2999999999999998</v>
      </c>
      <c r="AG222" s="56">
        <f>'Blocking Prices'!$K$14+W222</f>
        <v>2.2000000000000002</v>
      </c>
      <c r="AH222" s="11"/>
      <c r="AI222" s="11"/>
      <c r="AJ222" s="11"/>
      <c r="AK222" s="11"/>
      <c r="AL222" s="12" t="s">
        <v>1446</v>
      </c>
      <c r="AM222" s="12" t="s">
        <v>1447</v>
      </c>
      <c r="AN222" s="12" t="str">
        <f>IFERROR(_xlfn.LET(_xlpm.v,INDEX('product-export-27-8-2026'!$A:$AJ,MATCH($A222,'product-export-27-8-2026'!$A:$A,0),MATCH(AN$1,'product-export-27-8-2026'!$1:$1,0)),IF(_xlpm.v="","",_xlpm.v)),"")</f>
        <v/>
      </c>
      <c r="AO222" s="12" t="str">
        <f>IFERROR(_xlfn.LET(_xlpm.v,INDEX('product-export-27-8-2026'!$A:$AJ,MATCH($A222,'product-export-27-8-2026'!$A:$A,0),MATCH(AO$1,'product-export-27-8-2026'!$1:$1,0)),IF(_xlpm.v="","",_xlpm.v)),"")</f>
        <v/>
      </c>
      <c r="AP222" s="12" t="str">
        <f>IFERROR(_xlfn.LET(_xlpm.v,INDEX('product-export-27-8-2026'!$A:$AJ,MATCH($A222,'product-export-27-8-2026'!$A:$A,0),MATCH(AP$1,'product-export-27-8-2026'!$1:$1,0)),IF(_xlpm.v="","",_xlpm.v)),"")</f>
        <v/>
      </c>
      <c r="AQ222" s="12" t="str">
        <f>IFERROR(_xlfn.LET(_xlpm.v,INDEX('product-export-27-8-2026'!$A:$AJ,MATCH($A222,'product-export-27-8-2026'!$A:$A,0),MATCH(AQ$1,'product-export-27-8-2026'!$1:$1,0)),IF(_xlpm.v="","",_xlpm.v)),"")</f>
        <v/>
      </c>
      <c r="AR222" s="12" t="str">
        <f>IFERROR(_xlfn.LET(_xlpm.v,INDEX('product-export-27-8-2026'!$A:$AJ,MATCH($A222,'product-export-27-8-2026'!$A:$A,0),MATCH(AR$1,'product-export-27-8-2026'!$1:$1,0)),IF(_xlpm.v="","",_xlpm.v)),"")</f>
        <v>Dorchester Collection, Gifts, Keychains</v>
      </c>
      <c r="AS222" s="12" t="str">
        <f>IFERROR(_xlfn.LET(_xlpm.v,INDEX('product-export-27-8-2026'!$A:$AJ,MATCH($A222,'product-export-27-8-2026'!$A:$A,0),MATCH(AS$1,'product-export-27-8-2026'!$1:$1,0)),IF(_xlpm.v="","",_xlpm.v)),"")</f>
        <v>Dorchester Collection Key Fob</v>
      </c>
      <c r="BC222" s="15"/>
    </row>
    <row r="223" spans="1:55" s="14" customFormat="1" ht="27.6" customHeight="1" x14ac:dyDescent="0.3">
      <c r="A223" s="11">
        <v>4985</v>
      </c>
      <c r="B223" s="12" t="s">
        <v>552</v>
      </c>
      <c r="C223" s="12" t="s">
        <v>320</v>
      </c>
      <c r="D223" s="12" t="s">
        <v>332</v>
      </c>
      <c r="E223" s="13" t="s">
        <v>332</v>
      </c>
      <c r="F223" s="12" t="s">
        <v>330</v>
      </c>
      <c r="G223" s="12" t="s">
        <v>329</v>
      </c>
      <c r="H223" s="12" t="s">
        <v>796</v>
      </c>
      <c r="I223" s="12"/>
      <c r="J223" s="12" t="s">
        <v>576</v>
      </c>
      <c r="K223" s="12"/>
      <c r="L223" s="60"/>
      <c r="M223" s="26">
        <v>2.99</v>
      </c>
      <c r="N223" s="18" t="s">
        <v>323</v>
      </c>
      <c r="O223" s="56">
        <f t="shared" si="20"/>
        <v>4.49</v>
      </c>
      <c r="P223" s="56">
        <f t="shared" si="20"/>
        <v>4.25</v>
      </c>
      <c r="Q223" s="56">
        <f t="shared" si="20"/>
        <v>2.2000000000000002</v>
      </c>
      <c r="R223" s="56">
        <f t="shared" si="20"/>
        <v>1.83</v>
      </c>
      <c r="S223" s="56">
        <f t="shared" si="20"/>
        <v>1.55</v>
      </c>
      <c r="T223" s="56">
        <f t="shared" si="20"/>
        <v>1.3</v>
      </c>
      <c r="U223" s="56">
        <f t="shared" si="20"/>
        <v>1.18</v>
      </c>
      <c r="V223" s="56">
        <f t="shared" si="20"/>
        <v>1.1299999999999999</v>
      </c>
      <c r="W223" s="56">
        <f t="shared" si="20"/>
        <v>1.06</v>
      </c>
      <c r="X223" s="30" t="str" cm="1">
        <f t="array" ref="X223">IF(Y223="","",_xlfn.TEXTJOIN(";",TRUE,SUBSTITUTE($Y$1:$AG$1,"Qty ","")&amp;":"&amp;TEXT(Y223:AG223,"0.00"))&amp;";")</f>
        <v>1:7.91;10:6.88;25:4.03;50:3.33;100:2.93;250:2.56;500:2.38;750:2.30;1000:2.20;</v>
      </c>
      <c r="Y223" s="56">
        <f>'Blocking Prices'!$C$14+O223</f>
        <v>7.91</v>
      </c>
      <c r="Z223" s="56">
        <f>'Blocking Prices'!$D$14+P223</f>
        <v>6.88</v>
      </c>
      <c r="AA223" s="56">
        <f>'Blocking Prices'!$E$14+Q223</f>
        <v>4.03</v>
      </c>
      <c r="AB223" s="56">
        <f>'Blocking Prices'!$F$14+R223</f>
        <v>3.33</v>
      </c>
      <c r="AC223" s="56">
        <f>'Blocking Prices'!$G$14+S223</f>
        <v>2.9299999999999997</v>
      </c>
      <c r="AD223" s="56">
        <f>'Blocking Prices'!$H$14+T223</f>
        <v>2.56</v>
      </c>
      <c r="AE223" s="56">
        <f>'Blocking Prices'!$I$14+U223</f>
        <v>2.38</v>
      </c>
      <c r="AF223" s="56">
        <f>'Blocking Prices'!$J$14+V223</f>
        <v>2.2999999999999998</v>
      </c>
      <c r="AG223" s="56">
        <f>'Blocking Prices'!$K$14+W223</f>
        <v>2.2000000000000002</v>
      </c>
      <c r="AH223" s="11"/>
      <c r="AI223" s="11"/>
      <c r="AJ223" s="11"/>
      <c r="AK223" s="11"/>
      <c r="AL223" s="12" t="s">
        <v>1446</v>
      </c>
      <c r="AM223" s="12" t="s">
        <v>1447</v>
      </c>
      <c r="AN223" s="12" t="str">
        <f>IFERROR(_xlfn.LET(_xlpm.v,INDEX('product-export-27-8-2026'!$A:$AJ,MATCH($A223,'product-export-27-8-2026'!$A:$A,0),MATCH(AN$1,'product-export-27-8-2026'!$1:$1,0)),IF(_xlpm.v="","",_xlpm.v)),"")</f>
        <v/>
      </c>
      <c r="AO223" s="12" t="str">
        <f>IFERROR(_xlfn.LET(_xlpm.v,INDEX('product-export-27-8-2026'!$A:$AJ,MATCH($A223,'product-export-27-8-2026'!$A:$A,0),MATCH(AO$1,'product-export-27-8-2026'!$1:$1,0)),IF(_xlpm.v="","",_xlpm.v)),"")</f>
        <v/>
      </c>
      <c r="AP223" s="12" t="str">
        <f>IFERROR(_xlfn.LET(_xlpm.v,INDEX('product-export-27-8-2026'!$A:$AJ,MATCH($A223,'product-export-27-8-2026'!$A:$A,0),MATCH(AP$1,'product-export-27-8-2026'!$1:$1,0)),IF(_xlpm.v="","",_xlpm.v)),"")</f>
        <v/>
      </c>
      <c r="AQ223" s="12" t="str">
        <f>IFERROR(_xlfn.LET(_xlpm.v,INDEX('product-export-27-8-2026'!$A:$AJ,MATCH($A223,'product-export-27-8-2026'!$A:$A,0),MATCH(AQ$1,'product-export-27-8-2026'!$1:$1,0)),IF(_xlpm.v="","",_xlpm.v)),"")</f>
        <v/>
      </c>
      <c r="AR223" s="12" t="str">
        <f>IFERROR(_xlfn.LET(_xlpm.v,INDEX('product-export-27-8-2026'!$A:$AJ,MATCH($A223,'product-export-27-8-2026'!$A:$A,0),MATCH(AR$1,'product-export-27-8-2026'!$1:$1,0)),IF(_xlpm.v="","",_xlpm.v)),"")</f>
        <v>Dorchester Collection, Gifts, Keychains</v>
      </c>
      <c r="AS223" s="12" t="str">
        <f>IFERROR(_xlfn.LET(_xlpm.v,INDEX('product-export-27-8-2026'!$A:$AJ,MATCH($A223,'product-export-27-8-2026'!$A:$A,0),MATCH(AS$1,'product-export-27-8-2026'!$1:$1,0)),IF(_xlpm.v="","",_xlpm.v)),"")</f>
        <v>Dorchester Collection Key Fob</v>
      </c>
      <c r="BC223" s="15"/>
    </row>
    <row r="224" spans="1:55" s="14" customFormat="1" ht="27.6" customHeight="1" x14ac:dyDescent="0.3">
      <c r="A224" s="11">
        <v>4987</v>
      </c>
      <c r="B224" s="12" t="s">
        <v>553</v>
      </c>
      <c r="C224" s="12" t="s">
        <v>320</v>
      </c>
      <c r="D224" s="12" t="s">
        <v>333</v>
      </c>
      <c r="E224" s="13" t="s">
        <v>333</v>
      </c>
      <c r="F224" s="12" t="s">
        <v>330</v>
      </c>
      <c r="G224" s="12" t="s">
        <v>329</v>
      </c>
      <c r="H224" s="12" t="s">
        <v>672</v>
      </c>
      <c r="I224" s="12"/>
      <c r="J224" s="12" t="s">
        <v>576</v>
      </c>
      <c r="K224" s="12"/>
      <c r="L224" s="60"/>
      <c r="M224" s="26">
        <v>2.99</v>
      </c>
      <c r="N224" s="18" t="s">
        <v>323</v>
      </c>
      <c r="O224" s="56">
        <f t="shared" si="20"/>
        <v>4.49</v>
      </c>
      <c r="P224" s="56">
        <f t="shared" si="20"/>
        <v>4.25</v>
      </c>
      <c r="Q224" s="56">
        <f t="shared" si="20"/>
        <v>2.2000000000000002</v>
      </c>
      <c r="R224" s="56">
        <f t="shared" si="20"/>
        <v>1.83</v>
      </c>
      <c r="S224" s="56">
        <f t="shared" si="20"/>
        <v>1.55</v>
      </c>
      <c r="T224" s="56">
        <f t="shared" si="20"/>
        <v>1.3</v>
      </c>
      <c r="U224" s="56">
        <f t="shared" si="20"/>
        <v>1.18</v>
      </c>
      <c r="V224" s="56">
        <f t="shared" si="20"/>
        <v>1.1299999999999999</v>
      </c>
      <c r="W224" s="56">
        <f t="shared" si="20"/>
        <v>1.06</v>
      </c>
      <c r="X224" s="30" t="str" cm="1">
        <f t="array" ref="X224">IF(Y224="","",_xlfn.TEXTJOIN(";",TRUE,SUBSTITUTE($Y$1:$AG$1,"Qty ","")&amp;":"&amp;TEXT(Y224:AG224,"0.00"))&amp;";")</f>
        <v>1:7.91;10:6.88;25:4.03;50:3.33;100:2.93;250:2.56;500:2.38;750:2.30;1000:2.20;</v>
      </c>
      <c r="Y224" s="56">
        <f>'Blocking Prices'!$C$14+O224</f>
        <v>7.91</v>
      </c>
      <c r="Z224" s="56">
        <f>'Blocking Prices'!$D$14+P224</f>
        <v>6.88</v>
      </c>
      <c r="AA224" s="56">
        <f>'Blocking Prices'!$E$14+Q224</f>
        <v>4.03</v>
      </c>
      <c r="AB224" s="56">
        <f>'Blocking Prices'!$F$14+R224</f>
        <v>3.33</v>
      </c>
      <c r="AC224" s="56">
        <f>'Blocking Prices'!$G$14+S224</f>
        <v>2.9299999999999997</v>
      </c>
      <c r="AD224" s="56">
        <f>'Blocking Prices'!$H$14+T224</f>
        <v>2.56</v>
      </c>
      <c r="AE224" s="56">
        <f>'Blocking Prices'!$I$14+U224</f>
        <v>2.38</v>
      </c>
      <c r="AF224" s="56">
        <f>'Blocking Prices'!$J$14+V224</f>
        <v>2.2999999999999998</v>
      </c>
      <c r="AG224" s="56">
        <f>'Blocking Prices'!$K$14+W224</f>
        <v>2.2000000000000002</v>
      </c>
      <c r="AH224" s="11"/>
      <c r="AI224" s="11"/>
      <c r="AJ224" s="11"/>
      <c r="AK224" s="11"/>
      <c r="AL224" s="12" t="s">
        <v>1446</v>
      </c>
      <c r="AM224" s="12" t="s">
        <v>1447</v>
      </c>
      <c r="AN224" s="12" t="str">
        <f>IFERROR(_xlfn.LET(_xlpm.v,INDEX('product-export-27-8-2026'!$A:$AJ,MATCH($A224,'product-export-27-8-2026'!$A:$A,0),MATCH(AN$1,'product-export-27-8-2026'!$1:$1,0)),IF(_xlpm.v="","",_xlpm.v)),"")</f>
        <v/>
      </c>
      <c r="AO224" s="12" t="str">
        <f>IFERROR(_xlfn.LET(_xlpm.v,INDEX('product-export-27-8-2026'!$A:$AJ,MATCH($A224,'product-export-27-8-2026'!$A:$A,0),MATCH(AO$1,'product-export-27-8-2026'!$1:$1,0)),IF(_xlpm.v="","",_xlpm.v)),"")</f>
        <v/>
      </c>
      <c r="AP224" s="12" t="str">
        <f>IFERROR(_xlfn.LET(_xlpm.v,INDEX('product-export-27-8-2026'!$A:$AJ,MATCH($A224,'product-export-27-8-2026'!$A:$A,0),MATCH(AP$1,'product-export-27-8-2026'!$1:$1,0)),IF(_xlpm.v="","",_xlpm.v)),"")</f>
        <v/>
      </c>
      <c r="AQ224" s="12" t="str">
        <f>IFERROR(_xlfn.LET(_xlpm.v,INDEX('product-export-27-8-2026'!$A:$AJ,MATCH($A224,'product-export-27-8-2026'!$A:$A,0),MATCH(AQ$1,'product-export-27-8-2026'!$1:$1,0)),IF(_xlpm.v="","",_xlpm.v)),"")</f>
        <v/>
      </c>
      <c r="AR224" s="12" t="str">
        <f>IFERROR(_xlfn.LET(_xlpm.v,INDEX('product-export-27-8-2026'!$A:$AJ,MATCH($A224,'product-export-27-8-2026'!$A:$A,0),MATCH(AR$1,'product-export-27-8-2026'!$1:$1,0)),IF(_xlpm.v="","",_xlpm.v)),"")</f>
        <v>Dorchester Collection, Gifts, Keychains</v>
      </c>
      <c r="AS224" s="12" t="str">
        <f>IFERROR(_xlfn.LET(_xlpm.v,INDEX('product-export-27-8-2026'!$A:$AJ,MATCH($A224,'product-export-27-8-2026'!$A:$A,0),MATCH(AS$1,'product-export-27-8-2026'!$1:$1,0)),IF(_xlpm.v="","",_xlpm.v)),"")</f>
        <v>Dorchester Collection Key Fob</v>
      </c>
      <c r="BC224" s="15"/>
    </row>
  </sheetData>
  <autoFilter ref="A1:AK224" xr:uid="{00000000-0001-0000-0000-000000000000}">
    <sortState xmlns:xlrd2="http://schemas.microsoft.com/office/spreadsheetml/2017/richdata2" ref="A2:AK224">
      <sortCondition ref="A1"/>
    </sortState>
  </autoFilter>
  <pageMargins left="0.7" right="0.7" top="0.75" bottom="0.75" header="0.3" footer="0.3"/>
  <pageSetup paperSize="9" orientation="portrait"/>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3F4D7-01D5-4D37-9150-872C5F1E1DA1}">
  <dimension ref="A1:CG278"/>
  <sheetViews>
    <sheetView topLeftCell="R2" zoomScale="70" zoomScaleNormal="70" workbookViewId="0">
      <selection activeCell="AZ3" sqref="AZ3"/>
    </sheetView>
  </sheetViews>
  <sheetFormatPr defaultRowHeight="14.4" x14ac:dyDescent="0.3"/>
  <cols>
    <col min="1" max="1" width="8.6640625" style="1" customWidth="1"/>
    <col min="2" max="2" width="6.33203125" style="1" bestFit="1" customWidth="1"/>
    <col min="3" max="3" width="16.33203125" style="1" bestFit="1" customWidth="1"/>
    <col min="4" max="4" width="20.77734375" style="1" bestFit="1" customWidth="1"/>
    <col min="5" max="5" width="61.21875" style="1" customWidth="1"/>
    <col min="6" max="6" width="8.88671875" style="1"/>
    <col min="7" max="7" width="10.33203125" style="1" bestFit="1" customWidth="1"/>
    <col min="8" max="8" width="15.6640625" style="1" bestFit="1" customWidth="1"/>
    <col min="9" max="9" width="48.21875" style="1" customWidth="1"/>
    <col min="10" max="10" width="74.5546875" style="1" customWidth="1"/>
    <col min="11" max="11" width="18" style="1" bestFit="1" customWidth="1"/>
    <col min="12" max="12" width="17.33203125" style="1" bestFit="1" customWidth="1"/>
    <col min="13" max="13" width="8.88671875" style="1"/>
    <col min="14" max="14" width="8.21875" style="1" bestFit="1" customWidth="1"/>
    <col min="15" max="15" width="8" style="1" bestFit="1" customWidth="1"/>
    <col min="16" max="16" width="5.44140625" style="1" bestFit="1" customWidth="1"/>
    <col min="17" max="17" width="15.44140625" style="1" bestFit="1" customWidth="1"/>
    <col min="18" max="18" width="17.88671875" style="1" bestFit="1" customWidth="1"/>
    <col min="19" max="19" width="14.5546875" style="1" bestFit="1" customWidth="1"/>
    <col min="20" max="20" width="10.33203125" style="1" bestFit="1" customWidth="1"/>
    <col min="21" max="21" width="9.21875" style="1" bestFit="1" customWidth="1"/>
    <col min="22" max="22" width="8.5546875" style="1" bestFit="1" customWidth="1"/>
    <col min="23" max="23" width="9.109375" style="1" bestFit="1" customWidth="1"/>
    <col min="24" max="24" width="20.88671875" style="1" bestFit="1" customWidth="1"/>
    <col min="25" max="25" width="12.5546875" style="1" bestFit="1" customWidth="1"/>
    <col min="26" max="26" width="8.88671875" style="1"/>
    <col min="27" max="27" width="11.5546875" style="1" bestFit="1" customWidth="1"/>
    <col min="28" max="28" width="48.44140625" style="1" customWidth="1"/>
    <col min="29" max="29" width="31.88671875" style="1" customWidth="1"/>
    <col min="30" max="30" width="12.33203125" style="1" bestFit="1" customWidth="1"/>
    <col min="31" max="31" width="255.21875" style="1" bestFit="1" customWidth="1"/>
    <col min="32" max="32" width="12.77734375" style="1" bestFit="1" customWidth="1"/>
    <col min="33" max="33" width="18.21875" style="1" bestFit="1" customWidth="1"/>
    <col min="34" max="34" width="6.33203125" style="1" bestFit="1" customWidth="1"/>
    <col min="35" max="35" width="15.5546875" style="1" bestFit="1" customWidth="1"/>
    <col min="36" max="36" width="6.88671875" style="1" bestFit="1" customWidth="1"/>
    <col min="37" max="37" width="10" style="1" bestFit="1" customWidth="1"/>
    <col min="38" max="38" width="11" style="1" bestFit="1" customWidth="1"/>
    <col min="39" max="39" width="9.44140625" style="1" bestFit="1" customWidth="1"/>
    <col min="40" max="40" width="7.44140625" style="1" bestFit="1" customWidth="1"/>
    <col min="41" max="41" width="6.6640625" style="1" bestFit="1" customWidth="1"/>
    <col min="42" max="42" width="14.21875" style="1" bestFit="1" customWidth="1"/>
    <col min="43" max="43" width="15.88671875" style="1" bestFit="1" customWidth="1"/>
    <col min="44" max="44" width="14.6640625" style="1" bestFit="1" customWidth="1"/>
    <col min="45" max="45" width="14.44140625" style="1" bestFit="1" customWidth="1"/>
    <col min="46" max="46" width="14.21875" style="1" bestFit="1" customWidth="1"/>
    <col min="47" max="47" width="15.88671875" style="1" bestFit="1" customWidth="1"/>
    <col min="48" max="48" width="14.6640625" style="1" bestFit="1" customWidth="1"/>
    <col min="49" max="49" width="14.44140625" style="1" bestFit="1" customWidth="1"/>
    <col min="50" max="50" width="14.21875" style="1" bestFit="1" customWidth="1"/>
    <col min="51" max="51" width="15.88671875" style="1" bestFit="1" customWidth="1"/>
    <col min="52" max="52" width="14.6640625" style="1" bestFit="1" customWidth="1"/>
    <col min="53" max="53" width="14.44140625" style="1" bestFit="1" customWidth="1"/>
    <col min="54" max="54" width="139.88671875" style="1" bestFit="1" customWidth="1"/>
    <col min="55" max="55" width="32.6640625" style="1" bestFit="1" customWidth="1"/>
    <col min="56" max="56" width="31" style="1" bestFit="1" customWidth="1"/>
    <col min="57" max="57" width="17.77734375" style="1" bestFit="1" customWidth="1"/>
    <col min="58" max="58" width="24.33203125" style="1" bestFit="1" customWidth="1"/>
    <col min="59" max="59" width="32" style="1" bestFit="1" customWidth="1"/>
    <col min="60" max="60" width="33.21875" style="1" bestFit="1" customWidth="1"/>
    <col min="61" max="61" width="33.6640625" style="1" bestFit="1" customWidth="1"/>
    <col min="62" max="62" width="90.6640625" style="1" bestFit="1" customWidth="1"/>
    <col min="63" max="63" width="89.77734375" style="1" bestFit="1" customWidth="1"/>
    <col min="64" max="64" width="39.5546875" style="1" bestFit="1" customWidth="1"/>
    <col min="65" max="65" width="67.5546875" style="1" bestFit="1" customWidth="1"/>
    <col min="66" max="66" width="41.33203125" style="1" bestFit="1" customWidth="1"/>
    <col min="67" max="67" width="39" style="1" bestFit="1" customWidth="1"/>
    <col min="68" max="68" width="38.44140625" style="1" bestFit="1" customWidth="1"/>
    <col min="69" max="69" width="28.5546875" style="1" bestFit="1" customWidth="1"/>
    <col min="70" max="70" width="31" style="1" bestFit="1" customWidth="1"/>
    <col min="71" max="71" width="32.44140625" style="1" bestFit="1" customWidth="1"/>
    <col min="72" max="72" width="33.77734375" style="1" bestFit="1" customWidth="1"/>
    <col min="73" max="73" width="45.44140625" style="1" bestFit="1" customWidth="1"/>
    <col min="74" max="74" width="34.44140625" style="1" bestFit="1" customWidth="1"/>
    <col min="75" max="75" width="34.77734375" style="1" bestFit="1" customWidth="1"/>
    <col min="76" max="76" width="34.88671875" style="1" bestFit="1" customWidth="1"/>
    <col min="77" max="77" width="35.44140625" style="1" bestFit="1" customWidth="1"/>
    <col min="78" max="78" width="35.77734375" style="1" bestFit="1" customWidth="1"/>
    <col min="79" max="79" width="35.88671875" style="1" bestFit="1" customWidth="1"/>
    <col min="80" max="80" width="14.21875" style="1" bestFit="1" customWidth="1"/>
    <col min="81" max="81" width="15.88671875" style="1" bestFit="1" customWidth="1"/>
    <col min="82" max="82" width="14.6640625" style="1" bestFit="1" customWidth="1"/>
    <col min="83" max="83" width="14.44140625" style="1" bestFit="1" customWidth="1"/>
    <col min="84" max="84" width="33.21875" style="1" bestFit="1" customWidth="1"/>
    <col min="85" max="85" width="16.6640625" style="1" bestFit="1" customWidth="1"/>
    <col min="86" max="16384" width="8.88671875" style="1"/>
  </cols>
  <sheetData>
    <row r="1" spans="1:85" x14ac:dyDescent="0.3">
      <c r="A1" s="1" t="s">
        <v>577</v>
      </c>
      <c r="B1" s="1" t="s">
        <v>578</v>
      </c>
      <c r="C1" s="1" t="s">
        <v>1</v>
      </c>
      <c r="D1" s="1" t="s">
        <v>579</v>
      </c>
      <c r="E1" s="1" t="s">
        <v>580</v>
      </c>
      <c r="F1" s="1" t="s">
        <v>581</v>
      </c>
      <c r="G1" s="1" t="s">
        <v>582</v>
      </c>
      <c r="H1" s="1" t="s">
        <v>583</v>
      </c>
      <c r="I1" s="1" t="s">
        <v>584</v>
      </c>
      <c r="J1" s="1" t="s">
        <v>585</v>
      </c>
      <c r="K1" s="1" t="s">
        <v>586</v>
      </c>
      <c r="L1" s="1" t="s">
        <v>587</v>
      </c>
      <c r="M1" s="1" t="s">
        <v>588</v>
      </c>
      <c r="N1" s="1" t="s">
        <v>589</v>
      </c>
      <c r="O1" s="1" t="s">
        <v>590</v>
      </c>
      <c r="P1" s="1" t="s">
        <v>591</v>
      </c>
      <c r="Q1" s="1" t="s">
        <v>592</v>
      </c>
      <c r="R1" s="1" t="s">
        <v>593</v>
      </c>
      <c r="S1" s="1" t="s">
        <v>594</v>
      </c>
      <c r="T1" s="1" t="s">
        <v>595</v>
      </c>
      <c r="U1" s="1" t="s">
        <v>596</v>
      </c>
      <c r="V1" s="1" t="s">
        <v>597</v>
      </c>
      <c r="W1" s="1" t="s">
        <v>598</v>
      </c>
      <c r="X1" s="1" t="s">
        <v>599</v>
      </c>
      <c r="Y1" s="1" t="s">
        <v>600</v>
      </c>
      <c r="Z1" s="1" t="s">
        <v>601</v>
      </c>
      <c r="AA1" s="1" t="s">
        <v>602</v>
      </c>
      <c r="AB1" s="1" t="s">
        <v>603</v>
      </c>
      <c r="AC1" s="1" t="s">
        <v>604</v>
      </c>
      <c r="AD1" s="1" t="s">
        <v>605</v>
      </c>
      <c r="AE1" s="1" t="s">
        <v>606</v>
      </c>
      <c r="AF1" s="1" t="s">
        <v>607</v>
      </c>
      <c r="AG1" s="1" t="s">
        <v>608</v>
      </c>
      <c r="AH1" s="1" t="s">
        <v>609</v>
      </c>
      <c r="AI1" s="1" t="s">
        <v>610</v>
      </c>
      <c r="AJ1" s="1" t="s">
        <v>611</v>
      </c>
      <c r="AK1" s="1" t="s">
        <v>612</v>
      </c>
      <c r="AL1" s="1" t="s">
        <v>613</v>
      </c>
      <c r="AM1" s="1" t="s">
        <v>614</v>
      </c>
      <c r="AN1" s="1" t="s">
        <v>615</v>
      </c>
      <c r="AO1" s="1" t="s">
        <v>616</v>
      </c>
      <c r="AP1" s="1" t="s">
        <v>617</v>
      </c>
      <c r="AQ1" s="1" t="s">
        <v>618</v>
      </c>
      <c r="AR1" s="1" t="s">
        <v>619</v>
      </c>
      <c r="AS1" s="1" t="s">
        <v>620</v>
      </c>
      <c r="AT1" s="1" t="s">
        <v>621</v>
      </c>
      <c r="AU1" s="1" t="s">
        <v>622</v>
      </c>
      <c r="AV1" s="1" t="s">
        <v>623</v>
      </c>
      <c r="AW1" s="1" t="s">
        <v>624</v>
      </c>
      <c r="AX1" s="1" t="s">
        <v>625</v>
      </c>
      <c r="AY1" s="1" t="s">
        <v>626</v>
      </c>
      <c r="AZ1" s="1" t="s">
        <v>627</v>
      </c>
      <c r="BA1" s="1" t="s">
        <v>628</v>
      </c>
      <c r="BB1" s="1" t="s">
        <v>629</v>
      </c>
      <c r="BC1" s="1" t="s">
        <v>630</v>
      </c>
      <c r="BD1" s="1" t="s">
        <v>631</v>
      </c>
      <c r="BE1" s="1" t="s">
        <v>632</v>
      </c>
      <c r="BF1" s="1" t="s">
        <v>633</v>
      </c>
      <c r="BG1" s="1" t="s">
        <v>634</v>
      </c>
      <c r="BH1" s="1" t="s">
        <v>635</v>
      </c>
      <c r="BI1" s="1" t="s">
        <v>636</v>
      </c>
      <c r="BJ1" s="1" t="s">
        <v>637</v>
      </c>
      <c r="BK1" s="1" t="s">
        <v>638</v>
      </c>
      <c r="BL1" s="1" t="s">
        <v>639</v>
      </c>
      <c r="BM1" s="1" t="s">
        <v>640</v>
      </c>
      <c r="BN1" s="1" t="s">
        <v>641</v>
      </c>
      <c r="BO1" s="1" t="s">
        <v>642</v>
      </c>
      <c r="BP1" s="1" t="s">
        <v>643</v>
      </c>
      <c r="BQ1" s="1" t="s">
        <v>644</v>
      </c>
      <c r="BR1" s="1" t="s">
        <v>645</v>
      </c>
      <c r="BS1" s="1" t="s">
        <v>646</v>
      </c>
      <c r="BT1" s="1" t="s">
        <v>647</v>
      </c>
      <c r="BU1" s="1" t="s">
        <v>648</v>
      </c>
      <c r="BV1" s="1" t="s">
        <v>649</v>
      </c>
      <c r="BW1" s="1" t="s">
        <v>650</v>
      </c>
      <c r="BX1" s="1" t="s">
        <v>651</v>
      </c>
      <c r="BY1" s="1" t="s">
        <v>652</v>
      </c>
      <c r="BZ1" s="1" t="s">
        <v>653</v>
      </c>
      <c r="CA1" s="1" t="s">
        <v>654</v>
      </c>
      <c r="CB1" s="1" t="s">
        <v>655</v>
      </c>
      <c r="CC1" s="1" t="s">
        <v>656</v>
      </c>
      <c r="CD1" s="1" t="s">
        <v>657</v>
      </c>
      <c r="CE1" s="1" t="s">
        <v>658</v>
      </c>
      <c r="CF1" s="1" t="s">
        <v>659</v>
      </c>
      <c r="CG1" s="1" t="s">
        <v>660</v>
      </c>
    </row>
    <row r="2" spans="1:85" ht="345.6" x14ac:dyDescent="0.3">
      <c r="A2" s="1">
        <v>337</v>
      </c>
      <c r="B2" s="1" t="s">
        <v>661</v>
      </c>
      <c r="C2" s="1" t="s">
        <v>12</v>
      </c>
      <c r="E2" s="1" t="s">
        <v>335</v>
      </c>
      <c r="F2" s="1">
        <v>1</v>
      </c>
      <c r="G2" s="1">
        <v>0</v>
      </c>
      <c r="H2" s="1" t="s">
        <v>662</v>
      </c>
      <c r="I2" s="1" t="s">
        <v>663</v>
      </c>
      <c r="J2" s="1" t="s">
        <v>664</v>
      </c>
      <c r="M2" s="1" t="s">
        <v>665</v>
      </c>
      <c r="O2" s="1">
        <v>1</v>
      </c>
      <c r="R2" s="1">
        <v>0</v>
      </c>
      <c r="S2" s="1">
        <v>0</v>
      </c>
      <c r="X2" s="1">
        <v>1</v>
      </c>
      <c r="AA2" s="1">
        <v>9.76</v>
      </c>
      <c r="AB2" s="1" t="s">
        <v>666</v>
      </c>
      <c r="AC2" s="1" t="s">
        <v>667</v>
      </c>
      <c r="AE2" s="1" t="s">
        <v>668</v>
      </c>
      <c r="AN2" s="1">
        <v>0</v>
      </c>
      <c r="AP2" s="1" t="s">
        <v>669</v>
      </c>
      <c r="AQ2" s="1" t="s">
        <v>670</v>
      </c>
      <c r="AR2" s="1">
        <v>1</v>
      </c>
      <c r="AS2" s="1">
        <v>1</v>
      </c>
      <c r="AT2" s="1" t="s">
        <v>671</v>
      </c>
      <c r="AU2" s="1" t="s">
        <v>672</v>
      </c>
      <c r="AV2" s="1">
        <v>1</v>
      </c>
      <c r="AW2" s="1">
        <v>1</v>
      </c>
      <c r="AX2" s="1" t="s">
        <v>4</v>
      </c>
      <c r="AY2" s="1" t="s">
        <v>14</v>
      </c>
      <c r="AZ2" s="1">
        <v>1</v>
      </c>
      <c r="BA2" s="1">
        <v>1</v>
      </c>
      <c r="BB2" s="1" t="s">
        <v>673</v>
      </c>
      <c r="BC2" s="1">
        <v>1</v>
      </c>
      <c r="BF2" s="1">
        <v>336</v>
      </c>
      <c r="BG2" s="1">
        <v>126</v>
      </c>
      <c r="BH2" s="1">
        <v>316</v>
      </c>
      <c r="BI2" s="1" t="s">
        <v>674</v>
      </c>
      <c r="BJ2" s="1" t="s">
        <v>675</v>
      </c>
      <c r="BK2" s="1" t="s">
        <v>676</v>
      </c>
      <c r="BL2" s="1">
        <v>1</v>
      </c>
      <c r="BM2" s="1" t="s">
        <v>677</v>
      </c>
      <c r="BQ2" s="1" t="s">
        <v>678</v>
      </c>
      <c r="BR2" s="1" t="s">
        <v>679</v>
      </c>
      <c r="BS2" s="1" t="s">
        <v>678</v>
      </c>
      <c r="BT2" s="1" t="s">
        <v>679</v>
      </c>
      <c r="BU2" s="1" t="s">
        <v>679</v>
      </c>
    </row>
    <row r="3" spans="1:85" ht="316.8" x14ac:dyDescent="0.3">
      <c r="A3" s="1">
        <v>600</v>
      </c>
      <c r="B3" s="1" t="s">
        <v>661</v>
      </c>
      <c r="C3" s="1" t="s">
        <v>17</v>
      </c>
      <c r="E3" s="1" t="s">
        <v>336</v>
      </c>
      <c r="F3" s="1">
        <v>1</v>
      </c>
      <c r="G3" s="1">
        <v>0</v>
      </c>
      <c r="H3" s="1" t="s">
        <v>662</v>
      </c>
      <c r="I3" s="1" t="s">
        <v>680</v>
      </c>
      <c r="M3" s="1" t="s">
        <v>665</v>
      </c>
      <c r="O3" s="1">
        <v>1</v>
      </c>
      <c r="R3" s="1">
        <v>0</v>
      </c>
      <c r="S3" s="1">
        <v>0</v>
      </c>
      <c r="X3" s="1">
        <v>1</v>
      </c>
      <c r="AA3" s="1">
        <v>9.99</v>
      </c>
      <c r="AB3" s="1" t="s">
        <v>681</v>
      </c>
      <c r="AC3" s="1" t="s">
        <v>682</v>
      </c>
      <c r="AE3" s="1" t="s">
        <v>683</v>
      </c>
      <c r="AN3" s="1">
        <v>0</v>
      </c>
      <c r="AP3" s="1" t="s">
        <v>669</v>
      </c>
      <c r="AQ3" s="1" t="s">
        <v>684</v>
      </c>
      <c r="AR3" s="1">
        <v>1</v>
      </c>
      <c r="AS3" s="1">
        <v>1</v>
      </c>
      <c r="AT3" s="1" t="s">
        <v>671</v>
      </c>
      <c r="AU3" s="1" t="s">
        <v>672</v>
      </c>
      <c r="AV3" s="1">
        <v>1</v>
      </c>
      <c r="AW3" s="1">
        <v>1</v>
      </c>
      <c r="AX3" s="1" t="s">
        <v>685</v>
      </c>
      <c r="AY3" s="1" t="s">
        <v>686</v>
      </c>
      <c r="AZ3" s="1">
        <v>1</v>
      </c>
      <c r="BA3" s="1">
        <v>1</v>
      </c>
      <c r="BB3" s="1" t="s">
        <v>687</v>
      </c>
      <c r="BC3" s="1">
        <v>0</v>
      </c>
      <c r="BF3" s="1">
        <v>67</v>
      </c>
      <c r="BG3" s="1">
        <v>62</v>
      </c>
      <c r="BH3" s="1">
        <v>57</v>
      </c>
      <c r="BM3" s="1" t="s">
        <v>688</v>
      </c>
      <c r="BQ3" s="1" t="s">
        <v>678</v>
      </c>
      <c r="BR3" s="1" t="s">
        <v>679</v>
      </c>
      <c r="BS3" s="1" t="s">
        <v>678</v>
      </c>
      <c r="BT3" s="1" t="s">
        <v>679</v>
      </c>
      <c r="BU3" s="1" t="s">
        <v>679</v>
      </c>
      <c r="CB3" s="1" t="s">
        <v>4</v>
      </c>
      <c r="CC3" s="1" t="s">
        <v>19</v>
      </c>
      <c r="CD3" s="1">
        <v>1</v>
      </c>
      <c r="CE3" s="1">
        <v>1</v>
      </c>
    </row>
    <row r="4" spans="1:85" ht="316.8" x14ac:dyDescent="0.3">
      <c r="A4" s="1">
        <v>604</v>
      </c>
      <c r="B4" s="1" t="s">
        <v>661</v>
      </c>
      <c r="C4" s="1" t="s">
        <v>23</v>
      </c>
      <c r="E4" s="1" t="s">
        <v>337</v>
      </c>
      <c r="F4" s="1">
        <v>1</v>
      </c>
      <c r="G4" s="1">
        <v>0</v>
      </c>
      <c r="H4" s="1" t="s">
        <v>662</v>
      </c>
      <c r="I4" s="1" t="s">
        <v>680</v>
      </c>
      <c r="M4" s="1" t="s">
        <v>665</v>
      </c>
      <c r="O4" s="1">
        <v>1</v>
      </c>
      <c r="R4" s="1">
        <v>0</v>
      </c>
      <c r="S4" s="1">
        <v>0</v>
      </c>
      <c r="X4" s="1">
        <v>1</v>
      </c>
      <c r="AA4" s="1">
        <v>9.99</v>
      </c>
      <c r="AB4" s="1" t="s">
        <v>681</v>
      </c>
      <c r="AC4" s="1" t="s">
        <v>682</v>
      </c>
      <c r="AE4" s="1" t="s">
        <v>689</v>
      </c>
      <c r="AN4" s="1">
        <v>0</v>
      </c>
      <c r="AP4" s="1" t="s">
        <v>669</v>
      </c>
      <c r="AQ4" s="1" t="s">
        <v>684</v>
      </c>
      <c r="AR4" s="1">
        <v>1</v>
      </c>
      <c r="AS4" s="1">
        <v>1</v>
      </c>
      <c r="AT4" s="1" t="s">
        <v>671</v>
      </c>
      <c r="AU4" s="1" t="s">
        <v>690</v>
      </c>
      <c r="AV4" s="1">
        <v>1</v>
      </c>
      <c r="AW4" s="1">
        <v>1</v>
      </c>
      <c r="AX4" s="1" t="s">
        <v>685</v>
      </c>
      <c r="AY4" s="1" t="s">
        <v>686</v>
      </c>
      <c r="AZ4" s="1">
        <v>1</v>
      </c>
      <c r="BA4" s="1">
        <v>1</v>
      </c>
      <c r="BB4" s="1" t="s">
        <v>687</v>
      </c>
      <c r="BC4" s="1">
        <v>0</v>
      </c>
      <c r="BF4" s="1">
        <v>64</v>
      </c>
      <c r="BG4" s="1">
        <v>59</v>
      </c>
      <c r="BH4" s="1">
        <v>54</v>
      </c>
      <c r="BM4" s="1" t="s">
        <v>688</v>
      </c>
      <c r="BQ4" s="1" t="s">
        <v>678</v>
      </c>
      <c r="BR4" s="1" t="s">
        <v>679</v>
      </c>
      <c r="BS4" s="1" t="s">
        <v>678</v>
      </c>
      <c r="BT4" s="1" t="s">
        <v>679</v>
      </c>
      <c r="BU4" s="1" t="s">
        <v>679</v>
      </c>
      <c r="CB4" s="1" t="s">
        <v>4</v>
      </c>
      <c r="CC4" s="1" t="s">
        <v>19</v>
      </c>
      <c r="CD4" s="1">
        <v>1</v>
      </c>
      <c r="CE4" s="1">
        <v>1</v>
      </c>
    </row>
    <row r="5" spans="1:85" ht="316.8" x14ac:dyDescent="0.3">
      <c r="A5" s="1">
        <v>607</v>
      </c>
      <c r="B5" s="1" t="s">
        <v>661</v>
      </c>
      <c r="C5" s="1" t="s">
        <v>24</v>
      </c>
      <c r="E5" s="1" t="s">
        <v>338</v>
      </c>
      <c r="F5" s="1">
        <v>1</v>
      </c>
      <c r="G5" s="1">
        <v>0</v>
      </c>
      <c r="H5" s="1" t="s">
        <v>662</v>
      </c>
      <c r="I5" s="1" t="s">
        <v>680</v>
      </c>
      <c r="M5" s="1" t="s">
        <v>665</v>
      </c>
      <c r="O5" s="1">
        <v>1</v>
      </c>
      <c r="R5" s="1">
        <v>0</v>
      </c>
      <c r="S5" s="1">
        <v>0</v>
      </c>
      <c r="X5" s="1">
        <v>1</v>
      </c>
      <c r="AA5" s="1">
        <v>9.99</v>
      </c>
      <c r="AB5" s="1" t="s">
        <v>681</v>
      </c>
      <c r="AC5" s="1" t="s">
        <v>682</v>
      </c>
      <c r="AE5" s="1" t="s">
        <v>691</v>
      </c>
      <c r="AN5" s="1">
        <v>0</v>
      </c>
      <c r="AP5" s="1" t="s">
        <v>669</v>
      </c>
      <c r="AQ5" s="1" t="s">
        <v>684</v>
      </c>
      <c r="AR5" s="1">
        <v>1</v>
      </c>
      <c r="AS5" s="1">
        <v>1</v>
      </c>
      <c r="AT5" s="1" t="s">
        <v>671</v>
      </c>
      <c r="AU5" s="1" t="s">
        <v>692</v>
      </c>
      <c r="AV5" s="1">
        <v>1</v>
      </c>
      <c r="AW5" s="1">
        <v>1</v>
      </c>
      <c r="AX5" s="1" t="s">
        <v>685</v>
      </c>
      <c r="AY5" s="1" t="s">
        <v>686</v>
      </c>
      <c r="AZ5" s="1">
        <v>1</v>
      </c>
      <c r="BA5" s="1">
        <v>1</v>
      </c>
      <c r="BB5" s="1" t="s">
        <v>687</v>
      </c>
      <c r="BC5" s="1">
        <v>0</v>
      </c>
      <c r="BF5" s="1">
        <v>54</v>
      </c>
      <c r="BG5" s="1">
        <v>50</v>
      </c>
      <c r="BH5" s="1">
        <v>45</v>
      </c>
      <c r="BM5" s="1" t="s">
        <v>688</v>
      </c>
      <c r="BQ5" s="1" t="s">
        <v>678</v>
      </c>
      <c r="BR5" s="1" t="s">
        <v>679</v>
      </c>
      <c r="BS5" s="1" t="s">
        <v>678</v>
      </c>
      <c r="BT5" s="1" t="s">
        <v>679</v>
      </c>
      <c r="BU5" s="1" t="s">
        <v>679</v>
      </c>
      <c r="CB5" s="1" t="s">
        <v>4</v>
      </c>
      <c r="CC5" s="1" t="s">
        <v>19</v>
      </c>
      <c r="CD5" s="1">
        <v>1</v>
      </c>
      <c r="CE5" s="1">
        <v>1</v>
      </c>
    </row>
    <row r="6" spans="1:85" ht="316.8" x14ac:dyDescent="0.3">
      <c r="A6" s="1">
        <v>609</v>
      </c>
      <c r="B6" s="1" t="s">
        <v>661</v>
      </c>
      <c r="C6" s="1" t="s">
        <v>25</v>
      </c>
      <c r="E6" s="1" t="s">
        <v>339</v>
      </c>
      <c r="F6" s="1">
        <v>1</v>
      </c>
      <c r="G6" s="1">
        <v>0</v>
      </c>
      <c r="H6" s="1" t="s">
        <v>662</v>
      </c>
      <c r="I6" s="1" t="s">
        <v>680</v>
      </c>
      <c r="M6" s="1" t="s">
        <v>665</v>
      </c>
      <c r="O6" s="1">
        <v>1</v>
      </c>
      <c r="R6" s="1">
        <v>0</v>
      </c>
      <c r="S6" s="1">
        <v>0</v>
      </c>
      <c r="X6" s="1">
        <v>1</v>
      </c>
      <c r="AA6" s="1">
        <v>9.99</v>
      </c>
      <c r="AB6" s="1" t="s">
        <v>681</v>
      </c>
      <c r="AC6" s="1" t="s">
        <v>682</v>
      </c>
      <c r="AE6" s="1" t="s">
        <v>693</v>
      </c>
      <c r="AN6" s="1">
        <v>0</v>
      </c>
      <c r="AP6" s="1" t="s">
        <v>669</v>
      </c>
      <c r="AQ6" s="1" t="s">
        <v>684</v>
      </c>
      <c r="AR6" s="1">
        <v>1</v>
      </c>
      <c r="AS6" s="1">
        <v>1</v>
      </c>
      <c r="AT6" s="1" t="s">
        <v>671</v>
      </c>
      <c r="AU6" s="1" t="s">
        <v>694</v>
      </c>
      <c r="AV6" s="1">
        <v>1</v>
      </c>
      <c r="AW6" s="1">
        <v>1</v>
      </c>
      <c r="AX6" s="1" t="s">
        <v>685</v>
      </c>
      <c r="AY6" s="1" t="s">
        <v>686</v>
      </c>
      <c r="AZ6" s="1">
        <v>1</v>
      </c>
      <c r="BA6" s="1">
        <v>1</v>
      </c>
      <c r="BB6" s="1" t="s">
        <v>687</v>
      </c>
      <c r="BC6" s="1">
        <v>0</v>
      </c>
      <c r="BF6" s="1">
        <v>67</v>
      </c>
      <c r="BG6" s="1">
        <v>57</v>
      </c>
      <c r="BH6" s="1">
        <v>57</v>
      </c>
      <c r="BM6" s="1" t="s">
        <v>688</v>
      </c>
      <c r="BQ6" s="1" t="s">
        <v>678</v>
      </c>
      <c r="BR6" s="1" t="s">
        <v>679</v>
      </c>
      <c r="BS6" s="1" t="s">
        <v>678</v>
      </c>
      <c r="BT6" s="1" t="s">
        <v>679</v>
      </c>
      <c r="BU6" s="1" t="s">
        <v>679</v>
      </c>
      <c r="CB6" s="1" t="s">
        <v>4</v>
      </c>
      <c r="CC6" s="1" t="s">
        <v>19</v>
      </c>
      <c r="CD6" s="1">
        <v>1</v>
      </c>
      <c r="CE6" s="1">
        <v>1</v>
      </c>
    </row>
    <row r="7" spans="1:85" ht="316.8" x14ac:dyDescent="0.3">
      <c r="A7" s="1">
        <v>611</v>
      </c>
      <c r="B7" s="1" t="s">
        <v>661</v>
      </c>
      <c r="C7" s="1" t="s">
        <v>26</v>
      </c>
      <c r="E7" s="1" t="s">
        <v>340</v>
      </c>
      <c r="F7" s="1">
        <v>1</v>
      </c>
      <c r="G7" s="1">
        <v>0</v>
      </c>
      <c r="H7" s="1" t="s">
        <v>662</v>
      </c>
      <c r="I7" s="1" t="s">
        <v>680</v>
      </c>
      <c r="M7" s="1" t="s">
        <v>665</v>
      </c>
      <c r="O7" s="1">
        <v>1</v>
      </c>
      <c r="R7" s="1">
        <v>0</v>
      </c>
      <c r="S7" s="1">
        <v>0</v>
      </c>
      <c r="X7" s="1">
        <v>1</v>
      </c>
      <c r="AA7" s="1">
        <v>9.99</v>
      </c>
      <c r="AB7" s="1" t="s">
        <v>681</v>
      </c>
      <c r="AC7" s="1" t="s">
        <v>682</v>
      </c>
      <c r="AE7" s="1" t="s">
        <v>695</v>
      </c>
      <c r="AN7" s="1">
        <v>0</v>
      </c>
      <c r="AP7" s="1" t="s">
        <v>669</v>
      </c>
      <c r="AQ7" s="1" t="s">
        <v>684</v>
      </c>
      <c r="AR7" s="1">
        <v>1</v>
      </c>
      <c r="AS7" s="1">
        <v>1</v>
      </c>
      <c r="AT7" s="1" t="s">
        <v>671</v>
      </c>
      <c r="AU7" s="1" t="s">
        <v>696</v>
      </c>
      <c r="AV7" s="1">
        <v>1</v>
      </c>
      <c r="AW7" s="1">
        <v>1</v>
      </c>
      <c r="AX7" s="1" t="s">
        <v>685</v>
      </c>
      <c r="AY7" s="1" t="s">
        <v>686</v>
      </c>
      <c r="AZ7" s="1">
        <v>1</v>
      </c>
      <c r="BA7" s="1">
        <v>1</v>
      </c>
      <c r="BB7" s="1" t="s">
        <v>687</v>
      </c>
      <c r="BC7" s="1">
        <v>0</v>
      </c>
      <c r="BF7" s="1">
        <v>63</v>
      </c>
      <c r="BG7" s="1">
        <v>57</v>
      </c>
      <c r="BH7" s="1">
        <v>51</v>
      </c>
      <c r="BM7" s="1" t="s">
        <v>688</v>
      </c>
      <c r="BQ7" s="1" t="s">
        <v>678</v>
      </c>
      <c r="BR7" s="1" t="s">
        <v>679</v>
      </c>
      <c r="BS7" s="1" t="s">
        <v>678</v>
      </c>
      <c r="BT7" s="1" t="s">
        <v>679</v>
      </c>
      <c r="BU7" s="1" t="s">
        <v>679</v>
      </c>
      <c r="CB7" s="1" t="s">
        <v>4</v>
      </c>
      <c r="CC7" s="1" t="s">
        <v>19</v>
      </c>
      <c r="CD7" s="1">
        <v>1</v>
      </c>
      <c r="CE7" s="1">
        <v>1</v>
      </c>
    </row>
    <row r="8" spans="1:85" ht="316.8" x14ac:dyDescent="0.3">
      <c r="A8" s="1">
        <v>613</v>
      </c>
      <c r="B8" s="1" t="s">
        <v>661</v>
      </c>
      <c r="C8" s="1" t="s">
        <v>27</v>
      </c>
      <c r="E8" s="1" t="s">
        <v>341</v>
      </c>
      <c r="F8" s="1">
        <v>1</v>
      </c>
      <c r="G8" s="1">
        <v>0</v>
      </c>
      <c r="H8" s="1" t="s">
        <v>662</v>
      </c>
      <c r="I8" s="1" t="s">
        <v>680</v>
      </c>
      <c r="M8" s="1" t="s">
        <v>665</v>
      </c>
      <c r="O8" s="1">
        <v>1</v>
      </c>
      <c r="R8" s="1">
        <v>0</v>
      </c>
      <c r="S8" s="1">
        <v>0</v>
      </c>
      <c r="X8" s="1">
        <v>1</v>
      </c>
      <c r="AA8" s="1">
        <v>9.99</v>
      </c>
      <c r="AB8" s="1" t="s">
        <v>681</v>
      </c>
      <c r="AC8" s="1" t="s">
        <v>682</v>
      </c>
      <c r="AE8" s="1" t="s">
        <v>697</v>
      </c>
      <c r="AN8" s="1">
        <v>0</v>
      </c>
      <c r="AP8" s="1" t="s">
        <v>669</v>
      </c>
      <c r="AQ8" s="1" t="s">
        <v>684</v>
      </c>
      <c r="AR8" s="1">
        <v>1</v>
      </c>
      <c r="AS8" s="1">
        <v>1</v>
      </c>
      <c r="AT8" s="1" t="s">
        <v>671</v>
      </c>
      <c r="AU8" s="1" t="s">
        <v>698</v>
      </c>
      <c r="AV8" s="1">
        <v>1</v>
      </c>
      <c r="AW8" s="1">
        <v>1</v>
      </c>
      <c r="AX8" s="1" t="s">
        <v>685</v>
      </c>
      <c r="AY8" s="1" t="s">
        <v>686</v>
      </c>
      <c r="AZ8" s="1">
        <v>1</v>
      </c>
      <c r="BA8" s="1">
        <v>1</v>
      </c>
      <c r="BB8" s="1" t="s">
        <v>687</v>
      </c>
      <c r="BC8" s="1">
        <v>0</v>
      </c>
      <c r="BF8" s="1">
        <v>51</v>
      </c>
      <c r="BG8" s="1">
        <v>46</v>
      </c>
      <c r="BH8" s="1">
        <v>42</v>
      </c>
      <c r="BM8" s="1" t="s">
        <v>688</v>
      </c>
      <c r="BQ8" s="1" t="s">
        <v>678</v>
      </c>
      <c r="BR8" s="1" t="s">
        <v>679</v>
      </c>
      <c r="BS8" s="1" t="s">
        <v>678</v>
      </c>
      <c r="BT8" s="1" t="s">
        <v>679</v>
      </c>
      <c r="BU8" s="1" t="s">
        <v>679</v>
      </c>
      <c r="CB8" s="1" t="s">
        <v>4</v>
      </c>
      <c r="CC8" s="1" t="s">
        <v>19</v>
      </c>
      <c r="CD8" s="1">
        <v>1</v>
      </c>
      <c r="CE8" s="1">
        <v>1</v>
      </c>
    </row>
    <row r="9" spans="1:85" ht="360" x14ac:dyDescent="0.3">
      <c r="A9" s="1">
        <v>615</v>
      </c>
      <c r="B9" s="1" t="s">
        <v>661</v>
      </c>
      <c r="C9" s="1" t="s">
        <v>28</v>
      </c>
      <c r="E9" s="1" t="s">
        <v>699</v>
      </c>
      <c r="F9" s="1">
        <v>1</v>
      </c>
      <c r="G9" s="1">
        <v>0</v>
      </c>
      <c r="H9" s="1" t="s">
        <v>662</v>
      </c>
      <c r="I9" s="1" t="s">
        <v>700</v>
      </c>
      <c r="M9" s="1" t="s">
        <v>665</v>
      </c>
      <c r="O9" s="1">
        <v>1</v>
      </c>
      <c r="R9" s="1">
        <v>0</v>
      </c>
      <c r="S9" s="1">
        <v>0</v>
      </c>
      <c r="X9" s="1">
        <v>1</v>
      </c>
      <c r="AA9" s="1">
        <v>9.99</v>
      </c>
      <c r="AB9" s="1" t="s">
        <v>681</v>
      </c>
      <c r="AC9" s="1" t="s">
        <v>701</v>
      </c>
      <c r="AE9" s="1" t="s">
        <v>702</v>
      </c>
      <c r="AN9" s="1">
        <v>0</v>
      </c>
      <c r="AP9" s="1" t="s">
        <v>669</v>
      </c>
      <c r="AQ9" s="1" t="s">
        <v>684</v>
      </c>
      <c r="AR9" s="1">
        <v>1</v>
      </c>
      <c r="AS9" s="1">
        <v>1</v>
      </c>
      <c r="AT9" s="1" t="s">
        <v>671</v>
      </c>
      <c r="AU9" s="1" t="s">
        <v>703</v>
      </c>
      <c r="AV9" s="1">
        <v>1</v>
      </c>
      <c r="AW9" s="1">
        <v>1</v>
      </c>
      <c r="AX9" s="1" t="s">
        <v>685</v>
      </c>
      <c r="AY9" s="1" t="s">
        <v>686</v>
      </c>
      <c r="AZ9" s="1">
        <v>1</v>
      </c>
      <c r="BA9" s="1">
        <v>1</v>
      </c>
      <c r="BB9" s="1" t="s">
        <v>704</v>
      </c>
      <c r="BC9" s="1">
        <v>0</v>
      </c>
      <c r="BF9" s="1">
        <v>40</v>
      </c>
      <c r="BG9" s="1">
        <v>36</v>
      </c>
      <c r="BH9" s="1">
        <v>30</v>
      </c>
      <c r="BM9" s="1" t="s">
        <v>688</v>
      </c>
      <c r="BQ9" s="1" t="s">
        <v>678</v>
      </c>
      <c r="BR9" s="1" t="s">
        <v>679</v>
      </c>
      <c r="BS9" s="1" t="s">
        <v>678</v>
      </c>
      <c r="BT9" s="1" t="s">
        <v>679</v>
      </c>
      <c r="BU9" s="1" t="s">
        <v>679</v>
      </c>
      <c r="CB9" s="1" t="s">
        <v>4</v>
      </c>
      <c r="CC9" s="1" t="s">
        <v>19</v>
      </c>
      <c r="CD9" s="1">
        <v>1</v>
      </c>
      <c r="CE9" s="1">
        <v>1</v>
      </c>
    </row>
    <row r="10" spans="1:85" ht="360" x14ac:dyDescent="0.3">
      <c r="A10" s="1">
        <v>618</v>
      </c>
      <c r="B10" s="1" t="s">
        <v>661</v>
      </c>
      <c r="C10" s="1" t="s">
        <v>30</v>
      </c>
      <c r="E10" s="1" t="s">
        <v>705</v>
      </c>
      <c r="F10" s="1">
        <v>1</v>
      </c>
      <c r="G10" s="1">
        <v>0</v>
      </c>
      <c r="H10" s="1" t="s">
        <v>662</v>
      </c>
      <c r="I10" s="1" t="s">
        <v>700</v>
      </c>
      <c r="M10" s="1" t="s">
        <v>665</v>
      </c>
      <c r="O10" s="1">
        <v>1</v>
      </c>
      <c r="R10" s="1">
        <v>0</v>
      </c>
      <c r="S10" s="1">
        <v>0</v>
      </c>
      <c r="X10" s="1">
        <v>1</v>
      </c>
      <c r="AA10" s="1">
        <v>9.99</v>
      </c>
      <c r="AB10" s="1" t="s">
        <v>681</v>
      </c>
      <c r="AC10" s="1" t="s">
        <v>701</v>
      </c>
      <c r="AE10" s="1" t="s">
        <v>706</v>
      </c>
      <c r="AN10" s="1">
        <v>0</v>
      </c>
      <c r="AP10" s="1" t="s">
        <v>669</v>
      </c>
      <c r="AQ10" s="1" t="s">
        <v>684</v>
      </c>
      <c r="AR10" s="1">
        <v>1</v>
      </c>
      <c r="AS10" s="1">
        <v>1</v>
      </c>
      <c r="AT10" s="1" t="s">
        <v>671</v>
      </c>
      <c r="AU10" s="1" t="s">
        <v>707</v>
      </c>
      <c r="AV10" s="1">
        <v>1</v>
      </c>
      <c r="AW10" s="1">
        <v>1</v>
      </c>
      <c r="AX10" s="1" t="s">
        <v>685</v>
      </c>
      <c r="AY10" s="1" t="s">
        <v>686</v>
      </c>
      <c r="AZ10" s="1">
        <v>1</v>
      </c>
      <c r="BA10" s="1">
        <v>1</v>
      </c>
      <c r="BB10" s="1" t="s">
        <v>704</v>
      </c>
      <c r="BC10" s="1">
        <v>0</v>
      </c>
      <c r="BF10" s="1">
        <v>46</v>
      </c>
      <c r="BG10" s="1">
        <v>38</v>
      </c>
      <c r="BH10" s="1">
        <v>37</v>
      </c>
      <c r="BM10" s="1" t="s">
        <v>688</v>
      </c>
      <c r="BQ10" s="1" t="s">
        <v>678</v>
      </c>
      <c r="BR10" s="1" t="s">
        <v>679</v>
      </c>
      <c r="BS10" s="1" t="s">
        <v>678</v>
      </c>
      <c r="BT10" s="1" t="s">
        <v>679</v>
      </c>
      <c r="BU10" s="1" t="s">
        <v>679</v>
      </c>
      <c r="CB10" s="1" t="s">
        <v>4</v>
      </c>
      <c r="CC10" s="1" t="s">
        <v>19</v>
      </c>
      <c r="CD10" s="1">
        <v>1</v>
      </c>
      <c r="CE10" s="1">
        <v>1</v>
      </c>
    </row>
    <row r="11" spans="1:85" ht="360" x14ac:dyDescent="0.3">
      <c r="A11" s="1">
        <v>620</v>
      </c>
      <c r="B11" s="1" t="s">
        <v>661</v>
      </c>
      <c r="C11" s="1" t="s">
        <v>31</v>
      </c>
      <c r="E11" s="1" t="s">
        <v>708</v>
      </c>
      <c r="F11" s="1">
        <v>1</v>
      </c>
      <c r="G11" s="1">
        <v>0</v>
      </c>
      <c r="H11" s="1" t="s">
        <v>662</v>
      </c>
      <c r="I11" s="1" t="s">
        <v>700</v>
      </c>
      <c r="M11" s="1" t="s">
        <v>665</v>
      </c>
      <c r="O11" s="1">
        <v>1</v>
      </c>
      <c r="R11" s="1">
        <v>0</v>
      </c>
      <c r="S11" s="1">
        <v>0</v>
      </c>
      <c r="X11" s="1">
        <v>1</v>
      </c>
      <c r="AA11" s="1">
        <v>9.99</v>
      </c>
      <c r="AB11" s="1" t="s">
        <v>681</v>
      </c>
      <c r="AC11" s="1" t="s">
        <v>701</v>
      </c>
      <c r="AE11" s="1" t="s">
        <v>709</v>
      </c>
      <c r="AN11" s="1">
        <v>0</v>
      </c>
      <c r="AP11" s="1" t="s">
        <v>669</v>
      </c>
      <c r="AQ11" s="1" t="s">
        <v>684</v>
      </c>
      <c r="AR11" s="1">
        <v>1</v>
      </c>
      <c r="AS11" s="1">
        <v>1</v>
      </c>
      <c r="AT11" s="1" t="s">
        <v>671</v>
      </c>
      <c r="AU11" s="1" t="s">
        <v>710</v>
      </c>
      <c r="AV11" s="1">
        <v>1</v>
      </c>
      <c r="AW11" s="1">
        <v>1</v>
      </c>
      <c r="AX11" s="1" t="s">
        <v>685</v>
      </c>
      <c r="AY11" s="1" t="s">
        <v>686</v>
      </c>
      <c r="AZ11" s="1">
        <v>1</v>
      </c>
      <c r="BA11" s="1">
        <v>1</v>
      </c>
      <c r="BB11" s="1" t="s">
        <v>704</v>
      </c>
      <c r="BC11" s="1">
        <v>0</v>
      </c>
      <c r="BF11" s="1">
        <v>38</v>
      </c>
      <c r="BG11" s="1">
        <v>34</v>
      </c>
      <c r="BH11" s="1">
        <v>29</v>
      </c>
      <c r="BM11" s="1" t="s">
        <v>688</v>
      </c>
      <c r="BQ11" s="1" t="s">
        <v>678</v>
      </c>
      <c r="BR11" s="1" t="s">
        <v>679</v>
      </c>
      <c r="BS11" s="1" t="s">
        <v>678</v>
      </c>
      <c r="BT11" s="1" t="s">
        <v>679</v>
      </c>
      <c r="BU11" s="1" t="s">
        <v>679</v>
      </c>
      <c r="CB11" s="1" t="s">
        <v>4</v>
      </c>
      <c r="CC11" s="1" t="s">
        <v>19</v>
      </c>
      <c r="CD11" s="1">
        <v>1</v>
      </c>
      <c r="CE11" s="1">
        <v>1</v>
      </c>
    </row>
    <row r="12" spans="1:85" ht="360" x14ac:dyDescent="0.3">
      <c r="A12" s="1">
        <v>622</v>
      </c>
      <c r="B12" s="1" t="s">
        <v>661</v>
      </c>
      <c r="C12" s="1" t="s">
        <v>32</v>
      </c>
      <c r="E12" s="1" t="s">
        <v>711</v>
      </c>
      <c r="F12" s="1">
        <v>1</v>
      </c>
      <c r="G12" s="1">
        <v>0</v>
      </c>
      <c r="H12" s="1" t="s">
        <v>662</v>
      </c>
      <c r="I12" s="1" t="s">
        <v>712</v>
      </c>
      <c r="M12" s="1" t="s">
        <v>665</v>
      </c>
      <c r="O12" s="1">
        <v>1</v>
      </c>
      <c r="R12" s="1">
        <v>0</v>
      </c>
      <c r="S12" s="1">
        <v>0</v>
      </c>
      <c r="X12" s="1">
        <v>1</v>
      </c>
      <c r="AA12" s="1">
        <v>9.99</v>
      </c>
      <c r="AB12" s="1" t="s">
        <v>681</v>
      </c>
      <c r="AC12" s="1" t="s">
        <v>701</v>
      </c>
      <c r="AE12" s="1" t="s">
        <v>713</v>
      </c>
      <c r="AN12" s="1">
        <v>0</v>
      </c>
      <c r="AP12" s="1" t="s">
        <v>669</v>
      </c>
      <c r="AQ12" s="1" t="s">
        <v>684</v>
      </c>
      <c r="AR12" s="1">
        <v>1</v>
      </c>
      <c r="AS12" s="1">
        <v>1</v>
      </c>
      <c r="AT12" s="1" t="s">
        <v>671</v>
      </c>
      <c r="AU12" s="1" t="s">
        <v>692</v>
      </c>
      <c r="AV12" s="1">
        <v>1</v>
      </c>
      <c r="AW12" s="1">
        <v>1</v>
      </c>
      <c r="AX12" s="1" t="s">
        <v>685</v>
      </c>
      <c r="AY12" s="1" t="s">
        <v>686</v>
      </c>
      <c r="AZ12" s="1">
        <v>1</v>
      </c>
      <c r="BA12" s="1">
        <v>1</v>
      </c>
      <c r="BB12" s="1" t="s">
        <v>704</v>
      </c>
      <c r="BC12" s="1">
        <v>0</v>
      </c>
      <c r="BF12" s="1">
        <v>47</v>
      </c>
      <c r="BG12" s="1">
        <v>43</v>
      </c>
      <c r="BH12" s="1">
        <v>37</v>
      </c>
      <c r="BM12" s="1" t="s">
        <v>688</v>
      </c>
      <c r="BQ12" s="1" t="s">
        <v>678</v>
      </c>
      <c r="BR12" s="1" t="s">
        <v>679</v>
      </c>
      <c r="BS12" s="1" t="s">
        <v>678</v>
      </c>
      <c r="BT12" s="1" t="s">
        <v>679</v>
      </c>
      <c r="BU12" s="1" t="s">
        <v>679</v>
      </c>
      <c r="CB12" s="1" t="s">
        <v>4</v>
      </c>
      <c r="CC12" s="1" t="s">
        <v>19</v>
      </c>
      <c r="CD12" s="1">
        <v>1</v>
      </c>
      <c r="CE12" s="1">
        <v>1</v>
      </c>
    </row>
    <row r="13" spans="1:85" ht="360" x14ac:dyDescent="0.3">
      <c r="A13" s="1">
        <v>624</v>
      </c>
      <c r="B13" s="1" t="s">
        <v>661</v>
      </c>
      <c r="C13" s="1" t="s">
        <v>33</v>
      </c>
      <c r="E13" s="1" t="s">
        <v>714</v>
      </c>
      <c r="F13" s="1">
        <v>1</v>
      </c>
      <c r="G13" s="1">
        <v>0</v>
      </c>
      <c r="H13" s="1" t="s">
        <v>662</v>
      </c>
      <c r="I13" s="1" t="s">
        <v>712</v>
      </c>
      <c r="M13" s="1" t="s">
        <v>665</v>
      </c>
      <c r="O13" s="1">
        <v>1</v>
      </c>
      <c r="R13" s="1">
        <v>0</v>
      </c>
      <c r="S13" s="1">
        <v>0</v>
      </c>
      <c r="X13" s="1">
        <v>1</v>
      </c>
      <c r="AA13" s="1">
        <v>9.99</v>
      </c>
      <c r="AB13" s="1" t="s">
        <v>681</v>
      </c>
      <c r="AC13" s="1" t="s">
        <v>701</v>
      </c>
      <c r="AE13" s="1" t="s">
        <v>715</v>
      </c>
      <c r="AN13" s="1">
        <v>0</v>
      </c>
      <c r="AP13" s="1" t="s">
        <v>669</v>
      </c>
      <c r="AQ13" s="1" t="s">
        <v>684</v>
      </c>
      <c r="AR13" s="1">
        <v>1</v>
      </c>
      <c r="AS13" s="1">
        <v>1</v>
      </c>
      <c r="AT13" s="1" t="s">
        <v>671</v>
      </c>
      <c r="AU13" s="1" t="s">
        <v>698</v>
      </c>
      <c r="AV13" s="1">
        <v>1</v>
      </c>
      <c r="AW13" s="1">
        <v>1</v>
      </c>
      <c r="AX13" s="1" t="s">
        <v>685</v>
      </c>
      <c r="AY13" s="1" t="s">
        <v>686</v>
      </c>
      <c r="AZ13" s="1">
        <v>1</v>
      </c>
      <c r="BA13" s="1">
        <v>1</v>
      </c>
      <c r="BB13" s="1" t="s">
        <v>704</v>
      </c>
      <c r="BC13" s="1">
        <v>0</v>
      </c>
      <c r="BF13" s="1">
        <v>49</v>
      </c>
      <c r="BG13" s="1">
        <v>45</v>
      </c>
      <c r="BH13" s="1">
        <v>38</v>
      </c>
      <c r="BM13" s="1" t="s">
        <v>688</v>
      </c>
      <c r="BQ13" s="1" t="s">
        <v>678</v>
      </c>
      <c r="BR13" s="1" t="s">
        <v>679</v>
      </c>
      <c r="BS13" s="1" t="s">
        <v>678</v>
      </c>
      <c r="BT13" s="1" t="s">
        <v>679</v>
      </c>
      <c r="BU13" s="1" t="s">
        <v>679</v>
      </c>
      <c r="CB13" s="1" t="s">
        <v>4</v>
      </c>
      <c r="CC13" s="1" t="s">
        <v>19</v>
      </c>
      <c r="CD13" s="1">
        <v>1</v>
      </c>
      <c r="CE13" s="1">
        <v>1</v>
      </c>
    </row>
    <row r="14" spans="1:85" ht="403.2" x14ac:dyDescent="0.3">
      <c r="A14" s="1">
        <v>626</v>
      </c>
      <c r="B14" s="1" t="s">
        <v>661</v>
      </c>
      <c r="C14" s="1" t="s">
        <v>34</v>
      </c>
      <c r="E14" s="1" t="s">
        <v>716</v>
      </c>
      <c r="F14" s="1">
        <v>1</v>
      </c>
      <c r="G14" s="1">
        <v>0</v>
      </c>
      <c r="H14" s="1" t="s">
        <v>662</v>
      </c>
      <c r="I14" s="1" t="s">
        <v>717</v>
      </c>
      <c r="M14" s="1" t="s">
        <v>665</v>
      </c>
      <c r="O14" s="1">
        <v>1</v>
      </c>
      <c r="R14" s="1">
        <v>0</v>
      </c>
      <c r="S14" s="1">
        <v>0</v>
      </c>
      <c r="X14" s="1">
        <v>1</v>
      </c>
      <c r="AA14" s="1">
        <v>8.99</v>
      </c>
      <c r="AB14" s="1" t="s">
        <v>681</v>
      </c>
      <c r="AC14" s="1" t="s">
        <v>718</v>
      </c>
      <c r="AE14" s="1" t="s">
        <v>719</v>
      </c>
      <c r="AN14" s="1">
        <v>0</v>
      </c>
      <c r="AP14" s="1" t="s">
        <v>669</v>
      </c>
      <c r="AQ14" s="1" t="s">
        <v>684</v>
      </c>
      <c r="AR14" s="1">
        <v>1</v>
      </c>
      <c r="AS14" s="1">
        <v>1</v>
      </c>
      <c r="AT14" s="1" t="s">
        <v>671</v>
      </c>
      <c r="AU14" s="1" t="s">
        <v>720</v>
      </c>
      <c r="AV14" s="1">
        <v>1</v>
      </c>
      <c r="AW14" s="1">
        <v>1</v>
      </c>
      <c r="AX14" s="1" t="s">
        <v>685</v>
      </c>
      <c r="AY14" s="1" t="s">
        <v>686</v>
      </c>
      <c r="AZ14" s="1">
        <v>1</v>
      </c>
      <c r="BA14" s="1">
        <v>1</v>
      </c>
      <c r="BB14" s="1" t="s">
        <v>721</v>
      </c>
      <c r="BC14" s="1">
        <v>0</v>
      </c>
      <c r="BF14" s="1">
        <v>68</v>
      </c>
      <c r="BG14" s="1">
        <v>56</v>
      </c>
      <c r="BH14" s="1">
        <v>57</v>
      </c>
      <c r="BM14" s="1" t="s">
        <v>722</v>
      </c>
      <c r="BQ14" s="1" t="s">
        <v>678</v>
      </c>
      <c r="BR14" s="1" t="s">
        <v>679</v>
      </c>
      <c r="BS14" s="1" t="s">
        <v>678</v>
      </c>
      <c r="BT14" s="1" t="s">
        <v>679</v>
      </c>
      <c r="BU14" s="1" t="s">
        <v>679</v>
      </c>
      <c r="CB14" s="1" t="s">
        <v>4</v>
      </c>
      <c r="CC14" s="1" t="s">
        <v>19</v>
      </c>
      <c r="CD14" s="1">
        <v>1</v>
      </c>
      <c r="CE14" s="1">
        <v>1</v>
      </c>
    </row>
    <row r="15" spans="1:85" ht="403.2" x14ac:dyDescent="0.3">
      <c r="A15" s="1">
        <v>628</v>
      </c>
      <c r="B15" s="1" t="s">
        <v>661</v>
      </c>
      <c r="C15" s="1" t="s">
        <v>37</v>
      </c>
      <c r="E15" s="1" t="s">
        <v>723</v>
      </c>
      <c r="F15" s="1">
        <v>1</v>
      </c>
      <c r="G15" s="1">
        <v>0</v>
      </c>
      <c r="H15" s="1" t="s">
        <v>662</v>
      </c>
      <c r="I15" s="1" t="s">
        <v>724</v>
      </c>
      <c r="M15" s="1" t="s">
        <v>665</v>
      </c>
      <c r="O15" s="1">
        <v>1</v>
      </c>
      <c r="R15" s="1">
        <v>0</v>
      </c>
      <c r="S15" s="1">
        <v>0</v>
      </c>
      <c r="X15" s="1">
        <v>1</v>
      </c>
      <c r="AA15" s="1">
        <v>8.99</v>
      </c>
      <c r="AB15" s="1" t="s">
        <v>681</v>
      </c>
      <c r="AC15" s="1" t="s">
        <v>718</v>
      </c>
      <c r="AE15" s="1" t="s">
        <v>725</v>
      </c>
      <c r="AN15" s="1">
        <v>0</v>
      </c>
      <c r="AP15" s="1" t="s">
        <v>669</v>
      </c>
      <c r="AQ15" s="1" t="s">
        <v>684</v>
      </c>
      <c r="AR15" s="1">
        <v>1</v>
      </c>
      <c r="AS15" s="1">
        <v>1</v>
      </c>
      <c r="AT15" s="1" t="s">
        <v>671</v>
      </c>
      <c r="AU15" s="1" t="s">
        <v>672</v>
      </c>
      <c r="AV15" s="1">
        <v>1</v>
      </c>
      <c r="AW15" s="1">
        <v>1</v>
      </c>
      <c r="AX15" s="1" t="s">
        <v>685</v>
      </c>
      <c r="AY15" s="1" t="s">
        <v>686</v>
      </c>
      <c r="AZ15" s="1">
        <v>1</v>
      </c>
      <c r="BA15" s="1">
        <v>1</v>
      </c>
      <c r="BB15" s="1" t="s">
        <v>721</v>
      </c>
      <c r="BC15" s="1">
        <v>0</v>
      </c>
      <c r="BF15" s="1">
        <v>56</v>
      </c>
      <c r="BG15" s="1">
        <v>48</v>
      </c>
      <c r="BH15" s="1">
        <v>45</v>
      </c>
      <c r="BM15" s="1" t="s">
        <v>722</v>
      </c>
      <c r="BQ15" s="1" t="s">
        <v>678</v>
      </c>
      <c r="BR15" s="1" t="s">
        <v>679</v>
      </c>
      <c r="BS15" s="1" t="s">
        <v>678</v>
      </c>
      <c r="BT15" s="1" t="s">
        <v>679</v>
      </c>
      <c r="BU15" s="1" t="s">
        <v>679</v>
      </c>
      <c r="CB15" s="1" t="s">
        <v>4</v>
      </c>
      <c r="CC15" s="1" t="s">
        <v>19</v>
      </c>
      <c r="CD15" s="1">
        <v>1</v>
      </c>
      <c r="CE15" s="1">
        <v>1</v>
      </c>
    </row>
    <row r="16" spans="1:85" ht="403.2" x14ac:dyDescent="0.3">
      <c r="A16" s="1">
        <v>630</v>
      </c>
      <c r="B16" s="1" t="s">
        <v>661</v>
      </c>
      <c r="C16" s="1" t="s">
        <v>38</v>
      </c>
      <c r="E16" s="1" t="s">
        <v>726</v>
      </c>
      <c r="F16" s="1">
        <v>1</v>
      </c>
      <c r="G16" s="1">
        <v>0</v>
      </c>
      <c r="H16" s="1" t="s">
        <v>662</v>
      </c>
      <c r="I16" s="1" t="s">
        <v>724</v>
      </c>
      <c r="M16" s="1" t="s">
        <v>665</v>
      </c>
      <c r="O16" s="1">
        <v>1</v>
      </c>
      <c r="R16" s="1">
        <v>0</v>
      </c>
      <c r="S16" s="1">
        <v>0</v>
      </c>
      <c r="X16" s="1">
        <v>1</v>
      </c>
      <c r="AA16" s="1">
        <v>8.99</v>
      </c>
      <c r="AB16" s="1" t="s">
        <v>681</v>
      </c>
      <c r="AC16" s="1" t="s">
        <v>718</v>
      </c>
      <c r="AE16" s="1" t="s">
        <v>727</v>
      </c>
      <c r="AN16" s="1">
        <v>0</v>
      </c>
      <c r="AP16" s="1" t="s">
        <v>669</v>
      </c>
      <c r="AQ16" s="1" t="s">
        <v>684</v>
      </c>
      <c r="AR16" s="1">
        <v>1</v>
      </c>
      <c r="AS16" s="1">
        <v>1</v>
      </c>
      <c r="AT16" s="1" t="s">
        <v>671</v>
      </c>
      <c r="AU16" s="1" t="s">
        <v>728</v>
      </c>
      <c r="AV16" s="1">
        <v>1</v>
      </c>
      <c r="AW16" s="1">
        <v>1</v>
      </c>
      <c r="AX16" s="1" t="s">
        <v>685</v>
      </c>
      <c r="AY16" s="1" t="s">
        <v>686</v>
      </c>
      <c r="AZ16" s="1">
        <v>1</v>
      </c>
      <c r="BA16" s="1">
        <v>1</v>
      </c>
      <c r="BB16" s="1" t="s">
        <v>721</v>
      </c>
      <c r="BC16" s="1">
        <v>0</v>
      </c>
      <c r="BF16" s="1">
        <v>71</v>
      </c>
      <c r="BG16" s="1">
        <v>60</v>
      </c>
      <c r="BH16" s="1">
        <v>62</v>
      </c>
      <c r="BM16" s="1" t="s">
        <v>722</v>
      </c>
      <c r="BQ16" s="1" t="s">
        <v>678</v>
      </c>
      <c r="BR16" s="1" t="s">
        <v>679</v>
      </c>
      <c r="BS16" s="1" t="s">
        <v>678</v>
      </c>
      <c r="BT16" s="1" t="s">
        <v>679</v>
      </c>
      <c r="BU16" s="1" t="s">
        <v>679</v>
      </c>
      <c r="CB16" s="1" t="s">
        <v>4</v>
      </c>
      <c r="CC16" s="1" t="s">
        <v>19</v>
      </c>
      <c r="CD16" s="1">
        <v>1</v>
      </c>
      <c r="CE16" s="1">
        <v>1</v>
      </c>
    </row>
    <row r="17" spans="1:83" ht="403.2" x14ac:dyDescent="0.3">
      <c r="A17" s="1">
        <v>632</v>
      </c>
      <c r="B17" s="1" t="s">
        <v>661</v>
      </c>
      <c r="C17" s="1" t="s">
        <v>39</v>
      </c>
      <c r="E17" s="1" t="s">
        <v>729</v>
      </c>
      <c r="F17" s="1">
        <v>1</v>
      </c>
      <c r="G17" s="1">
        <v>0</v>
      </c>
      <c r="H17" s="1" t="s">
        <v>662</v>
      </c>
      <c r="I17" s="1" t="s">
        <v>717</v>
      </c>
      <c r="M17" s="1" t="s">
        <v>665</v>
      </c>
      <c r="O17" s="1">
        <v>1</v>
      </c>
      <c r="R17" s="1">
        <v>0</v>
      </c>
      <c r="S17" s="1">
        <v>0</v>
      </c>
      <c r="X17" s="1">
        <v>1</v>
      </c>
      <c r="AA17" s="1">
        <v>8.99</v>
      </c>
      <c r="AB17" s="1" t="s">
        <v>681</v>
      </c>
      <c r="AC17" s="1" t="s">
        <v>718</v>
      </c>
      <c r="AE17" s="1" t="s">
        <v>730</v>
      </c>
      <c r="AN17" s="1">
        <v>0</v>
      </c>
      <c r="AP17" s="1" t="s">
        <v>669</v>
      </c>
      <c r="AQ17" s="1" t="s">
        <v>684</v>
      </c>
      <c r="AR17" s="1">
        <v>1</v>
      </c>
      <c r="AS17" s="1">
        <v>1</v>
      </c>
      <c r="AT17" s="1" t="s">
        <v>671</v>
      </c>
      <c r="AU17" s="1" t="s">
        <v>731</v>
      </c>
      <c r="AV17" s="1">
        <v>1</v>
      </c>
      <c r="AW17" s="1">
        <v>1</v>
      </c>
      <c r="AX17" s="1" t="s">
        <v>685</v>
      </c>
      <c r="AY17" s="1" t="s">
        <v>686</v>
      </c>
      <c r="AZ17" s="1">
        <v>1</v>
      </c>
      <c r="BA17" s="1">
        <v>1</v>
      </c>
      <c r="BB17" s="1" t="s">
        <v>721</v>
      </c>
      <c r="BC17" s="1">
        <v>0</v>
      </c>
      <c r="BF17" s="1">
        <v>133</v>
      </c>
      <c r="BG17" s="1">
        <v>84</v>
      </c>
      <c r="BH17" s="1">
        <v>123</v>
      </c>
      <c r="BM17" s="1" t="s">
        <v>722</v>
      </c>
      <c r="BQ17" s="1" t="s">
        <v>678</v>
      </c>
      <c r="BR17" s="1" t="s">
        <v>679</v>
      </c>
      <c r="BS17" s="1" t="s">
        <v>678</v>
      </c>
      <c r="BT17" s="1" t="s">
        <v>679</v>
      </c>
      <c r="BU17" s="1" t="s">
        <v>679</v>
      </c>
      <c r="CB17" s="1" t="s">
        <v>4</v>
      </c>
      <c r="CC17" s="1" t="s">
        <v>19</v>
      </c>
      <c r="CD17" s="1">
        <v>1</v>
      </c>
      <c r="CE17" s="1">
        <v>1</v>
      </c>
    </row>
    <row r="18" spans="1:83" ht="216" x14ac:dyDescent="0.3">
      <c r="A18" s="1">
        <v>681</v>
      </c>
      <c r="B18" s="1" t="s">
        <v>661</v>
      </c>
      <c r="C18" s="1" t="s">
        <v>40</v>
      </c>
      <c r="E18" s="1" t="s">
        <v>351</v>
      </c>
      <c r="F18" s="1">
        <v>1</v>
      </c>
      <c r="G18" s="1">
        <v>0</v>
      </c>
      <c r="H18" s="1" t="s">
        <v>662</v>
      </c>
      <c r="I18" s="1" t="s">
        <v>732</v>
      </c>
      <c r="J18" s="1" t="s">
        <v>664</v>
      </c>
      <c r="M18" s="1" t="s">
        <v>665</v>
      </c>
      <c r="O18" s="1">
        <v>1</v>
      </c>
      <c r="R18" s="1">
        <v>0</v>
      </c>
      <c r="S18" s="1">
        <v>0</v>
      </c>
      <c r="X18" s="1">
        <v>1</v>
      </c>
      <c r="AA18" s="1">
        <v>19.989999999999998</v>
      </c>
      <c r="AB18" s="1" t="s">
        <v>733</v>
      </c>
      <c r="AE18" s="1" t="s">
        <v>734</v>
      </c>
      <c r="AN18" s="1">
        <v>0</v>
      </c>
      <c r="AP18" s="1" t="s">
        <v>669</v>
      </c>
      <c r="AQ18" s="1" t="s">
        <v>670</v>
      </c>
      <c r="AR18" s="1">
        <v>1</v>
      </c>
      <c r="AS18" s="1">
        <v>1</v>
      </c>
      <c r="AT18" s="1" t="s">
        <v>671</v>
      </c>
      <c r="AU18" s="1" t="s">
        <v>728</v>
      </c>
      <c r="AV18" s="1">
        <v>1</v>
      </c>
      <c r="AW18" s="1">
        <v>1</v>
      </c>
      <c r="AX18" s="1" t="s">
        <v>685</v>
      </c>
      <c r="AY18" s="1" t="s">
        <v>41</v>
      </c>
      <c r="AZ18" s="1">
        <v>1</v>
      </c>
      <c r="BA18" s="1">
        <v>1</v>
      </c>
      <c r="BB18" s="1" t="s">
        <v>735</v>
      </c>
      <c r="BC18" s="1">
        <v>0</v>
      </c>
      <c r="BF18" s="1">
        <v>392</v>
      </c>
      <c r="BG18" s="1">
        <v>180</v>
      </c>
      <c r="BH18" s="1">
        <v>376</v>
      </c>
      <c r="BM18" s="1" t="s">
        <v>736</v>
      </c>
      <c r="BQ18" s="1" t="s">
        <v>678</v>
      </c>
      <c r="BR18" s="1" t="s">
        <v>679</v>
      </c>
      <c r="BS18" s="1" t="s">
        <v>678</v>
      </c>
      <c r="BT18" s="1" t="s">
        <v>679</v>
      </c>
      <c r="BU18" s="1" t="s">
        <v>679</v>
      </c>
      <c r="CB18" s="1" t="s">
        <v>4</v>
      </c>
      <c r="CC18" s="1" t="s">
        <v>14</v>
      </c>
      <c r="CD18" s="1">
        <v>1</v>
      </c>
      <c r="CE18" s="1">
        <v>1</v>
      </c>
    </row>
    <row r="19" spans="1:83" ht="216" x14ac:dyDescent="0.3">
      <c r="A19" s="1">
        <v>685</v>
      </c>
      <c r="B19" s="1" t="s">
        <v>661</v>
      </c>
      <c r="C19" s="1" t="s">
        <v>44</v>
      </c>
      <c r="E19" s="1" t="s">
        <v>352</v>
      </c>
      <c r="F19" s="1">
        <v>1</v>
      </c>
      <c r="G19" s="1">
        <v>0</v>
      </c>
      <c r="H19" s="1" t="s">
        <v>662</v>
      </c>
      <c r="I19" s="1" t="s">
        <v>737</v>
      </c>
      <c r="J19" s="1" t="s">
        <v>738</v>
      </c>
      <c r="M19" s="1" t="s">
        <v>665</v>
      </c>
      <c r="O19" s="1">
        <v>1</v>
      </c>
      <c r="R19" s="1">
        <v>0</v>
      </c>
      <c r="S19" s="1">
        <v>0</v>
      </c>
      <c r="X19" s="1">
        <v>1</v>
      </c>
      <c r="AA19" s="1">
        <v>15.99</v>
      </c>
      <c r="AB19" s="1" t="s">
        <v>739</v>
      </c>
      <c r="AC19" s="1" t="s">
        <v>740</v>
      </c>
      <c r="AE19" s="1" t="s">
        <v>741</v>
      </c>
      <c r="AN19" s="1">
        <v>0</v>
      </c>
      <c r="AP19" s="1" t="s">
        <v>669</v>
      </c>
      <c r="AQ19" s="1" t="s">
        <v>684</v>
      </c>
      <c r="AR19" s="1">
        <v>1</v>
      </c>
      <c r="AS19" s="1">
        <v>1</v>
      </c>
      <c r="AT19" s="1" t="s">
        <v>671</v>
      </c>
      <c r="AU19" s="1" t="s">
        <v>672</v>
      </c>
      <c r="AV19" s="1">
        <v>1</v>
      </c>
      <c r="AW19" s="1">
        <v>1</v>
      </c>
      <c r="AX19" s="1" t="s">
        <v>685</v>
      </c>
      <c r="AY19" s="1" t="s">
        <v>41</v>
      </c>
      <c r="AZ19" s="1">
        <v>1</v>
      </c>
      <c r="BA19" s="1">
        <v>1</v>
      </c>
      <c r="BB19" s="1" t="s">
        <v>742</v>
      </c>
      <c r="BC19" s="1">
        <v>0</v>
      </c>
      <c r="BF19" s="1">
        <v>272</v>
      </c>
      <c r="BG19" s="1">
        <v>126</v>
      </c>
      <c r="BH19" s="1">
        <v>260</v>
      </c>
      <c r="BM19" s="1" t="s">
        <v>743</v>
      </c>
      <c r="BQ19" s="1" t="s">
        <v>678</v>
      </c>
      <c r="BR19" s="1" t="s">
        <v>679</v>
      </c>
      <c r="BS19" s="1" t="s">
        <v>678</v>
      </c>
      <c r="BT19" s="1" t="s">
        <v>679</v>
      </c>
      <c r="BU19" s="1" t="s">
        <v>679</v>
      </c>
      <c r="CB19" s="1" t="s">
        <v>4</v>
      </c>
      <c r="CC19" s="1" t="s">
        <v>14</v>
      </c>
      <c r="CD19" s="1">
        <v>1</v>
      </c>
      <c r="CE19" s="1">
        <v>1</v>
      </c>
    </row>
    <row r="20" spans="1:83" ht="216" x14ac:dyDescent="0.3">
      <c r="A20" s="1">
        <v>687</v>
      </c>
      <c r="B20" s="1" t="s">
        <v>661</v>
      </c>
      <c r="C20" s="1" t="s">
        <v>47</v>
      </c>
      <c r="E20" s="1" t="s">
        <v>353</v>
      </c>
      <c r="F20" s="1">
        <v>1</v>
      </c>
      <c r="G20" s="1">
        <v>0</v>
      </c>
      <c r="H20" s="1" t="s">
        <v>662</v>
      </c>
      <c r="I20" s="1" t="s">
        <v>744</v>
      </c>
      <c r="J20" s="1" t="s">
        <v>738</v>
      </c>
      <c r="M20" s="1" t="s">
        <v>665</v>
      </c>
      <c r="O20" s="1">
        <v>1</v>
      </c>
      <c r="R20" s="1">
        <v>0</v>
      </c>
      <c r="S20" s="1">
        <v>0</v>
      </c>
      <c r="X20" s="1">
        <v>1</v>
      </c>
      <c r="AA20" s="1">
        <v>15.99</v>
      </c>
      <c r="AB20" s="1" t="s">
        <v>739</v>
      </c>
      <c r="AC20" s="1" t="s">
        <v>740</v>
      </c>
      <c r="AE20" s="1" t="s">
        <v>745</v>
      </c>
      <c r="AN20" s="1">
        <v>0</v>
      </c>
      <c r="AP20" s="1" t="s">
        <v>669</v>
      </c>
      <c r="AQ20" s="1" t="s">
        <v>684</v>
      </c>
      <c r="AR20" s="1">
        <v>1</v>
      </c>
      <c r="AS20" s="1">
        <v>1</v>
      </c>
      <c r="AT20" s="1" t="s">
        <v>671</v>
      </c>
      <c r="AU20" s="1" t="s">
        <v>690</v>
      </c>
      <c r="AV20" s="1">
        <v>1</v>
      </c>
      <c r="AW20" s="1">
        <v>1</v>
      </c>
      <c r="AX20" s="1" t="s">
        <v>685</v>
      </c>
      <c r="AY20" s="1" t="s">
        <v>41</v>
      </c>
      <c r="AZ20" s="1">
        <v>1</v>
      </c>
      <c r="BA20" s="1">
        <v>1</v>
      </c>
      <c r="BB20" s="1" t="s">
        <v>742</v>
      </c>
      <c r="BC20" s="1">
        <v>0</v>
      </c>
      <c r="BF20" s="1">
        <v>271</v>
      </c>
      <c r="BG20" s="1">
        <v>112</v>
      </c>
      <c r="BH20" s="1">
        <v>261</v>
      </c>
      <c r="BM20" s="1" t="s">
        <v>743</v>
      </c>
      <c r="BQ20" s="1" t="s">
        <v>678</v>
      </c>
      <c r="BR20" s="1" t="s">
        <v>679</v>
      </c>
      <c r="BS20" s="1" t="s">
        <v>678</v>
      </c>
      <c r="BT20" s="1" t="s">
        <v>679</v>
      </c>
      <c r="BU20" s="1" t="s">
        <v>679</v>
      </c>
      <c r="CB20" s="1" t="s">
        <v>4</v>
      </c>
      <c r="CC20" s="1" t="s">
        <v>14</v>
      </c>
      <c r="CD20" s="1">
        <v>1</v>
      </c>
      <c r="CE20" s="1">
        <v>1</v>
      </c>
    </row>
    <row r="21" spans="1:83" ht="216" x14ac:dyDescent="0.3">
      <c r="A21" s="1">
        <v>689</v>
      </c>
      <c r="B21" s="1" t="s">
        <v>661</v>
      </c>
      <c r="C21" s="1" t="s">
        <v>48</v>
      </c>
      <c r="E21" s="1" t="s">
        <v>354</v>
      </c>
      <c r="F21" s="1">
        <v>1</v>
      </c>
      <c r="G21" s="1">
        <v>0</v>
      </c>
      <c r="H21" s="1" t="s">
        <v>662</v>
      </c>
      <c r="I21" s="1" t="s">
        <v>744</v>
      </c>
      <c r="J21" s="1" t="s">
        <v>738</v>
      </c>
      <c r="M21" s="1" t="s">
        <v>665</v>
      </c>
      <c r="O21" s="1">
        <v>1</v>
      </c>
      <c r="R21" s="1">
        <v>0</v>
      </c>
      <c r="S21" s="1">
        <v>0</v>
      </c>
      <c r="X21" s="1">
        <v>1</v>
      </c>
      <c r="AA21" s="1">
        <v>15.99</v>
      </c>
      <c r="AB21" s="1" t="s">
        <v>739</v>
      </c>
      <c r="AC21" s="1" t="s">
        <v>740</v>
      </c>
      <c r="AE21" s="1" t="s">
        <v>746</v>
      </c>
      <c r="AN21" s="1">
        <v>0</v>
      </c>
      <c r="AP21" s="1" t="s">
        <v>669</v>
      </c>
      <c r="AQ21" s="1" t="s">
        <v>684</v>
      </c>
      <c r="AR21" s="1">
        <v>1</v>
      </c>
      <c r="AS21" s="1">
        <v>1</v>
      </c>
      <c r="AT21" s="1" t="s">
        <v>671</v>
      </c>
      <c r="AU21" s="1" t="s">
        <v>692</v>
      </c>
      <c r="AV21" s="1">
        <v>1</v>
      </c>
      <c r="AW21" s="1">
        <v>1</v>
      </c>
      <c r="AX21" s="1" t="s">
        <v>685</v>
      </c>
      <c r="AY21" s="1" t="s">
        <v>41</v>
      </c>
      <c r="AZ21" s="1">
        <v>1</v>
      </c>
      <c r="BA21" s="1">
        <v>1</v>
      </c>
      <c r="BB21" s="1" t="s">
        <v>742</v>
      </c>
      <c r="BC21" s="1">
        <v>0</v>
      </c>
      <c r="BF21" s="1">
        <v>226</v>
      </c>
      <c r="BG21" s="1">
        <v>96</v>
      </c>
      <c r="BH21" s="1">
        <v>218</v>
      </c>
      <c r="BM21" s="1" t="s">
        <v>743</v>
      </c>
      <c r="BQ21" s="1" t="s">
        <v>678</v>
      </c>
      <c r="BR21" s="1" t="s">
        <v>679</v>
      </c>
      <c r="BS21" s="1" t="s">
        <v>678</v>
      </c>
      <c r="BT21" s="1" t="s">
        <v>679</v>
      </c>
      <c r="BU21" s="1" t="s">
        <v>679</v>
      </c>
      <c r="CB21" s="1" t="s">
        <v>4</v>
      </c>
      <c r="CC21" s="1" t="s">
        <v>14</v>
      </c>
      <c r="CD21" s="1">
        <v>1</v>
      </c>
      <c r="CE21" s="1">
        <v>1</v>
      </c>
    </row>
    <row r="22" spans="1:83" ht="216" x14ac:dyDescent="0.3">
      <c r="A22" s="1">
        <v>691</v>
      </c>
      <c r="B22" s="1" t="s">
        <v>661</v>
      </c>
      <c r="C22" s="1" t="s">
        <v>49</v>
      </c>
      <c r="E22" s="1" t="s">
        <v>355</v>
      </c>
      <c r="F22" s="1">
        <v>1</v>
      </c>
      <c r="G22" s="1">
        <v>0</v>
      </c>
      <c r="H22" s="1" t="s">
        <v>662</v>
      </c>
      <c r="I22" s="1" t="s">
        <v>744</v>
      </c>
      <c r="J22" s="1" t="s">
        <v>738</v>
      </c>
      <c r="M22" s="1" t="s">
        <v>665</v>
      </c>
      <c r="O22" s="1">
        <v>1</v>
      </c>
      <c r="R22" s="1">
        <v>0</v>
      </c>
      <c r="S22" s="1">
        <v>0</v>
      </c>
      <c r="X22" s="1">
        <v>1</v>
      </c>
      <c r="AA22" s="1">
        <v>15.99</v>
      </c>
      <c r="AB22" s="1" t="s">
        <v>739</v>
      </c>
      <c r="AC22" s="1" t="s">
        <v>740</v>
      </c>
      <c r="AE22" s="1" t="s">
        <v>747</v>
      </c>
      <c r="AN22" s="1">
        <v>0</v>
      </c>
      <c r="AP22" s="1" t="s">
        <v>669</v>
      </c>
      <c r="AQ22" s="1" t="s">
        <v>684</v>
      </c>
      <c r="AR22" s="1">
        <v>1</v>
      </c>
      <c r="AS22" s="1">
        <v>1</v>
      </c>
      <c r="AT22" s="1" t="s">
        <v>671</v>
      </c>
      <c r="AU22" s="1" t="s">
        <v>694</v>
      </c>
      <c r="AV22" s="1">
        <v>1</v>
      </c>
      <c r="AW22" s="1">
        <v>1</v>
      </c>
      <c r="AX22" s="1" t="s">
        <v>685</v>
      </c>
      <c r="AY22" s="1" t="s">
        <v>41</v>
      </c>
      <c r="AZ22" s="1">
        <v>1</v>
      </c>
      <c r="BA22" s="1">
        <v>1</v>
      </c>
      <c r="BB22" s="1" t="s">
        <v>742</v>
      </c>
      <c r="BC22" s="1">
        <v>0</v>
      </c>
      <c r="BF22" s="1">
        <v>254</v>
      </c>
      <c r="BG22" s="1">
        <v>102</v>
      </c>
      <c r="BH22" s="1">
        <v>245</v>
      </c>
      <c r="BM22" s="1" t="s">
        <v>743</v>
      </c>
      <c r="BQ22" s="1" t="s">
        <v>678</v>
      </c>
      <c r="BR22" s="1" t="s">
        <v>679</v>
      </c>
      <c r="BS22" s="1" t="s">
        <v>678</v>
      </c>
      <c r="BT22" s="1" t="s">
        <v>679</v>
      </c>
      <c r="BU22" s="1" t="s">
        <v>679</v>
      </c>
      <c r="CB22" s="1" t="s">
        <v>4</v>
      </c>
      <c r="CC22" s="1" t="s">
        <v>14</v>
      </c>
      <c r="CD22" s="1">
        <v>1</v>
      </c>
      <c r="CE22" s="1">
        <v>1</v>
      </c>
    </row>
    <row r="23" spans="1:83" ht="216" x14ac:dyDescent="0.3">
      <c r="A23" s="1">
        <v>693</v>
      </c>
      <c r="B23" s="1" t="s">
        <v>661</v>
      </c>
      <c r="C23" s="1" t="s">
        <v>50</v>
      </c>
      <c r="E23" s="1" t="s">
        <v>356</v>
      </c>
      <c r="F23" s="1">
        <v>1</v>
      </c>
      <c r="G23" s="1">
        <v>0</v>
      </c>
      <c r="H23" s="1" t="s">
        <v>662</v>
      </c>
      <c r="I23" s="1" t="s">
        <v>744</v>
      </c>
      <c r="J23" s="1" t="s">
        <v>738</v>
      </c>
      <c r="M23" s="1" t="s">
        <v>665</v>
      </c>
      <c r="O23" s="1">
        <v>1</v>
      </c>
      <c r="R23" s="1">
        <v>0</v>
      </c>
      <c r="S23" s="1">
        <v>0</v>
      </c>
      <c r="X23" s="1">
        <v>1</v>
      </c>
      <c r="AA23" s="1">
        <v>15.99</v>
      </c>
      <c r="AB23" s="1" t="s">
        <v>739</v>
      </c>
      <c r="AC23" s="1" t="s">
        <v>740</v>
      </c>
      <c r="AE23" s="1" t="s">
        <v>748</v>
      </c>
      <c r="AN23" s="1">
        <v>0</v>
      </c>
      <c r="AP23" s="1" t="s">
        <v>669</v>
      </c>
      <c r="AQ23" s="1" t="s">
        <v>684</v>
      </c>
      <c r="AR23" s="1">
        <v>1</v>
      </c>
      <c r="AS23" s="1">
        <v>1</v>
      </c>
      <c r="AT23" s="1" t="s">
        <v>671</v>
      </c>
      <c r="AU23" s="1" t="s">
        <v>696</v>
      </c>
      <c r="AV23" s="1">
        <v>1</v>
      </c>
      <c r="AW23" s="1">
        <v>1</v>
      </c>
      <c r="AX23" s="1" t="s">
        <v>685</v>
      </c>
      <c r="AY23" s="1" t="s">
        <v>41</v>
      </c>
      <c r="AZ23" s="1">
        <v>1</v>
      </c>
      <c r="BA23" s="1">
        <v>1</v>
      </c>
      <c r="BB23" s="1" t="s">
        <v>742</v>
      </c>
      <c r="BC23" s="1">
        <v>0</v>
      </c>
      <c r="BF23" s="1">
        <v>216</v>
      </c>
      <c r="BG23" s="1">
        <v>86</v>
      </c>
      <c r="BH23" s="1">
        <v>204</v>
      </c>
      <c r="BM23" s="1" t="s">
        <v>743</v>
      </c>
      <c r="BQ23" s="1" t="s">
        <v>678</v>
      </c>
      <c r="BR23" s="1" t="s">
        <v>679</v>
      </c>
      <c r="BS23" s="1" t="s">
        <v>678</v>
      </c>
      <c r="BT23" s="1" t="s">
        <v>679</v>
      </c>
      <c r="BU23" s="1" t="s">
        <v>679</v>
      </c>
      <c r="CB23" s="1" t="s">
        <v>4</v>
      </c>
      <c r="CC23" s="1" t="s">
        <v>14</v>
      </c>
      <c r="CD23" s="1">
        <v>1</v>
      </c>
      <c r="CE23" s="1">
        <v>1</v>
      </c>
    </row>
    <row r="24" spans="1:83" ht="216" x14ac:dyDescent="0.3">
      <c r="A24" s="1">
        <v>696</v>
      </c>
      <c r="B24" s="1" t="s">
        <v>661</v>
      </c>
      <c r="C24" s="1" t="s">
        <v>749</v>
      </c>
      <c r="E24" s="1" t="s">
        <v>750</v>
      </c>
      <c r="F24" s="1">
        <v>-1</v>
      </c>
      <c r="G24" s="1">
        <v>0</v>
      </c>
      <c r="H24" s="1" t="s">
        <v>662</v>
      </c>
      <c r="I24" s="1" t="s">
        <v>744</v>
      </c>
      <c r="J24" s="1" t="s">
        <v>738</v>
      </c>
      <c r="M24" s="1" t="s">
        <v>665</v>
      </c>
      <c r="O24" s="1">
        <v>1</v>
      </c>
      <c r="R24" s="1">
        <v>0</v>
      </c>
      <c r="S24" s="1">
        <v>0</v>
      </c>
      <c r="X24" s="1">
        <v>1</v>
      </c>
      <c r="AA24" s="1">
        <v>15.95</v>
      </c>
      <c r="AB24" s="1" t="s">
        <v>751</v>
      </c>
      <c r="AC24" s="1" t="s">
        <v>752</v>
      </c>
      <c r="AE24" s="1" t="s">
        <v>753</v>
      </c>
      <c r="AN24" s="1">
        <v>0</v>
      </c>
      <c r="AP24" s="1" t="s">
        <v>669</v>
      </c>
      <c r="AQ24" s="1" t="s">
        <v>684</v>
      </c>
      <c r="AR24" s="1">
        <v>1</v>
      </c>
      <c r="AS24" s="1">
        <v>1</v>
      </c>
      <c r="AT24" s="1" t="s">
        <v>671</v>
      </c>
      <c r="AU24" s="1" t="s">
        <v>672</v>
      </c>
      <c r="AV24" s="1">
        <v>1</v>
      </c>
      <c r="AW24" s="1">
        <v>1</v>
      </c>
      <c r="AX24" s="1" t="s">
        <v>685</v>
      </c>
      <c r="AY24" s="1" t="s">
        <v>686</v>
      </c>
      <c r="AZ24" s="1">
        <v>1</v>
      </c>
      <c r="BA24" s="1">
        <v>1</v>
      </c>
      <c r="BB24" s="1" t="s">
        <v>742</v>
      </c>
      <c r="BC24" s="1">
        <v>0</v>
      </c>
      <c r="BF24" s="1">
        <v>222</v>
      </c>
      <c r="BG24" s="1">
        <v>90</v>
      </c>
      <c r="BH24" s="1">
        <v>213</v>
      </c>
      <c r="BM24" s="1" t="s">
        <v>754</v>
      </c>
      <c r="BQ24" s="1" t="s">
        <v>678</v>
      </c>
      <c r="BR24" s="1" t="s">
        <v>679</v>
      </c>
      <c r="BS24" s="1" t="s">
        <v>678</v>
      </c>
      <c r="BT24" s="1" t="s">
        <v>679</v>
      </c>
      <c r="BU24" s="1" t="s">
        <v>679</v>
      </c>
      <c r="CB24" s="1" t="s">
        <v>4</v>
      </c>
      <c r="CC24" s="1" t="s">
        <v>14</v>
      </c>
      <c r="CD24" s="1">
        <v>1</v>
      </c>
      <c r="CE24" s="1">
        <v>1</v>
      </c>
    </row>
    <row r="25" spans="1:83" ht="216" x14ac:dyDescent="0.3">
      <c r="A25" s="1">
        <v>833</v>
      </c>
      <c r="B25" s="1" t="s">
        <v>661</v>
      </c>
      <c r="C25" s="1" t="s">
        <v>755</v>
      </c>
      <c r="E25" s="1" t="s">
        <v>756</v>
      </c>
      <c r="F25" s="1">
        <v>-1</v>
      </c>
      <c r="G25" s="1">
        <v>0</v>
      </c>
      <c r="H25" s="1" t="s">
        <v>662</v>
      </c>
      <c r="I25" s="1" t="s">
        <v>744</v>
      </c>
      <c r="J25" s="1" t="s">
        <v>757</v>
      </c>
      <c r="M25" s="1" t="s">
        <v>665</v>
      </c>
      <c r="O25" s="1">
        <v>1</v>
      </c>
      <c r="R25" s="1">
        <v>0</v>
      </c>
      <c r="S25" s="1">
        <v>0</v>
      </c>
      <c r="X25" s="1">
        <v>1</v>
      </c>
      <c r="AA25" s="1">
        <v>15.95</v>
      </c>
      <c r="AB25" s="1" t="s">
        <v>751</v>
      </c>
      <c r="AC25" s="1" t="s">
        <v>752</v>
      </c>
      <c r="AE25" s="1" t="s">
        <v>758</v>
      </c>
      <c r="AN25" s="1">
        <v>0</v>
      </c>
      <c r="AP25" s="1" t="s">
        <v>669</v>
      </c>
      <c r="AQ25" s="1" t="s">
        <v>684</v>
      </c>
      <c r="AR25" s="1">
        <v>1</v>
      </c>
      <c r="AS25" s="1">
        <v>1</v>
      </c>
      <c r="AT25" s="1" t="s">
        <v>671</v>
      </c>
      <c r="AU25" s="1" t="s">
        <v>690</v>
      </c>
      <c r="AV25" s="1">
        <v>1</v>
      </c>
      <c r="AW25" s="1">
        <v>1</v>
      </c>
      <c r="AX25" s="1" t="s">
        <v>685</v>
      </c>
      <c r="AY25" s="1" t="s">
        <v>686</v>
      </c>
      <c r="AZ25" s="1">
        <v>1</v>
      </c>
      <c r="BA25" s="1">
        <v>1</v>
      </c>
      <c r="BB25" s="1" t="s">
        <v>759</v>
      </c>
      <c r="BC25" s="1">
        <v>0</v>
      </c>
      <c r="BF25" s="1">
        <v>234</v>
      </c>
      <c r="BG25" s="1">
        <v>95</v>
      </c>
      <c r="BH25" s="1">
        <v>222</v>
      </c>
      <c r="BM25" s="1" t="s">
        <v>754</v>
      </c>
      <c r="BQ25" s="1" t="s">
        <v>678</v>
      </c>
      <c r="BR25" s="1" t="s">
        <v>679</v>
      </c>
      <c r="BS25" s="1" t="s">
        <v>678</v>
      </c>
      <c r="BT25" s="1" t="s">
        <v>679</v>
      </c>
      <c r="BU25" s="1" t="s">
        <v>679</v>
      </c>
      <c r="CB25" s="1" t="s">
        <v>4</v>
      </c>
      <c r="CC25" s="1" t="s">
        <v>14</v>
      </c>
      <c r="CD25" s="1">
        <v>1</v>
      </c>
      <c r="CE25" s="1">
        <v>1</v>
      </c>
    </row>
    <row r="26" spans="1:83" ht="216" x14ac:dyDescent="0.3">
      <c r="A26" s="1">
        <v>835</v>
      </c>
      <c r="B26" s="1" t="s">
        <v>661</v>
      </c>
      <c r="C26" s="1" t="s">
        <v>760</v>
      </c>
      <c r="E26" s="1" t="s">
        <v>761</v>
      </c>
      <c r="F26" s="1">
        <v>-1</v>
      </c>
      <c r="G26" s="1">
        <v>0</v>
      </c>
      <c r="H26" s="1" t="s">
        <v>662</v>
      </c>
      <c r="I26" s="1" t="s">
        <v>762</v>
      </c>
      <c r="J26" s="1" t="s">
        <v>757</v>
      </c>
      <c r="M26" s="1" t="s">
        <v>665</v>
      </c>
      <c r="O26" s="1">
        <v>1</v>
      </c>
      <c r="R26" s="1">
        <v>0</v>
      </c>
      <c r="S26" s="1">
        <v>0</v>
      </c>
      <c r="X26" s="1">
        <v>1</v>
      </c>
      <c r="AA26" s="1">
        <v>15.95</v>
      </c>
      <c r="AB26" s="1" t="s">
        <v>751</v>
      </c>
      <c r="AC26" s="1" t="s">
        <v>752</v>
      </c>
      <c r="AE26" s="1" t="s">
        <v>763</v>
      </c>
      <c r="AN26" s="1">
        <v>0</v>
      </c>
      <c r="AP26" s="1" t="s">
        <v>669</v>
      </c>
      <c r="AQ26" s="1" t="s">
        <v>684</v>
      </c>
      <c r="AR26" s="1">
        <v>1</v>
      </c>
      <c r="AS26" s="1">
        <v>1</v>
      </c>
      <c r="AT26" s="1" t="s">
        <v>671</v>
      </c>
      <c r="AU26" s="1" t="s">
        <v>692</v>
      </c>
      <c r="AV26" s="1">
        <v>1</v>
      </c>
      <c r="AW26" s="1">
        <v>1</v>
      </c>
      <c r="AX26" s="1" t="s">
        <v>685</v>
      </c>
      <c r="AY26" s="1" t="s">
        <v>686</v>
      </c>
      <c r="AZ26" s="1">
        <v>1</v>
      </c>
      <c r="BA26" s="1">
        <v>1</v>
      </c>
      <c r="BB26" s="1" t="s">
        <v>759</v>
      </c>
      <c r="BC26" s="1">
        <v>0</v>
      </c>
      <c r="BF26" s="1">
        <v>228</v>
      </c>
      <c r="BG26" s="1">
        <v>94</v>
      </c>
      <c r="BH26" s="1">
        <v>219</v>
      </c>
      <c r="BM26" s="1" t="s">
        <v>754</v>
      </c>
      <c r="BQ26" s="1" t="s">
        <v>678</v>
      </c>
      <c r="BR26" s="1" t="s">
        <v>679</v>
      </c>
      <c r="BS26" s="1" t="s">
        <v>678</v>
      </c>
      <c r="BT26" s="1" t="s">
        <v>679</v>
      </c>
      <c r="BU26" s="1" t="s">
        <v>679</v>
      </c>
      <c r="CB26" s="1" t="s">
        <v>4</v>
      </c>
      <c r="CC26" s="1" t="s">
        <v>14</v>
      </c>
      <c r="CD26" s="1">
        <v>1</v>
      </c>
      <c r="CE26" s="1">
        <v>1</v>
      </c>
    </row>
    <row r="27" spans="1:83" ht="216" x14ac:dyDescent="0.3">
      <c r="A27" s="1">
        <v>837</v>
      </c>
      <c r="B27" s="1" t="s">
        <v>661</v>
      </c>
      <c r="C27" s="1" t="s">
        <v>764</v>
      </c>
      <c r="E27" s="1" t="s">
        <v>765</v>
      </c>
      <c r="F27" s="1">
        <v>-1</v>
      </c>
      <c r="G27" s="1">
        <v>0</v>
      </c>
      <c r="H27" s="1" t="s">
        <v>662</v>
      </c>
      <c r="I27" s="1" t="s">
        <v>762</v>
      </c>
      <c r="J27" s="1" t="s">
        <v>757</v>
      </c>
      <c r="M27" s="1" t="s">
        <v>665</v>
      </c>
      <c r="O27" s="1">
        <v>1</v>
      </c>
      <c r="R27" s="1">
        <v>0</v>
      </c>
      <c r="S27" s="1">
        <v>0</v>
      </c>
      <c r="X27" s="1">
        <v>1</v>
      </c>
      <c r="AA27" s="1">
        <v>15.95</v>
      </c>
      <c r="AB27" s="1" t="s">
        <v>751</v>
      </c>
      <c r="AC27" s="1" t="s">
        <v>752</v>
      </c>
      <c r="AE27" s="1" t="s">
        <v>766</v>
      </c>
      <c r="AN27" s="1">
        <v>0</v>
      </c>
      <c r="AP27" s="1" t="s">
        <v>669</v>
      </c>
      <c r="AQ27" s="1" t="s">
        <v>684</v>
      </c>
      <c r="AR27" s="1">
        <v>1</v>
      </c>
      <c r="AS27" s="1">
        <v>1</v>
      </c>
      <c r="AT27" s="1" t="s">
        <v>671</v>
      </c>
      <c r="AU27" s="1" t="s">
        <v>698</v>
      </c>
      <c r="AV27" s="1">
        <v>1</v>
      </c>
      <c r="AW27" s="1">
        <v>1</v>
      </c>
      <c r="AX27" s="1" t="s">
        <v>685</v>
      </c>
      <c r="AY27" s="1" t="s">
        <v>686</v>
      </c>
      <c r="AZ27" s="1">
        <v>1</v>
      </c>
      <c r="BA27" s="1">
        <v>1</v>
      </c>
      <c r="BB27" s="1" t="s">
        <v>759</v>
      </c>
      <c r="BC27" s="1">
        <v>0</v>
      </c>
      <c r="BF27" s="1">
        <v>228</v>
      </c>
      <c r="BG27" s="1">
        <v>96</v>
      </c>
      <c r="BH27" s="1">
        <v>218</v>
      </c>
      <c r="BM27" s="1" t="s">
        <v>754</v>
      </c>
      <c r="BQ27" s="1" t="s">
        <v>678</v>
      </c>
      <c r="BR27" s="1" t="s">
        <v>679</v>
      </c>
      <c r="BS27" s="1" t="s">
        <v>678</v>
      </c>
      <c r="BT27" s="1" t="s">
        <v>679</v>
      </c>
      <c r="BU27" s="1" t="s">
        <v>679</v>
      </c>
      <c r="CB27" s="1" t="s">
        <v>4</v>
      </c>
      <c r="CC27" s="1" t="s">
        <v>14</v>
      </c>
      <c r="CD27" s="1">
        <v>1</v>
      </c>
      <c r="CE27" s="1">
        <v>1</v>
      </c>
    </row>
    <row r="28" spans="1:83" ht="216" x14ac:dyDescent="0.3">
      <c r="A28" s="1">
        <v>839</v>
      </c>
      <c r="B28" s="1" t="s">
        <v>661</v>
      </c>
      <c r="C28" s="1" t="s">
        <v>767</v>
      </c>
      <c r="E28" s="1" t="s">
        <v>768</v>
      </c>
      <c r="F28" s="1">
        <v>-1</v>
      </c>
      <c r="G28" s="1">
        <v>0</v>
      </c>
      <c r="H28" s="1" t="s">
        <v>662</v>
      </c>
      <c r="I28" s="1" t="s">
        <v>762</v>
      </c>
      <c r="J28" s="1" t="s">
        <v>757</v>
      </c>
      <c r="M28" s="1" t="s">
        <v>665</v>
      </c>
      <c r="O28" s="1">
        <v>1</v>
      </c>
      <c r="R28" s="1">
        <v>0</v>
      </c>
      <c r="S28" s="1">
        <v>0</v>
      </c>
      <c r="X28" s="1">
        <v>1</v>
      </c>
      <c r="AA28" s="1">
        <v>15.95</v>
      </c>
      <c r="AB28" s="1" t="s">
        <v>751</v>
      </c>
      <c r="AC28" s="1" t="s">
        <v>752</v>
      </c>
      <c r="AE28" s="1" t="s">
        <v>769</v>
      </c>
      <c r="AN28" s="1">
        <v>0</v>
      </c>
      <c r="AP28" s="1" t="s">
        <v>669</v>
      </c>
      <c r="AQ28" s="1" t="s">
        <v>684</v>
      </c>
      <c r="AR28" s="1">
        <v>1</v>
      </c>
      <c r="AS28" s="1">
        <v>1</v>
      </c>
      <c r="AT28" s="1" t="s">
        <v>671</v>
      </c>
      <c r="AU28" s="1" t="s">
        <v>694</v>
      </c>
      <c r="AV28" s="1">
        <v>1</v>
      </c>
      <c r="AW28" s="1">
        <v>1</v>
      </c>
      <c r="AX28" s="1" t="s">
        <v>685</v>
      </c>
      <c r="AY28" s="1" t="s">
        <v>686</v>
      </c>
      <c r="AZ28" s="1">
        <v>1</v>
      </c>
      <c r="BA28" s="1">
        <v>1</v>
      </c>
      <c r="BB28" s="1" t="s">
        <v>759</v>
      </c>
      <c r="BC28" s="1">
        <v>0</v>
      </c>
      <c r="BF28" s="1">
        <v>224</v>
      </c>
      <c r="BG28" s="1">
        <v>89</v>
      </c>
      <c r="BH28" s="1">
        <v>216</v>
      </c>
      <c r="BM28" s="1" t="s">
        <v>754</v>
      </c>
      <c r="BQ28" s="1" t="s">
        <v>678</v>
      </c>
      <c r="BR28" s="1" t="s">
        <v>679</v>
      </c>
      <c r="BS28" s="1" t="s">
        <v>678</v>
      </c>
      <c r="BT28" s="1" t="s">
        <v>679</v>
      </c>
      <c r="BU28" s="1" t="s">
        <v>679</v>
      </c>
      <c r="CB28" s="1" t="s">
        <v>4</v>
      </c>
      <c r="CC28" s="1" t="s">
        <v>14</v>
      </c>
      <c r="CD28" s="1">
        <v>1</v>
      </c>
      <c r="CE28" s="1">
        <v>1</v>
      </c>
    </row>
    <row r="29" spans="1:83" ht="216" x14ac:dyDescent="0.3">
      <c r="A29" s="1">
        <v>841</v>
      </c>
      <c r="B29" s="1" t="s">
        <v>661</v>
      </c>
      <c r="C29" s="1" t="s">
        <v>770</v>
      </c>
      <c r="E29" s="1" t="s">
        <v>771</v>
      </c>
      <c r="F29" s="1">
        <v>-1</v>
      </c>
      <c r="G29" s="1">
        <v>0</v>
      </c>
      <c r="H29" s="1" t="s">
        <v>662</v>
      </c>
      <c r="I29" s="1" t="s">
        <v>762</v>
      </c>
      <c r="J29" s="1" t="s">
        <v>772</v>
      </c>
      <c r="M29" s="1" t="s">
        <v>665</v>
      </c>
      <c r="O29" s="1">
        <v>1</v>
      </c>
      <c r="R29" s="1">
        <v>0</v>
      </c>
      <c r="S29" s="1">
        <v>0</v>
      </c>
      <c r="X29" s="1">
        <v>1</v>
      </c>
      <c r="AA29" s="1">
        <v>15.95</v>
      </c>
      <c r="AB29" s="1" t="s">
        <v>751</v>
      </c>
      <c r="AC29" s="1" t="s">
        <v>752</v>
      </c>
      <c r="AE29" s="1" t="s">
        <v>773</v>
      </c>
      <c r="AN29" s="1">
        <v>0</v>
      </c>
      <c r="AP29" s="1" t="s">
        <v>669</v>
      </c>
      <c r="AQ29" s="1" t="s">
        <v>684</v>
      </c>
      <c r="AR29" s="1">
        <v>1</v>
      </c>
      <c r="AS29" s="1">
        <v>1</v>
      </c>
      <c r="AT29" s="1" t="s">
        <v>671</v>
      </c>
      <c r="AU29" s="1" t="s">
        <v>696</v>
      </c>
      <c r="AV29" s="1">
        <v>1</v>
      </c>
      <c r="AW29" s="1">
        <v>1</v>
      </c>
      <c r="AX29" s="1" t="s">
        <v>685</v>
      </c>
      <c r="AY29" s="1" t="s">
        <v>686</v>
      </c>
      <c r="AZ29" s="1">
        <v>1</v>
      </c>
      <c r="BA29" s="1">
        <v>1</v>
      </c>
      <c r="BB29" s="1" t="s">
        <v>759</v>
      </c>
      <c r="BC29" s="1">
        <v>0</v>
      </c>
      <c r="BF29" s="1">
        <v>229</v>
      </c>
      <c r="BG29" s="1">
        <v>96</v>
      </c>
      <c r="BH29" s="1">
        <v>216</v>
      </c>
      <c r="BM29" s="1" t="s">
        <v>754</v>
      </c>
      <c r="BQ29" s="1" t="s">
        <v>678</v>
      </c>
      <c r="BR29" s="1" t="s">
        <v>679</v>
      </c>
      <c r="BS29" s="1" t="s">
        <v>678</v>
      </c>
      <c r="BT29" s="1" t="s">
        <v>679</v>
      </c>
      <c r="BU29" s="1" t="s">
        <v>679</v>
      </c>
      <c r="CB29" s="1" t="s">
        <v>4</v>
      </c>
      <c r="CC29" s="1" t="s">
        <v>14</v>
      </c>
      <c r="CD29" s="1">
        <v>1</v>
      </c>
      <c r="CE29" s="1">
        <v>1</v>
      </c>
    </row>
    <row r="30" spans="1:83" ht="302.39999999999998" x14ac:dyDescent="0.3">
      <c r="A30" s="1">
        <v>843</v>
      </c>
      <c r="B30" s="1" t="s">
        <v>661</v>
      </c>
      <c r="C30" s="1" t="s">
        <v>51</v>
      </c>
      <c r="E30" s="1" t="s">
        <v>774</v>
      </c>
      <c r="F30" s="1">
        <v>1</v>
      </c>
      <c r="G30" s="1">
        <v>0</v>
      </c>
      <c r="H30" s="1" t="s">
        <v>662</v>
      </c>
      <c r="I30" s="1" t="s">
        <v>775</v>
      </c>
      <c r="J30" s="1" t="s">
        <v>776</v>
      </c>
      <c r="M30" s="1" t="s">
        <v>665</v>
      </c>
      <c r="O30" s="1">
        <v>1</v>
      </c>
      <c r="R30" s="1">
        <v>0</v>
      </c>
      <c r="S30" s="1">
        <v>0</v>
      </c>
      <c r="X30" s="1">
        <v>1</v>
      </c>
      <c r="AA30" s="1">
        <v>17.989999999999998</v>
      </c>
      <c r="AB30" s="1" t="s">
        <v>739</v>
      </c>
      <c r="AC30" s="1" t="s">
        <v>777</v>
      </c>
      <c r="AE30" s="1" t="s">
        <v>778</v>
      </c>
      <c r="AN30" s="1">
        <v>0</v>
      </c>
      <c r="AP30" s="1" t="s">
        <v>669</v>
      </c>
      <c r="AQ30" s="1" t="s">
        <v>684</v>
      </c>
      <c r="AR30" s="1">
        <v>1</v>
      </c>
      <c r="AS30" s="1">
        <v>1</v>
      </c>
      <c r="AT30" s="1" t="s">
        <v>671</v>
      </c>
      <c r="AU30" s="1" t="s">
        <v>672</v>
      </c>
      <c r="AV30" s="1">
        <v>1</v>
      </c>
      <c r="AW30" s="1">
        <v>1</v>
      </c>
      <c r="AX30" s="1" t="s">
        <v>685</v>
      </c>
      <c r="AY30" s="1" t="s">
        <v>41</v>
      </c>
      <c r="AZ30" s="1">
        <v>1</v>
      </c>
      <c r="BA30" s="1">
        <v>1</v>
      </c>
      <c r="BB30" s="1" t="s">
        <v>779</v>
      </c>
      <c r="BC30" s="1">
        <v>0</v>
      </c>
      <c r="BF30" s="1">
        <v>220</v>
      </c>
      <c r="BG30" s="1">
        <v>87</v>
      </c>
      <c r="BH30" s="1">
        <v>210</v>
      </c>
      <c r="BM30" s="1" t="s">
        <v>780</v>
      </c>
      <c r="BQ30" s="1" t="s">
        <v>678</v>
      </c>
      <c r="BR30" s="1" t="s">
        <v>679</v>
      </c>
      <c r="BS30" s="1" t="s">
        <v>678</v>
      </c>
      <c r="BT30" s="1" t="s">
        <v>679</v>
      </c>
      <c r="BU30" s="1" t="s">
        <v>679</v>
      </c>
      <c r="CB30" s="1" t="s">
        <v>4</v>
      </c>
      <c r="CC30" s="1" t="s">
        <v>14</v>
      </c>
      <c r="CD30" s="1">
        <v>1</v>
      </c>
      <c r="CE30" s="1">
        <v>1</v>
      </c>
    </row>
    <row r="31" spans="1:83" ht="259.2" x14ac:dyDescent="0.3">
      <c r="A31" s="1">
        <v>847</v>
      </c>
      <c r="B31" s="1" t="s">
        <v>661</v>
      </c>
      <c r="C31" s="1" t="s">
        <v>54</v>
      </c>
      <c r="E31" s="1" t="s">
        <v>781</v>
      </c>
      <c r="F31" s="1">
        <v>1</v>
      </c>
      <c r="G31" s="1">
        <v>0</v>
      </c>
      <c r="H31" s="1" t="s">
        <v>662</v>
      </c>
      <c r="I31" s="1" t="s">
        <v>782</v>
      </c>
      <c r="J31" s="1" t="s">
        <v>783</v>
      </c>
      <c r="M31" s="1" t="s">
        <v>665</v>
      </c>
      <c r="O31" s="1">
        <v>1</v>
      </c>
      <c r="R31" s="1">
        <v>0</v>
      </c>
      <c r="S31" s="1">
        <v>0</v>
      </c>
      <c r="X31" s="1">
        <v>1</v>
      </c>
      <c r="AA31" s="1">
        <v>17.989999999999998</v>
      </c>
      <c r="AB31" s="1" t="s">
        <v>739</v>
      </c>
      <c r="AC31" s="1" t="s">
        <v>777</v>
      </c>
      <c r="AE31" s="1" t="s">
        <v>784</v>
      </c>
      <c r="AN31" s="1">
        <v>0</v>
      </c>
      <c r="AP31" s="1" t="s">
        <v>669</v>
      </c>
      <c r="AQ31" s="1" t="s">
        <v>684</v>
      </c>
      <c r="AR31" s="1">
        <v>1</v>
      </c>
      <c r="AS31" s="1">
        <v>1</v>
      </c>
      <c r="AT31" s="1" t="s">
        <v>671</v>
      </c>
      <c r="AU31" s="1" t="s">
        <v>728</v>
      </c>
      <c r="AV31" s="1">
        <v>1</v>
      </c>
      <c r="AW31" s="1">
        <v>1</v>
      </c>
      <c r="AX31" s="1" t="s">
        <v>685</v>
      </c>
      <c r="AY31" s="1" t="s">
        <v>41</v>
      </c>
      <c r="AZ31" s="1">
        <v>1</v>
      </c>
      <c r="BA31" s="1">
        <v>1</v>
      </c>
      <c r="BB31" s="1" t="s">
        <v>779</v>
      </c>
      <c r="BC31" s="1">
        <v>0</v>
      </c>
      <c r="BF31" s="1">
        <v>226</v>
      </c>
      <c r="BG31" s="1">
        <v>90</v>
      </c>
      <c r="BH31" s="1">
        <v>215</v>
      </c>
      <c r="BM31" s="1" t="s">
        <v>780</v>
      </c>
      <c r="BQ31" s="1" t="s">
        <v>678</v>
      </c>
      <c r="BR31" s="1" t="s">
        <v>679</v>
      </c>
      <c r="BS31" s="1" t="s">
        <v>678</v>
      </c>
      <c r="BT31" s="1" t="s">
        <v>679</v>
      </c>
      <c r="BU31" s="1" t="s">
        <v>679</v>
      </c>
      <c r="CB31" s="1" t="s">
        <v>4</v>
      </c>
      <c r="CC31" s="1" t="s">
        <v>14</v>
      </c>
      <c r="CD31" s="1">
        <v>1</v>
      </c>
      <c r="CE31" s="1">
        <v>1</v>
      </c>
    </row>
    <row r="32" spans="1:83" ht="259.2" x14ac:dyDescent="0.3">
      <c r="A32" s="1">
        <v>849</v>
      </c>
      <c r="B32" s="1" t="s">
        <v>661</v>
      </c>
      <c r="C32" s="1" t="s">
        <v>55</v>
      </c>
      <c r="E32" s="1" t="s">
        <v>785</v>
      </c>
      <c r="F32" s="1">
        <v>1</v>
      </c>
      <c r="G32" s="1">
        <v>0</v>
      </c>
      <c r="H32" s="1" t="s">
        <v>662</v>
      </c>
      <c r="I32" s="1" t="s">
        <v>775</v>
      </c>
      <c r="J32" s="1" t="s">
        <v>783</v>
      </c>
      <c r="M32" s="1" t="s">
        <v>665</v>
      </c>
      <c r="O32" s="1">
        <v>1</v>
      </c>
      <c r="R32" s="1">
        <v>0</v>
      </c>
      <c r="S32" s="1">
        <v>0</v>
      </c>
      <c r="X32" s="1">
        <v>1</v>
      </c>
      <c r="AA32" s="1">
        <v>17.989999999999998</v>
      </c>
      <c r="AB32" s="1" t="s">
        <v>739</v>
      </c>
      <c r="AC32" s="1" t="s">
        <v>777</v>
      </c>
      <c r="AE32" s="1" t="s">
        <v>786</v>
      </c>
      <c r="AN32" s="1">
        <v>0</v>
      </c>
      <c r="AP32" s="1" t="s">
        <v>669</v>
      </c>
      <c r="AQ32" s="1" t="s">
        <v>684</v>
      </c>
      <c r="AR32" s="1">
        <v>1</v>
      </c>
      <c r="AS32" s="1">
        <v>1</v>
      </c>
      <c r="AT32" s="1" t="s">
        <v>671</v>
      </c>
      <c r="AU32" s="1" t="s">
        <v>696</v>
      </c>
      <c r="AV32" s="1">
        <v>1</v>
      </c>
      <c r="AW32" s="1">
        <v>1</v>
      </c>
      <c r="AX32" s="1" t="s">
        <v>685</v>
      </c>
      <c r="AY32" s="1" t="s">
        <v>41</v>
      </c>
      <c r="AZ32" s="1">
        <v>1</v>
      </c>
      <c r="BA32" s="1">
        <v>1</v>
      </c>
      <c r="BB32" s="1" t="s">
        <v>779</v>
      </c>
      <c r="BC32" s="1">
        <v>0</v>
      </c>
      <c r="BF32" s="1">
        <v>218</v>
      </c>
      <c r="BG32" s="1">
        <v>86</v>
      </c>
      <c r="BH32" s="1">
        <v>208</v>
      </c>
      <c r="BM32" s="1" t="s">
        <v>780</v>
      </c>
      <c r="BQ32" s="1" t="s">
        <v>678</v>
      </c>
      <c r="BR32" s="1" t="s">
        <v>679</v>
      </c>
      <c r="BS32" s="1" t="s">
        <v>678</v>
      </c>
      <c r="BT32" s="1" t="s">
        <v>679</v>
      </c>
      <c r="BU32" s="1" t="s">
        <v>679</v>
      </c>
      <c r="CB32" s="1" t="s">
        <v>4</v>
      </c>
      <c r="CC32" s="1" t="s">
        <v>14</v>
      </c>
      <c r="CD32" s="1">
        <v>1</v>
      </c>
      <c r="CE32" s="1">
        <v>1</v>
      </c>
    </row>
    <row r="33" spans="1:83" ht="302.39999999999998" x14ac:dyDescent="0.3">
      <c r="A33" s="1">
        <v>851</v>
      </c>
      <c r="B33" s="1" t="s">
        <v>661</v>
      </c>
      <c r="C33" s="1" t="s">
        <v>56</v>
      </c>
      <c r="E33" s="1" t="s">
        <v>787</v>
      </c>
      <c r="F33" s="1">
        <v>1</v>
      </c>
      <c r="G33" s="1">
        <v>0</v>
      </c>
      <c r="H33" s="1" t="s">
        <v>662</v>
      </c>
      <c r="I33" s="1" t="s">
        <v>775</v>
      </c>
      <c r="J33" s="1" t="s">
        <v>776</v>
      </c>
      <c r="M33" s="1" t="s">
        <v>665</v>
      </c>
      <c r="O33" s="1">
        <v>1</v>
      </c>
      <c r="R33" s="1">
        <v>0</v>
      </c>
      <c r="S33" s="1">
        <v>0</v>
      </c>
      <c r="X33" s="1">
        <v>1</v>
      </c>
      <c r="AA33" s="1">
        <v>17.989999999999998</v>
      </c>
      <c r="AB33" s="1" t="s">
        <v>739</v>
      </c>
      <c r="AC33" s="1" t="s">
        <v>777</v>
      </c>
      <c r="AE33" s="1" t="s">
        <v>788</v>
      </c>
      <c r="AN33" s="1">
        <v>0</v>
      </c>
      <c r="AP33" s="1" t="s">
        <v>669</v>
      </c>
      <c r="AQ33" s="1" t="s">
        <v>684</v>
      </c>
      <c r="AR33" s="1">
        <v>1</v>
      </c>
      <c r="AS33" s="1">
        <v>1</v>
      </c>
      <c r="AT33" s="1" t="s">
        <v>671</v>
      </c>
      <c r="AU33" s="1" t="s">
        <v>789</v>
      </c>
      <c r="AV33" s="1">
        <v>1</v>
      </c>
      <c r="AW33" s="1">
        <v>1</v>
      </c>
      <c r="AX33" s="1" t="s">
        <v>685</v>
      </c>
      <c r="AY33" s="1" t="s">
        <v>41</v>
      </c>
      <c r="AZ33" s="1">
        <v>1</v>
      </c>
      <c r="BA33" s="1">
        <v>1</v>
      </c>
      <c r="BB33" s="1" t="s">
        <v>779</v>
      </c>
      <c r="BC33" s="1">
        <v>0</v>
      </c>
      <c r="BF33" s="1">
        <v>228</v>
      </c>
      <c r="BG33" s="1">
        <v>90</v>
      </c>
      <c r="BH33" s="1">
        <v>216</v>
      </c>
      <c r="BM33" s="1" t="s">
        <v>780</v>
      </c>
      <c r="BQ33" s="1" t="s">
        <v>678</v>
      </c>
      <c r="BR33" s="1" t="s">
        <v>679</v>
      </c>
      <c r="BS33" s="1" t="s">
        <v>678</v>
      </c>
      <c r="BT33" s="1" t="s">
        <v>679</v>
      </c>
      <c r="BU33" s="1" t="s">
        <v>679</v>
      </c>
      <c r="CB33" s="1" t="s">
        <v>4</v>
      </c>
      <c r="CC33" s="1" t="s">
        <v>14</v>
      </c>
      <c r="CD33" s="1">
        <v>1</v>
      </c>
      <c r="CE33" s="1">
        <v>1</v>
      </c>
    </row>
    <row r="34" spans="1:83" ht="259.2" x14ac:dyDescent="0.3">
      <c r="A34" s="1">
        <v>853</v>
      </c>
      <c r="B34" s="1" t="s">
        <v>661</v>
      </c>
      <c r="C34" s="1" t="s">
        <v>57</v>
      </c>
      <c r="E34" s="1" t="s">
        <v>790</v>
      </c>
      <c r="F34" s="1">
        <v>1</v>
      </c>
      <c r="G34" s="1">
        <v>0</v>
      </c>
      <c r="H34" s="1" t="s">
        <v>662</v>
      </c>
      <c r="I34" s="1" t="s">
        <v>775</v>
      </c>
      <c r="J34" s="1" t="s">
        <v>783</v>
      </c>
      <c r="M34" s="1" t="s">
        <v>665</v>
      </c>
      <c r="O34" s="1">
        <v>1</v>
      </c>
      <c r="R34" s="1">
        <v>0</v>
      </c>
      <c r="S34" s="1">
        <v>0</v>
      </c>
      <c r="X34" s="1">
        <v>1</v>
      </c>
      <c r="AA34" s="1">
        <v>17.989999999999998</v>
      </c>
      <c r="AB34" s="1" t="s">
        <v>739</v>
      </c>
      <c r="AC34" s="1" t="s">
        <v>777</v>
      </c>
      <c r="AE34" s="1" t="s">
        <v>791</v>
      </c>
      <c r="AN34" s="1">
        <v>0</v>
      </c>
      <c r="AP34" s="1" t="s">
        <v>669</v>
      </c>
      <c r="AQ34" s="1" t="s">
        <v>684</v>
      </c>
      <c r="AR34" s="1">
        <v>1</v>
      </c>
      <c r="AS34" s="1">
        <v>1</v>
      </c>
      <c r="AT34" s="1" t="s">
        <v>671</v>
      </c>
      <c r="AU34" s="1" t="s">
        <v>792</v>
      </c>
      <c r="AV34" s="1">
        <v>1</v>
      </c>
      <c r="AW34" s="1">
        <v>1</v>
      </c>
      <c r="AX34" s="1" t="s">
        <v>685</v>
      </c>
      <c r="AY34" s="1" t="s">
        <v>41</v>
      </c>
      <c r="AZ34" s="1">
        <v>1</v>
      </c>
      <c r="BA34" s="1">
        <v>1</v>
      </c>
      <c r="BB34" s="1" t="s">
        <v>779</v>
      </c>
      <c r="BC34" s="1">
        <v>0</v>
      </c>
      <c r="BF34" s="1">
        <v>228</v>
      </c>
      <c r="BG34" s="1">
        <v>94</v>
      </c>
      <c r="BH34" s="1">
        <v>216</v>
      </c>
      <c r="BM34" s="1" t="s">
        <v>780</v>
      </c>
      <c r="BQ34" s="1" t="s">
        <v>678</v>
      </c>
      <c r="BR34" s="1" t="s">
        <v>679</v>
      </c>
      <c r="BS34" s="1" t="s">
        <v>678</v>
      </c>
      <c r="BT34" s="1" t="s">
        <v>679</v>
      </c>
      <c r="BU34" s="1" t="s">
        <v>679</v>
      </c>
      <c r="CB34" s="1" t="s">
        <v>4</v>
      </c>
      <c r="CC34" s="1" t="s">
        <v>14</v>
      </c>
      <c r="CD34" s="1">
        <v>1</v>
      </c>
      <c r="CE34" s="1">
        <v>1</v>
      </c>
    </row>
    <row r="35" spans="1:83" ht="244.8" x14ac:dyDescent="0.3">
      <c r="A35" s="1">
        <v>855</v>
      </c>
      <c r="B35" s="1" t="s">
        <v>661</v>
      </c>
      <c r="C35" s="1" t="s">
        <v>58</v>
      </c>
      <c r="E35" s="1" t="s">
        <v>793</v>
      </c>
      <c r="F35" s="1">
        <v>1</v>
      </c>
      <c r="G35" s="1">
        <v>0</v>
      </c>
      <c r="H35" s="1" t="s">
        <v>662</v>
      </c>
      <c r="I35" s="1" t="s">
        <v>775</v>
      </c>
      <c r="J35" s="1" t="s">
        <v>794</v>
      </c>
      <c r="M35" s="1" t="s">
        <v>665</v>
      </c>
      <c r="O35" s="1">
        <v>1</v>
      </c>
      <c r="R35" s="1">
        <v>0</v>
      </c>
      <c r="S35" s="1">
        <v>0</v>
      </c>
      <c r="X35" s="1">
        <v>1</v>
      </c>
      <c r="AA35" s="1">
        <v>17.989999999999998</v>
      </c>
      <c r="AB35" s="1" t="s">
        <v>739</v>
      </c>
      <c r="AC35" s="1" t="s">
        <v>777</v>
      </c>
      <c r="AE35" s="1" t="s">
        <v>795</v>
      </c>
      <c r="AN35" s="1">
        <v>0</v>
      </c>
      <c r="AP35" s="1" t="s">
        <v>669</v>
      </c>
      <c r="AQ35" s="1" t="s">
        <v>684</v>
      </c>
      <c r="AR35" s="1">
        <v>1</v>
      </c>
      <c r="AS35" s="1">
        <v>1</v>
      </c>
      <c r="AT35" s="1" t="s">
        <v>671</v>
      </c>
      <c r="AU35" s="1" t="s">
        <v>796</v>
      </c>
      <c r="AV35" s="1">
        <v>1</v>
      </c>
      <c r="AW35" s="1">
        <v>1</v>
      </c>
      <c r="AX35" s="1" t="s">
        <v>685</v>
      </c>
      <c r="AY35" s="1" t="s">
        <v>41</v>
      </c>
      <c r="AZ35" s="1">
        <v>1</v>
      </c>
      <c r="BA35" s="1">
        <v>1</v>
      </c>
      <c r="BB35" s="1" t="s">
        <v>779</v>
      </c>
      <c r="BC35" s="1">
        <v>0</v>
      </c>
      <c r="BF35" s="1">
        <v>224</v>
      </c>
      <c r="BG35" s="1">
        <v>88</v>
      </c>
      <c r="BH35" s="1">
        <v>212</v>
      </c>
      <c r="BM35" s="1" t="s">
        <v>780</v>
      </c>
      <c r="BQ35" s="1" t="s">
        <v>678</v>
      </c>
      <c r="BR35" s="1" t="s">
        <v>679</v>
      </c>
      <c r="BS35" s="1" t="s">
        <v>678</v>
      </c>
      <c r="BT35" s="1" t="s">
        <v>679</v>
      </c>
      <c r="BU35" s="1" t="s">
        <v>679</v>
      </c>
      <c r="CB35" s="1" t="s">
        <v>4</v>
      </c>
      <c r="CC35" s="1" t="s">
        <v>14</v>
      </c>
      <c r="CD35" s="1">
        <v>1</v>
      </c>
      <c r="CE35" s="1">
        <v>1</v>
      </c>
    </row>
    <row r="36" spans="1:83" ht="273.60000000000002" x14ac:dyDescent="0.3">
      <c r="A36" s="1">
        <v>857</v>
      </c>
      <c r="B36" s="1" t="s">
        <v>661</v>
      </c>
      <c r="C36" s="1" t="s">
        <v>59</v>
      </c>
      <c r="E36" s="1" t="s">
        <v>797</v>
      </c>
      <c r="F36" s="1">
        <v>1</v>
      </c>
      <c r="G36" s="1">
        <v>0</v>
      </c>
      <c r="H36" s="1" t="s">
        <v>662</v>
      </c>
      <c r="I36" s="1" t="s">
        <v>798</v>
      </c>
      <c r="J36" s="1" t="s">
        <v>799</v>
      </c>
      <c r="M36" s="1" t="s">
        <v>665</v>
      </c>
      <c r="O36" s="1">
        <v>1</v>
      </c>
      <c r="R36" s="1">
        <v>0</v>
      </c>
      <c r="S36" s="1">
        <v>0</v>
      </c>
      <c r="X36" s="1">
        <v>1</v>
      </c>
      <c r="AA36" s="1">
        <v>13.5</v>
      </c>
      <c r="AB36" s="1" t="s">
        <v>800</v>
      </c>
      <c r="AC36" s="1" t="s">
        <v>801</v>
      </c>
      <c r="AE36" s="1" t="s">
        <v>802</v>
      </c>
      <c r="AN36" s="1">
        <v>0</v>
      </c>
      <c r="AP36" s="1" t="s">
        <v>669</v>
      </c>
      <c r="AQ36" s="1" t="s">
        <v>684</v>
      </c>
      <c r="AR36" s="1">
        <v>1</v>
      </c>
      <c r="AS36" s="1">
        <v>1</v>
      </c>
      <c r="AT36" s="1" t="s">
        <v>671</v>
      </c>
      <c r="AU36" s="1" t="s">
        <v>672</v>
      </c>
      <c r="AV36" s="1">
        <v>1</v>
      </c>
      <c r="AW36" s="1">
        <v>1</v>
      </c>
      <c r="AX36" s="1" t="s">
        <v>685</v>
      </c>
      <c r="AY36" s="1" t="s">
        <v>686</v>
      </c>
      <c r="AZ36" s="1">
        <v>1</v>
      </c>
      <c r="BA36" s="1">
        <v>1</v>
      </c>
      <c r="BB36" s="1" t="s">
        <v>803</v>
      </c>
      <c r="BC36" s="1">
        <v>0</v>
      </c>
      <c r="BF36" s="1">
        <v>232</v>
      </c>
      <c r="BG36" s="1">
        <v>97</v>
      </c>
      <c r="BH36" s="1">
        <v>218</v>
      </c>
      <c r="BM36" s="1" t="s">
        <v>804</v>
      </c>
      <c r="BQ36" s="1" t="s">
        <v>678</v>
      </c>
      <c r="BR36" s="1" t="s">
        <v>679</v>
      </c>
      <c r="BS36" s="1" t="s">
        <v>678</v>
      </c>
      <c r="BT36" s="1" t="s">
        <v>679</v>
      </c>
      <c r="BU36" s="1" t="s">
        <v>679</v>
      </c>
      <c r="CB36" s="1" t="s">
        <v>4</v>
      </c>
      <c r="CC36" s="1" t="s">
        <v>14</v>
      </c>
      <c r="CD36" s="1">
        <v>1</v>
      </c>
      <c r="CE36" s="1">
        <v>1</v>
      </c>
    </row>
    <row r="37" spans="1:83" ht="273.60000000000002" x14ac:dyDescent="0.3">
      <c r="A37" s="1">
        <v>860</v>
      </c>
      <c r="B37" s="1" t="s">
        <v>661</v>
      </c>
      <c r="C37" s="1" t="s">
        <v>62</v>
      </c>
      <c r="E37" s="1" t="s">
        <v>805</v>
      </c>
      <c r="F37" s="1">
        <v>1</v>
      </c>
      <c r="G37" s="1">
        <v>0</v>
      </c>
      <c r="H37" s="1" t="s">
        <v>662</v>
      </c>
      <c r="I37" s="1" t="s">
        <v>798</v>
      </c>
      <c r="J37" s="1" t="s">
        <v>799</v>
      </c>
      <c r="M37" s="1" t="s">
        <v>665</v>
      </c>
      <c r="O37" s="1">
        <v>1</v>
      </c>
      <c r="R37" s="1">
        <v>0</v>
      </c>
      <c r="S37" s="1">
        <v>0</v>
      </c>
      <c r="X37" s="1">
        <v>1</v>
      </c>
      <c r="AA37" s="1">
        <v>13.5</v>
      </c>
      <c r="AB37" s="1" t="s">
        <v>800</v>
      </c>
      <c r="AC37" s="1" t="s">
        <v>801</v>
      </c>
      <c r="AE37" s="1" t="s">
        <v>806</v>
      </c>
      <c r="AN37" s="1">
        <v>0</v>
      </c>
      <c r="AP37" s="1" t="s">
        <v>669</v>
      </c>
      <c r="AQ37" s="1" t="s">
        <v>684</v>
      </c>
      <c r="AR37" s="1">
        <v>1</v>
      </c>
      <c r="AS37" s="1">
        <v>1</v>
      </c>
      <c r="AT37" s="1" t="s">
        <v>671</v>
      </c>
      <c r="AU37" s="1" t="s">
        <v>728</v>
      </c>
      <c r="AV37" s="1">
        <v>1</v>
      </c>
      <c r="AW37" s="1">
        <v>1</v>
      </c>
      <c r="AX37" s="1" t="s">
        <v>685</v>
      </c>
      <c r="AY37" s="1" t="s">
        <v>686</v>
      </c>
      <c r="AZ37" s="1">
        <v>1</v>
      </c>
      <c r="BA37" s="1">
        <v>1</v>
      </c>
      <c r="BB37" s="1" t="s">
        <v>803</v>
      </c>
      <c r="BC37" s="1">
        <v>0</v>
      </c>
      <c r="BF37" s="1">
        <v>232</v>
      </c>
      <c r="BG37" s="1">
        <v>96</v>
      </c>
      <c r="BH37" s="1">
        <v>220</v>
      </c>
      <c r="BM37" s="1" t="s">
        <v>804</v>
      </c>
      <c r="BQ37" s="1" t="s">
        <v>678</v>
      </c>
      <c r="BR37" s="1" t="s">
        <v>679</v>
      </c>
      <c r="BS37" s="1" t="s">
        <v>678</v>
      </c>
      <c r="BT37" s="1" t="s">
        <v>679</v>
      </c>
      <c r="BU37" s="1" t="s">
        <v>679</v>
      </c>
      <c r="CB37" s="1" t="s">
        <v>4</v>
      </c>
      <c r="CC37" s="1" t="s">
        <v>14</v>
      </c>
      <c r="CD37" s="1">
        <v>1</v>
      </c>
      <c r="CE37" s="1">
        <v>1</v>
      </c>
    </row>
    <row r="38" spans="1:83" ht="273.60000000000002" x14ac:dyDescent="0.3">
      <c r="A38" s="1">
        <v>861</v>
      </c>
      <c r="B38" s="1" t="s">
        <v>661</v>
      </c>
      <c r="C38" s="1" t="s">
        <v>63</v>
      </c>
      <c r="E38" s="1" t="s">
        <v>807</v>
      </c>
      <c r="F38" s="1">
        <v>1</v>
      </c>
      <c r="G38" s="1">
        <v>0</v>
      </c>
      <c r="H38" s="1" t="s">
        <v>662</v>
      </c>
      <c r="I38" s="1" t="s">
        <v>798</v>
      </c>
      <c r="J38" s="1" t="s">
        <v>799</v>
      </c>
      <c r="M38" s="1" t="s">
        <v>665</v>
      </c>
      <c r="O38" s="1">
        <v>1</v>
      </c>
      <c r="R38" s="1">
        <v>0</v>
      </c>
      <c r="S38" s="1">
        <v>0</v>
      </c>
      <c r="X38" s="1">
        <v>1</v>
      </c>
      <c r="AA38" s="1">
        <v>13.5</v>
      </c>
      <c r="AB38" s="1" t="s">
        <v>800</v>
      </c>
      <c r="AC38" s="1" t="s">
        <v>801</v>
      </c>
      <c r="AE38" s="1" t="s">
        <v>808</v>
      </c>
      <c r="AN38" s="1">
        <v>0</v>
      </c>
      <c r="AP38" s="1" t="s">
        <v>669</v>
      </c>
      <c r="AQ38" s="1" t="s">
        <v>684</v>
      </c>
      <c r="AR38" s="1">
        <v>1</v>
      </c>
      <c r="AS38" s="1">
        <v>1</v>
      </c>
      <c r="AT38" s="1" t="s">
        <v>671</v>
      </c>
      <c r="AU38" s="1" t="s">
        <v>696</v>
      </c>
      <c r="AV38" s="1">
        <v>1</v>
      </c>
      <c r="AW38" s="1">
        <v>1</v>
      </c>
      <c r="AX38" s="1" t="s">
        <v>685</v>
      </c>
      <c r="AY38" s="1" t="s">
        <v>686</v>
      </c>
      <c r="AZ38" s="1">
        <v>1</v>
      </c>
      <c r="BA38" s="1">
        <v>1</v>
      </c>
      <c r="BB38" s="1" t="s">
        <v>803</v>
      </c>
      <c r="BC38" s="1">
        <v>0</v>
      </c>
      <c r="BF38" s="1">
        <v>220</v>
      </c>
      <c r="BG38" s="1">
        <v>87</v>
      </c>
      <c r="BH38" s="1">
        <v>208</v>
      </c>
      <c r="BM38" s="1" t="s">
        <v>804</v>
      </c>
      <c r="BQ38" s="1" t="s">
        <v>678</v>
      </c>
      <c r="BR38" s="1" t="s">
        <v>679</v>
      </c>
      <c r="BS38" s="1" t="s">
        <v>678</v>
      </c>
      <c r="BT38" s="1" t="s">
        <v>679</v>
      </c>
      <c r="BU38" s="1" t="s">
        <v>679</v>
      </c>
      <c r="CB38" s="1" t="s">
        <v>4</v>
      </c>
      <c r="CC38" s="1" t="s">
        <v>14</v>
      </c>
      <c r="CD38" s="1">
        <v>1</v>
      </c>
      <c r="CE38" s="1">
        <v>1</v>
      </c>
    </row>
    <row r="39" spans="1:83" ht="273.60000000000002" x14ac:dyDescent="0.3">
      <c r="A39" s="1">
        <v>868</v>
      </c>
      <c r="B39" s="1" t="s">
        <v>661</v>
      </c>
      <c r="C39" s="1" t="s">
        <v>64</v>
      </c>
      <c r="E39" s="1" t="s">
        <v>809</v>
      </c>
      <c r="F39" s="1">
        <v>1</v>
      </c>
      <c r="G39" s="1">
        <v>0</v>
      </c>
      <c r="H39" s="1" t="s">
        <v>662</v>
      </c>
      <c r="I39" s="1" t="s">
        <v>798</v>
      </c>
      <c r="J39" s="1" t="s">
        <v>799</v>
      </c>
      <c r="M39" s="1" t="s">
        <v>665</v>
      </c>
      <c r="O39" s="1">
        <v>1</v>
      </c>
      <c r="R39" s="1">
        <v>0</v>
      </c>
      <c r="S39" s="1">
        <v>0</v>
      </c>
      <c r="X39" s="1">
        <v>1</v>
      </c>
      <c r="AA39" s="1">
        <v>13.5</v>
      </c>
      <c r="AB39" s="1" t="s">
        <v>800</v>
      </c>
      <c r="AC39" s="1" t="s">
        <v>801</v>
      </c>
      <c r="AE39" s="1" t="s">
        <v>810</v>
      </c>
      <c r="AN39" s="1">
        <v>0</v>
      </c>
      <c r="AP39" s="1" t="s">
        <v>669</v>
      </c>
      <c r="AQ39" s="1" t="s">
        <v>684</v>
      </c>
      <c r="AR39" s="1">
        <v>1</v>
      </c>
      <c r="AS39" s="1">
        <v>1</v>
      </c>
      <c r="AT39" s="1" t="s">
        <v>671</v>
      </c>
      <c r="AU39" s="1" t="s">
        <v>789</v>
      </c>
      <c r="AV39" s="1">
        <v>1</v>
      </c>
      <c r="AW39" s="1">
        <v>1</v>
      </c>
      <c r="AX39" s="1" t="s">
        <v>685</v>
      </c>
      <c r="AY39" s="1" t="s">
        <v>686</v>
      </c>
      <c r="AZ39" s="1">
        <v>1</v>
      </c>
      <c r="BA39" s="1">
        <v>1</v>
      </c>
      <c r="BB39" s="1" t="s">
        <v>803</v>
      </c>
      <c r="BC39" s="1">
        <v>0</v>
      </c>
      <c r="BF39" s="1">
        <v>220</v>
      </c>
      <c r="BG39" s="1">
        <v>88</v>
      </c>
      <c r="BH39" s="1">
        <v>210</v>
      </c>
      <c r="BM39" s="1" t="s">
        <v>804</v>
      </c>
      <c r="BQ39" s="1" t="s">
        <v>678</v>
      </c>
      <c r="BR39" s="1" t="s">
        <v>679</v>
      </c>
      <c r="BS39" s="1" t="s">
        <v>678</v>
      </c>
      <c r="BT39" s="1" t="s">
        <v>679</v>
      </c>
      <c r="BU39" s="1" t="s">
        <v>679</v>
      </c>
      <c r="CB39" s="1" t="s">
        <v>4</v>
      </c>
      <c r="CC39" s="1" t="s">
        <v>14</v>
      </c>
      <c r="CD39" s="1">
        <v>1</v>
      </c>
      <c r="CE39" s="1">
        <v>1</v>
      </c>
    </row>
    <row r="40" spans="1:83" ht="273.60000000000002" x14ac:dyDescent="0.3">
      <c r="A40" s="1">
        <v>869</v>
      </c>
      <c r="B40" s="1" t="s">
        <v>661</v>
      </c>
      <c r="C40" s="1" t="s">
        <v>65</v>
      </c>
      <c r="E40" s="1" t="s">
        <v>811</v>
      </c>
      <c r="F40" s="1">
        <v>1</v>
      </c>
      <c r="G40" s="1">
        <v>0</v>
      </c>
      <c r="H40" s="1" t="s">
        <v>662</v>
      </c>
      <c r="I40" s="1" t="s">
        <v>798</v>
      </c>
      <c r="J40" s="1" t="s">
        <v>799</v>
      </c>
      <c r="M40" s="1" t="s">
        <v>665</v>
      </c>
      <c r="O40" s="1">
        <v>1</v>
      </c>
      <c r="R40" s="1">
        <v>0</v>
      </c>
      <c r="S40" s="1">
        <v>0</v>
      </c>
      <c r="X40" s="1">
        <v>1</v>
      </c>
      <c r="AA40" s="1">
        <v>13.5</v>
      </c>
      <c r="AB40" s="1" t="s">
        <v>800</v>
      </c>
      <c r="AC40" s="1" t="s">
        <v>801</v>
      </c>
      <c r="AE40" s="1" t="s">
        <v>812</v>
      </c>
      <c r="AN40" s="1">
        <v>0</v>
      </c>
      <c r="AP40" s="1" t="s">
        <v>669</v>
      </c>
      <c r="AQ40" s="1" t="s">
        <v>684</v>
      </c>
      <c r="AR40" s="1">
        <v>1</v>
      </c>
      <c r="AS40" s="1">
        <v>1</v>
      </c>
      <c r="AT40" s="1" t="s">
        <v>671</v>
      </c>
      <c r="AU40" s="1" t="s">
        <v>792</v>
      </c>
      <c r="AV40" s="1">
        <v>1</v>
      </c>
      <c r="AW40" s="1">
        <v>1</v>
      </c>
      <c r="AX40" s="1" t="s">
        <v>685</v>
      </c>
      <c r="AY40" s="1" t="s">
        <v>686</v>
      </c>
      <c r="AZ40" s="1">
        <v>1</v>
      </c>
      <c r="BA40" s="1">
        <v>1</v>
      </c>
      <c r="BB40" s="1" t="s">
        <v>803</v>
      </c>
      <c r="BC40" s="1">
        <v>0</v>
      </c>
      <c r="BF40" s="1">
        <v>230</v>
      </c>
      <c r="BG40" s="1">
        <v>97</v>
      </c>
      <c r="BH40" s="1">
        <v>219</v>
      </c>
      <c r="BM40" s="1" t="s">
        <v>804</v>
      </c>
      <c r="BQ40" s="1" t="s">
        <v>678</v>
      </c>
      <c r="BR40" s="1" t="s">
        <v>679</v>
      </c>
      <c r="BS40" s="1" t="s">
        <v>678</v>
      </c>
      <c r="BT40" s="1" t="s">
        <v>679</v>
      </c>
      <c r="BU40" s="1" t="s">
        <v>679</v>
      </c>
      <c r="CB40" s="1" t="s">
        <v>4</v>
      </c>
      <c r="CC40" s="1" t="s">
        <v>14</v>
      </c>
      <c r="CD40" s="1">
        <v>1</v>
      </c>
      <c r="CE40" s="1">
        <v>1</v>
      </c>
    </row>
    <row r="41" spans="1:83" ht="230.4" x14ac:dyDescent="0.3">
      <c r="A41" s="1">
        <v>870</v>
      </c>
      <c r="B41" s="1" t="s">
        <v>661</v>
      </c>
      <c r="C41" s="1" t="s">
        <v>66</v>
      </c>
      <c r="E41" s="1" t="s">
        <v>813</v>
      </c>
      <c r="F41" s="1">
        <v>1</v>
      </c>
      <c r="G41" s="1">
        <v>0</v>
      </c>
      <c r="H41" s="1" t="s">
        <v>662</v>
      </c>
      <c r="I41" s="1" t="s">
        <v>814</v>
      </c>
      <c r="J41" s="1" t="s">
        <v>815</v>
      </c>
      <c r="M41" s="1" t="s">
        <v>665</v>
      </c>
      <c r="O41" s="1">
        <v>1</v>
      </c>
      <c r="R41" s="1">
        <v>0</v>
      </c>
      <c r="S41" s="1">
        <v>0</v>
      </c>
      <c r="X41" s="1">
        <v>1</v>
      </c>
      <c r="AA41" s="1">
        <v>14.99</v>
      </c>
      <c r="AB41" s="1" t="s">
        <v>816</v>
      </c>
      <c r="AC41" s="1" t="s">
        <v>817</v>
      </c>
      <c r="AE41" s="1" t="s">
        <v>818</v>
      </c>
      <c r="AN41" s="1">
        <v>0</v>
      </c>
      <c r="AP41" s="1" t="s">
        <v>669</v>
      </c>
      <c r="AQ41" s="1" t="s">
        <v>819</v>
      </c>
      <c r="AR41" s="1">
        <v>1</v>
      </c>
      <c r="AS41" s="1">
        <v>1</v>
      </c>
      <c r="AT41" s="1" t="s">
        <v>671</v>
      </c>
      <c r="AU41" s="1" t="s">
        <v>672</v>
      </c>
      <c r="AV41" s="1">
        <v>1</v>
      </c>
      <c r="AW41" s="1">
        <v>1</v>
      </c>
      <c r="AX41" s="1" t="s">
        <v>685</v>
      </c>
      <c r="AY41" s="1" t="s">
        <v>41</v>
      </c>
      <c r="AZ41" s="1">
        <v>1</v>
      </c>
      <c r="BA41" s="1">
        <v>1</v>
      </c>
      <c r="BB41" s="1" t="s">
        <v>820</v>
      </c>
      <c r="BC41" s="1">
        <v>0</v>
      </c>
      <c r="BF41" s="1">
        <v>227</v>
      </c>
      <c r="BG41" s="1">
        <v>95</v>
      </c>
      <c r="BH41" s="1">
        <v>217</v>
      </c>
      <c r="BM41" s="1" t="s">
        <v>821</v>
      </c>
      <c r="BQ41" s="1" t="s">
        <v>678</v>
      </c>
      <c r="BR41" s="1" t="s">
        <v>679</v>
      </c>
      <c r="BS41" s="1" t="s">
        <v>678</v>
      </c>
      <c r="BT41" s="1" t="s">
        <v>679</v>
      </c>
      <c r="BU41" s="1" t="s">
        <v>679</v>
      </c>
      <c r="CB41" s="1" t="s">
        <v>4</v>
      </c>
      <c r="CC41" s="1" t="s">
        <v>14</v>
      </c>
      <c r="CD41" s="1">
        <v>1</v>
      </c>
      <c r="CE41" s="1">
        <v>1</v>
      </c>
    </row>
    <row r="42" spans="1:83" ht="230.4" x14ac:dyDescent="0.3">
      <c r="A42" s="1">
        <v>872</v>
      </c>
      <c r="B42" s="1" t="s">
        <v>661</v>
      </c>
      <c r="C42" s="1" t="s">
        <v>69</v>
      </c>
      <c r="E42" s="1" t="s">
        <v>822</v>
      </c>
      <c r="F42" s="1">
        <v>1</v>
      </c>
      <c r="G42" s="1">
        <v>0</v>
      </c>
      <c r="H42" s="1" t="s">
        <v>662</v>
      </c>
      <c r="I42" s="1" t="s">
        <v>814</v>
      </c>
      <c r="J42" s="1" t="s">
        <v>815</v>
      </c>
      <c r="M42" s="1" t="s">
        <v>665</v>
      </c>
      <c r="O42" s="1">
        <v>1</v>
      </c>
      <c r="R42" s="1">
        <v>0</v>
      </c>
      <c r="S42" s="1">
        <v>0</v>
      </c>
      <c r="X42" s="1">
        <v>1</v>
      </c>
      <c r="AA42" s="1">
        <v>14.99</v>
      </c>
      <c r="AB42" s="1" t="s">
        <v>816</v>
      </c>
      <c r="AC42" s="1" t="s">
        <v>817</v>
      </c>
      <c r="AE42" s="1" t="s">
        <v>823</v>
      </c>
      <c r="AN42" s="1">
        <v>0</v>
      </c>
      <c r="AP42" s="1" t="s">
        <v>669</v>
      </c>
      <c r="AQ42" s="1" t="s">
        <v>819</v>
      </c>
      <c r="AR42" s="1">
        <v>1</v>
      </c>
      <c r="AS42" s="1">
        <v>1</v>
      </c>
      <c r="AT42" s="1" t="s">
        <v>671</v>
      </c>
      <c r="AU42" s="1" t="s">
        <v>731</v>
      </c>
      <c r="AV42" s="1">
        <v>1</v>
      </c>
      <c r="AW42" s="1">
        <v>1</v>
      </c>
      <c r="AX42" s="1" t="s">
        <v>685</v>
      </c>
      <c r="AY42" s="1" t="s">
        <v>41</v>
      </c>
      <c r="AZ42" s="1">
        <v>1</v>
      </c>
      <c r="BA42" s="1">
        <v>1</v>
      </c>
      <c r="BB42" s="1" t="s">
        <v>820</v>
      </c>
      <c r="BC42" s="1">
        <v>0</v>
      </c>
      <c r="BF42" s="1">
        <v>232</v>
      </c>
      <c r="BG42" s="1">
        <v>99</v>
      </c>
      <c r="BH42" s="1">
        <v>220</v>
      </c>
      <c r="BM42" s="1" t="s">
        <v>821</v>
      </c>
      <c r="BQ42" s="1" t="s">
        <v>678</v>
      </c>
      <c r="BR42" s="1" t="s">
        <v>679</v>
      </c>
      <c r="BS42" s="1" t="s">
        <v>678</v>
      </c>
      <c r="BT42" s="1" t="s">
        <v>679</v>
      </c>
      <c r="BU42" s="1" t="s">
        <v>679</v>
      </c>
      <c r="CB42" s="1" t="s">
        <v>4</v>
      </c>
      <c r="CC42" s="1" t="s">
        <v>14</v>
      </c>
      <c r="CD42" s="1">
        <v>1</v>
      </c>
      <c r="CE42" s="1">
        <v>1</v>
      </c>
    </row>
    <row r="43" spans="1:83" ht="230.4" x14ac:dyDescent="0.3">
      <c r="A43" s="1">
        <v>874</v>
      </c>
      <c r="B43" s="1" t="s">
        <v>661</v>
      </c>
      <c r="C43" s="1" t="s">
        <v>70</v>
      </c>
      <c r="E43" s="1" t="s">
        <v>824</v>
      </c>
      <c r="F43" s="1">
        <v>1</v>
      </c>
      <c r="G43" s="1">
        <v>0</v>
      </c>
      <c r="H43" s="1" t="s">
        <v>662</v>
      </c>
      <c r="I43" s="1" t="s">
        <v>814</v>
      </c>
      <c r="J43" s="1" t="s">
        <v>825</v>
      </c>
      <c r="M43" s="1" t="s">
        <v>665</v>
      </c>
      <c r="O43" s="1">
        <v>1</v>
      </c>
      <c r="R43" s="1">
        <v>0</v>
      </c>
      <c r="S43" s="1">
        <v>0</v>
      </c>
      <c r="X43" s="1">
        <v>1</v>
      </c>
      <c r="AA43" s="1">
        <v>14.99</v>
      </c>
      <c r="AB43" s="1" t="s">
        <v>816</v>
      </c>
      <c r="AC43" s="1" t="s">
        <v>817</v>
      </c>
      <c r="AE43" s="1" t="s">
        <v>826</v>
      </c>
      <c r="AN43" s="1">
        <v>0</v>
      </c>
      <c r="AP43" s="1" t="s">
        <v>669</v>
      </c>
      <c r="AQ43" s="1" t="s">
        <v>819</v>
      </c>
      <c r="AR43" s="1">
        <v>1</v>
      </c>
      <c r="AS43" s="1">
        <v>1</v>
      </c>
      <c r="AT43" s="1" t="s">
        <v>671</v>
      </c>
      <c r="AU43" s="1" t="s">
        <v>728</v>
      </c>
      <c r="AV43" s="1">
        <v>1</v>
      </c>
      <c r="AW43" s="1">
        <v>1</v>
      </c>
      <c r="AX43" s="1" t="s">
        <v>685</v>
      </c>
      <c r="AY43" s="1" t="s">
        <v>41</v>
      </c>
      <c r="AZ43" s="1">
        <v>1</v>
      </c>
      <c r="BA43" s="1">
        <v>1</v>
      </c>
      <c r="BB43" s="1" t="s">
        <v>820</v>
      </c>
      <c r="BC43" s="1">
        <v>0</v>
      </c>
      <c r="BF43" s="1">
        <v>226</v>
      </c>
      <c r="BG43" s="1">
        <v>94</v>
      </c>
      <c r="BH43" s="1">
        <v>215</v>
      </c>
      <c r="BM43" s="1" t="s">
        <v>821</v>
      </c>
      <c r="BQ43" s="1" t="s">
        <v>678</v>
      </c>
      <c r="BR43" s="1" t="s">
        <v>679</v>
      </c>
      <c r="BS43" s="1" t="s">
        <v>678</v>
      </c>
      <c r="BT43" s="1" t="s">
        <v>679</v>
      </c>
      <c r="BU43" s="1" t="s">
        <v>679</v>
      </c>
      <c r="CB43" s="1" t="s">
        <v>4</v>
      </c>
      <c r="CC43" s="1" t="s">
        <v>14</v>
      </c>
      <c r="CD43" s="1">
        <v>1</v>
      </c>
      <c r="CE43" s="1">
        <v>1</v>
      </c>
    </row>
    <row r="44" spans="1:83" ht="230.4" x14ac:dyDescent="0.3">
      <c r="A44" s="1">
        <v>876</v>
      </c>
      <c r="B44" s="1" t="s">
        <v>661</v>
      </c>
      <c r="C44" s="1" t="s">
        <v>71</v>
      </c>
      <c r="E44" s="1" t="s">
        <v>827</v>
      </c>
      <c r="F44" s="1">
        <v>1</v>
      </c>
      <c r="G44" s="1">
        <v>0</v>
      </c>
      <c r="H44" s="1" t="s">
        <v>662</v>
      </c>
      <c r="I44" s="1" t="s">
        <v>814</v>
      </c>
      <c r="J44" s="1" t="s">
        <v>815</v>
      </c>
      <c r="M44" s="1" t="s">
        <v>665</v>
      </c>
      <c r="O44" s="1">
        <v>1</v>
      </c>
      <c r="R44" s="1">
        <v>0</v>
      </c>
      <c r="S44" s="1">
        <v>0</v>
      </c>
      <c r="X44" s="1">
        <v>1</v>
      </c>
      <c r="AA44" s="1">
        <v>14.99</v>
      </c>
      <c r="AB44" s="1" t="s">
        <v>816</v>
      </c>
      <c r="AC44" s="1" t="s">
        <v>817</v>
      </c>
      <c r="AE44" s="1" t="s">
        <v>828</v>
      </c>
      <c r="AN44" s="1">
        <v>0</v>
      </c>
      <c r="AP44" s="1" t="s">
        <v>669</v>
      </c>
      <c r="AQ44" s="1" t="s">
        <v>819</v>
      </c>
      <c r="AR44" s="1">
        <v>1</v>
      </c>
      <c r="AS44" s="1">
        <v>1</v>
      </c>
      <c r="AT44" s="1" t="s">
        <v>671</v>
      </c>
      <c r="AU44" s="1" t="s">
        <v>696</v>
      </c>
      <c r="AV44" s="1">
        <v>1</v>
      </c>
      <c r="AW44" s="1">
        <v>1</v>
      </c>
      <c r="AX44" s="1" t="s">
        <v>685</v>
      </c>
      <c r="AY44" s="1" t="s">
        <v>41</v>
      </c>
      <c r="AZ44" s="1">
        <v>1</v>
      </c>
      <c r="BA44" s="1">
        <v>1</v>
      </c>
      <c r="BB44" s="1" t="s">
        <v>820</v>
      </c>
      <c r="BC44" s="1">
        <v>0</v>
      </c>
      <c r="BF44" s="1">
        <v>229</v>
      </c>
      <c r="BG44" s="1">
        <v>97</v>
      </c>
      <c r="BH44" s="1">
        <v>218</v>
      </c>
      <c r="BM44" s="1" t="s">
        <v>821</v>
      </c>
      <c r="BQ44" s="1" t="s">
        <v>678</v>
      </c>
      <c r="BR44" s="1" t="s">
        <v>679</v>
      </c>
      <c r="BS44" s="1" t="s">
        <v>678</v>
      </c>
      <c r="BT44" s="1" t="s">
        <v>679</v>
      </c>
      <c r="BU44" s="1" t="s">
        <v>679</v>
      </c>
      <c r="CB44" s="1" t="s">
        <v>4</v>
      </c>
      <c r="CC44" s="1" t="s">
        <v>14</v>
      </c>
      <c r="CD44" s="1">
        <v>1</v>
      </c>
      <c r="CE44" s="1">
        <v>1</v>
      </c>
    </row>
    <row r="45" spans="1:83" ht="230.4" x14ac:dyDescent="0.3">
      <c r="A45" s="1">
        <v>882</v>
      </c>
      <c r="B45" s="1" t="s">
        <v>661</v>
      </c>
      <c r="C45" s="1" t="s">
        <v>72</v>
      </c>
      <c r="E45" s="1" t="s">
        <v>829</v>
      </c>
      <c r="F45" s="1">
        <v>1</v>
      </c>
      <c r="G45" s="1">
        <v>0</v>
      </c>
      <c r="H45" s="1" t="s">
        <v>662</v>
      </c>
      <c r="I45" s="1" t="s">
        <v>830</v>
      </c>
      <c r="J45" s="1" t="s">
        <v>831</v>
      </c>
      <c r="M45" s="1" t="s">
        <v>665</v>
      </c>
      <c r="O45" s="1">
        <v>1</v>
      </c>
      <c r="R45" s="1">
        <v>0</v>
      </c>
      <c r="S45" s="1">
        <v>0</v>
      </c>
      <c r="X45" s="1">
        <v>1</v>
      </c>
      <c r="AA45" s="1">
        <v>12.5</v>
      </c>
      <c r="AB45" s="1" t="s">
        <v>832</v>
      </c>
      <c r="AC45" s="1" t="s">
        <v>833</v>
      </c>
      <c r="AE45" s="1" t="s">
        <v>834</v>
      </c>
      <c r="AN45" s="1">
        <v>0</v>
      </c>
      <c r="AP45" s="1" t="s">
        <v>669</v>
      </c>
      <c r="AQ45" s="1" t="s">
        <v>835</v>
      </c>
      <c r="AR45" s="1">
        <v>1</v>
      </c>
      <c r="AS45" s="1">
        <v>1</v>
      </c>
      <c r="AT45" s="1" t="s">
        <v>671</v>
      </c>
      <c r="AU45" s="1" t="s">
        <v>672</v>
      </c>
      <c r="AV45" s="1">
        <v>1</v>
      </c>
      <c r="AW45" s="1">
        <v>1</v>
      </c>
      <c r="AX45" s="1" t="s">
        <v>685</v>
      </c>
      <c r="AY45" s="1" t="s">
        <v>41</v>
      </c>
      <c r="AZ45" s="1">
        <v>1</v>
      </c>
      <c r="BA45" s="1">
        <v>1</v>
      </c>
      <c r="BB45" s="1" t="s">
        <v>836</v>
      </c>
      <c r="BC45" s="1">
        <v>0</v>
      </c>
      <c r="BF45" s="1">
        <v>227</v>
      </c>
      <c r="BG45" s="1">
        <v>95</v>
      </c>
      <c r="BH45" s="1">
        <v>215</v>
      </c>
      <c r="BM45" s="1" t="s">
        <v>837</v>
      </c>
      <c r="BQ45" s="1" t="s">
        <v>678</v>
      </c>
      <c r="BR45" s="1" t="s">
        <v>679</v>
      </c>
      <c r="BS45" s="1" t="s">
        <v>678</v>
      </c>
      <c r="BT45" s="1" t="s">
        <v>679</v>
      </c>
      <c r="BU45" s="1" t="s">
        <v>679</v>
      </c>
      <c r="CB45" s="1" t="s">
        <v>4</v>
      </c>
      <c r="CC45" s="1" t="s">
        <v>14</v>
      </c>
      <c r="CD45" s="1">
        <v>1</v>
      </c>
      <c r="CE45" s="1">
        <v>1</v>
      </c>
    </row>
    <row r="46" spans="1:83" ht="230.4" x14ac:dyDescent="0.3">
      <c r="A46" s="1">
        <v>886</v>
      </c>
      <c r="B46" s="1" t="s">
        <v>661</v>
      </c>
      <c r="C46" s="1" t="s">
        <v>75</v>
      </c>
      <c r="E46" s="1" t="s">
        <v>838</v>
      </c>
      <c r="F46" s="1">
        <v>1</v>
      </c>
      <c r="G46" s="1">
        <v>0</v>
      </c>
      <c r="H46" s="1" t="s">
        <v>662</v>
      </c>
      <c r="I46" s="1" t="s">
        <v>830</v>
      </c>
      <c r="J46" s="1" t="s">
        <v>831</v>
      </c>
      <c r="M46" s="1" t="s">
        <v>665</v>
      </c>
      <c r="O46" s="1">
        <v>1</v>
      </c>
      <c r="R46" s="1">
        <v>0</v>
      </c>
      <c r="S46" s="1">
        <v>0</v>
      </c>
      <c r="X46" s="1">
        <v>1</v>
      </c>
      <c r="AA46" s="1">
        <v>12.5</v>
      </c>
      <c r="AB46" s="1" t="s">
        <v>832</v>
      </c>
      <c r="AC46" s="1" t="s">
        <v>833</v>
      </c>
      <c r="AE46" s="1" t="s">
        <v>839</v>
      </c>
      <c r="AN46" s="1">
        <v>0</v>
      </c>
      <c r="AP46" s="1" t="s">
        <v>669</v>
      </c>
      <c r="AQ46" s="1" t="s">
        <v>835</v>
      </c>
      <c r="AR46" s="1">
        <v>1</v>
      </c>
      <c r="AS46" s="1">
        <v>1</v>
      </c>
      <c r="AT46" s="1" t="s">
        <v>671</v>
      </c>
      <c r="AU46" s="1" t="s">
        <v>728</v>
      </c>
      <c r="AV46" s="1">
        <v>1</v>
      </c>
      <c r="AW46" s="1">
        <v>1</v>
      </c>
      <c r="AX46" s="1" t="s">
        <v>685</v>
      </c>
      <c r="AY46" s="1" t="s">
        <v>41</v>
      </c>
      <c r="AZ46" s="1">
        <v>1</v>
      </c>
      <c r="BA46" s="1">
        <v>1</v>
      </c>
      <c r="BB46" s="1" t="s">
        <v>836</v>
      </c>
      <c r="BC46" s="1">
        <v>0</v>
      </c>
      <c r="BF46" s="1">
        <v>232</v>
      </c>
      <c r="BG46" s="1">
        <v>97</v>
      </c>
      <c r="BH46" s="1">
        <v>221</v>
      </c>
      <c r="BM46" s="1" t="s">
        <v>837</v>
      </c>
      <c r="BQ46" s="1" t="s">
        <v>678</v>
      </c>
      <c r="BR46" s="1" t="s">
        <v>679</v>
      </c>
      <c r="BS46" s="1" t="s">
        <v>678</v>
      </c>
      <c r="BT46" s="1" t="s">
        <v>679</v>
      </c>
      <c r="BU46" s="1" t="s">
        <v>679</v>
      </c>
      <c r="CB46" s="1" t="s">
        <v>4</v>
      </c>
      <c r="CC46" s="1" t="s">
        <v>14</v>
      </c>
      <c r="CD46" s="1">
        <v>1</v>
      </c>
      <c r="CE46" s="1">
        <v>1</v>
      </c>
    </row>
    <row r="47" spans="1:83" ht="230.4" x14ac:dyDescent="0.3">
      <c r="A47" s="1">
        <v>890</v>
      </c>
      <c r="B47" s="1" t="s">
        <v>661</v>
      </c>
      <c r="C47" s="1" t="s">
        <v>76</v>
      </c>
      <c r="E47" s="1" t="s">
        <v>840</v>
      </c>
      <c r="F47" s="1">
        <v>1</v>
      </c>
      <c r="G47" s="1">
        <v>0</v>
      </c>
      <c r="H47" s="1" t="s">
        <v>662</v>
      </c>
      <c r="I47" s="1" t="s">
        <v>830</v>
      </c>
      <c r="J47" s="1" t="s">
        <v>831</v>
      </c>
      <c r="M47" s="1" t="s">
        <v>665</v>
      </c>
      <c r="O47" s="1">
        <v>1</v>
      </c>
      <c r="R47" s="1">
        <v>0</v>
      </c>
      <c r="S47" s="1">
        <v>0</v>
      </c>
      <c r="X47" s="1">
        <v>1</v>
      </c>
      <c r="AA47" s="1">
        <v>12.5</v>
      </c>
      <c r="AB47" s="1" t="s">
        <v>832</v>
      </c>
      <c r="AC47" s="1" t="s">
        <v>833</v>
      </c>
      <c r="AE47" s="1" t="s">
        <v>841</v>
      </c>
      <c r="AN47" s="1">
        <v>0</v>
      </c>
      <c r="AP47" s="1" t="s">
        <v>669</v>
      </c>
      <c r="AQ47" s="1" t="s">
        <v>835</v>
      </c>
      <c r="AR47" s="1">
        <v>1</v>
      </c>
      <c r="AS47" s="1">
        <v>1</v>
      </c>
      <c r="AT47" s="1" t="s">
        <v>671</v>
      </c>
      <c r="AU47" s="1" t="s">
        <v>789</v>
      </c>
      <c r="AV47" s="1">
        <v>1</v>
      </c>
      <c r="AW47" s="1">
        <v>1</v>
      </c>
      <c r="AX47" s="1" t="s">
        <v>685</v>
      </c>
      <c r="AY47" s="1" t="s">
        <v>41</v>
      </c>
      <c r="AZ47" s="1">
        <v>1</v>
      </c>
      <c r="BA47" s="1">
        <v>1</v>
      </c>
      <c r="BB47" s="1" t="s">
        <v>836</v>
      </c>
      <c r="BC47" s="1">
        <v>0</v>
      </c>
      <c r="BF47" s="1">
        <v>223</v>
      </c>
      <c r="BG47" s="1">
        <v>91</v>
      </c>
      <c r="BH47" s="1">
        <v>213</v>
      </c>
      <c r="BM47" s="1" t="s">
        <v>837</v>
      </c>
      <c r="BQ47" s="1" t="s">
        <v>678</v>
      </c>
      <c r="BR47" s="1" t="s">
        <v>679</v>
      </c>
      <c r="BS47" s="1" t="s">
        <v>678</v>
      </c>
      <c r="BT47" s="1" t="s">
        <v>679</v>
      </c>
      <c r="BU47" s="1" t="s">
        <v>679</v>
      </c>
      <c r="CB47" s="1" t="s">
        <v>4</v>
      </c>
      <c r="CC47" s="1" t="s">
        <v>14</v>
      </c>
      <c r="CD47" s="1">
        <v>1</v>
      </c>
      <c r="CE47" s="1">
        <v>1</v>
      </c>
    </row>
    <row r="48" spans="1:83" ht="230.4" x14ac:dyDescent="0.3">
      <c r="A48" s="1">
        <v>894</v>
      </c>
      <c r="B48" s="1" t="s">
        <v>661</v>
      </c>
      <c r="C48" s="1" t="s">
        <v>77</v>
      </c>
      <c r="E48" s="1" t="s">
        <v>842</v>
      </c>
      <c r="F48" s="1">
        <v>1</v>
      </c>
      <c r="G48" s="1">
        <v>0</v>
      </c>
      <c r="H48" s="1" t="s">
        <v>662</v>
      </c>
      <c r="I48" s="1" t="s">
        <v>830</v>
      </c>
      <c r="J48" s="1" t="s">
        <v>831</v>
      </c>
      <c r="M48" s="1" t="s">
        <v>665</v>
      </c>
      <c r="O48" s="1">
        <v>1</v>
      </c>
      <c r="R48" s="1">
        <v>0</v>
      </c>
      <c r="S48" s="1">
        <v>0</v>
      </c>
      <c r="X48" s="1">
        <v>1</v>
      </c>
      <c r="AA48" s="1">
        <v>12.5</v>
      </c>
      <c r="AB48" s="1" t="s">
        <v>832</v>
      </c>
      <c r="AC48" s="1" t="s">
        <v>833</v>
      </c>
      <c r="AE48" s="1" t="s">
        <v>843</v>
      </c>
      <c r="AN48" s="1">
        <v>0</v>
      </c>
      <c r="AP48" s="1" t="s">
        <v>669</v>
      </c>
      <c r="AQ48" s="1" t="s">
        <v>835</v>
      </c>
      <c r="AR48" s="1">
        <v>1</v>
      </c>
      <c r="AS48" s="1">
        <v>1</v>
      </c>
      <c r="AT48" s="1" t="s">
        <v>671</v>
      </c>
      <c r="AU48" s="1" t="s">
        <v>792</v>
      </c>
      <c r="AV48" s="1">
        <v>1</v>
      </c>
      <c r="AW48" s="1">
        <v>1</v>
      </c>
      <c r="AX48" s="1" t="s">
        <v>685</v>
      </c>
      <c r="AY48" s="1" t="s">
        <v>41</v>
      </c>
      <c r="AZ48" s="1">
        <v>1</v>
      </c>
      <c r="BA48" s="1">
        <v>1</v>
      </c>
      <c r="BB48" s="1" t="s">
        <v>836</v>
      </c>
      <c r="BC48" s="1">
        <v>0</v>
      </c>
      <c r="BF48" s="1">
        <v>236</v>
      </c>
      <c r="BG48" s="1">
        <v>104</v>
      </c>
      <c r="BH48" s="1">
        <v>222</v>
      </c>
      <c r="BM48" s="1" t="s">
        <v>837</v>
      </c>
      <c r="BQ48" s="1" t="s">
        <v>678</v>
      </c>
      <c r="BR48" s="1" t="s">
        <v>679</v>
      </c>
      <c r="BS48" s="1" t="s">
        <v>678</v>
      </c>
      <c r="BT48" s="1" t="s">
        <v>679</v>
      </c>
      <c r="BU48" s="1" t="s">
        <v>679</v>
      </c>
      <c r="CB48" s="1" t="s">
        <v>4</v>
      </c>
      <c r="CC48" s="1" t="s">
        <v>14</v>
      </c>
      <c r="CD48" s="1">
        <v>1</v>
      </c>
      <c r="CE48" s="1">
        <v>1</v>
      </c>
    </row>
    <row r="49" spans="1:83" ht="230.4" x14ac:dyDescent="0.3">
      <c r="A49" s="1">
        <v>898</v>
      </c>
      <c r="B49" s="1" t="s">
        <v>661</v>
      </c>
      <c r="C49" s="1" t="s">
        <v>78</v>
      </c>
      <c r="E49" s="1" t="s">
        <v>844</v>
      </c>
      <c r="F49" s="1">
        <v>1</v>
      </c>
      <c r="G49" s="1">
        <v>0</v>
      </c>
      <c r="H49" s="1" t="s">
        <v>662</v>
      </c>
      <c r="I49" s="1" t="s">
        <v>830</v>
      </c>
      <c r="J49" s="1" t="s">
        <v>831</v>
      </c>
      <c r="M49" s="1" t="s">
        <v>665</v>
      </c>
      <c r="O49" s="1">
        <v>1</v>
      </c>
      <c r="R49" s="1">
        <v>0</v>
      </c>
      <c r="S49" s="1">
        <v>0</v>
      </c>
      <c r="X49" s="1">
        <v>1</v>
      </c>
      <c r="AA49" s="1">
        <v>12.5</v>
      </c>
      <c r="AB49" s="1" t="s">
        <v>832</v>
      </c>
      <c r="AC49" s="1" t="s">
        <v>833</v>
      </c>
      <c r="AE49" s="1" t="s">
        <v>845</v>
      </c>
      <c r="AN49" s="1">
        <v>0</v>
      </c>
      <c r="AP49" s="1" t="s">
        <v>669</v>
      </c>
      <c r="AQ49" s="1" t="s">
        <v>835</v>
      </c>
      <c r="AR49" s="1">
        <v>1</v>
      </c>
      <c r="AS49" s="1">
        <v>1</v>
      </c>
      <c r="AT49" s="1" t="s">
        <v>671</v>
      </c>
      <c r="AU49" s="1" t="s">
        <v>728</v>
      </c>
      <c r="AV49" s="1">
        <v>1</v>
      </c>
      <c r="AW49" s="1">
        <v>1</v>
      </c>
      <c r="AX49" s="1" t="s">
        <v>685</v>
      </c>
      <c r="AY49" s="1" t="s">
        <v>41</v>
      </c>
      <c r="AZ49" s="1">
        <v>1</v>
      </c>
      <c r="BA49" s="1">
        <v>1</v>
      </c>
      <c r="BB49" s="1" t="s">
        <v>836</v>
      </c>
      <c r="BC49" s="1">
        <v>0</v>
      </c>
      <c r="BF49" s="1">
        <v>232</v>
      </c>
      <c r="BG49" s="1">
        <v>99</v>
      </c>
      <c r="BH49" s="1">
        <v>221</v>
      </c>
      <c r="BM49" s="1" t="s">
        <v>837</v>
      </c>
      <c r="BQ49" s="1" t="s">
        <v>678</v>
      </c>
      <c r="BR49" s="1" t="s">
        <v>679</v>
      </c>
      <c r="BS49" s="1" t="s">
        <v>678</v>
      </c>
      <c r="BT49" s="1" t="s">
        <v>679</v>
      </c>
      <c r="BU49" s="1" t="s">
        <v>679</v>
      </c>
      <c r="CB49" s="1" t="s">
        <v>4</v>
      </c>
      <c r="CC49" s="1" t="s">
        <v>14</v>
      </c>
      <c r="CD49" s="1">
        <v>1</v>
      </c>
      <c r="CE49" s="1">
        <v>1</v>
      </c>
    </row>
    <row r="50" spans="1:83" ht="216" x14ac:dyDescent="0.3">
      <c r="A50" s="1">
        <v>902</v>
      </c>
      <c r="B50" s="1" t="s">
        <v>661</v>
      </c>
      <c r="C50" s="1" t="s">
        <v>79</v>
      </c>
      <c r="E50" s="1" t="s">
        <v>846</v>
      </c>
      <c r="F50" s="1">
        <v>1</v>
      </c>
      <c r="G50" s="1">
        <v>0</v>
      </c>
      <c r="H50" s="1" t="s">
        <v>662</v>
      </c>
      <c r="I50" s="1" t="s">
        <v>847</v>
      </c>
      <c r="J50" s="1" t="s">
        <v>848</v>
      </c>
      <c r="M50" s="1" t="s">
        <v>665</v>
      </c>
      <c r="O50" s="1">
        <v>1</v>
      </c>
      <c r="R50" s="1">
        <v>0</v>
      </c>
      <c r="S50" s="1">
        <v>0</v>
      </c>
      <c r="X50" s="1">
        <v>1</v>
      </c>
      <c r="AA50" s="1">
        <v>9.58</v>
      </c>
      <c r="AB50" s="1" t="s">
        <v>849</v>
      </c>
      <c r="AC50" s="1" t="s">
        <v>850</v>
      </c>
      <c r="AE50" s="1" t="s">
        <v>851</v>
      </c>
      <c r="AN50" s="1">
        <v>0</v>
      </c>
      <c r="AP50" s="1" t="s">
        <v>669</v>
      </c>
      <c r="AQ50" s="1" t="s">
        <v>835</v>
      </c>
      <c r="AR50" s="1">
        <v>1</v>
      </c>
      <c r="AS50" s="1">
        <v>1</v>
      </c>
      <c r="AT50" s="1" t="s">
        <v>671</v>
      </c>
      <c r="AU50" s="1" t="s">
        <v>672</v>
      </c>
      <c r="AV50" s="1">
        <v>1</v>
      </c>
      <c r="AW50" s="1">
        <v>1</v>
      </c>
      <c r="AX50" s="1" t="s">
        <v>685</v>
      </c>
      <c r="AY50" s="1" t="s">
        <v>686</v>
      </c>
      <c r="AZ50" s="1">
        <v>1</v>
      </c>
      <c r="BA50" s="1">
        <v>1</v>
      </c>
      <c r="BB50" s="1" t="s">
        <v>852</v>
      </c>
      <c r="BC50" s="1">
        <v>0</v>
      </c>
      <c r="BF50" s="1">
        <v>224</v>
      </c>
      <c r="BG50" s="1">
        <v>91</v>
      </c>
      <c r="BH50" s="1">
        <v>213</v>
      </c>
      <c r="BM50" s="1" t="s">
        <v>853</v>
      </c>
      <c r="BQ50" s="1" t="s">
        <v>678</v>
      </c>
      <c r="BR50" s="1" t="s">
        <v>679</v>
      </c>
      <c r="BS50" s="1" t="s">
        <v>678</v>
      </c>
      <c r="BT50" s="1" t="s">
        <v>679</v>
      </c>
      <c r="BU50" s="1" t="s">
        <v>679</v>
      </c>
      <c r="CB50" s="1" t="s">
        <v>4</v>
      </c>
      <c r="CC50" s="1" t="s">
        <v>14</v>
      </c>
      <c r="CD50" s="1">
        <v>1</v>
      </c>
      <c r="CE50" s="1">
        <v>1</v>
      </c>
    </row>
    <row r="51" spans="1:83" ht="216" x14ac:dyDescent="0.3">
      <c r="A51" s="1">
        <v>907</v>
      </c>
      <c r="B51" s="1" t="s">
        <v>661</v>
      </c>
      <c r="C51" s="1" t="s">
        <v>82</v>
      </c>
      <c r="E51" s="1" t="s">
        <v>854</v>
      </c>
      <c r="F51" s="1">
        <v>1</v>
      </c>
      <c r="G51" s="1">
        <v>0</v>
      </c>
      <c r="H51" s="1" t="s">
        <v>662</v>
      </c>
      <c r="I51" s="1" t="s">
        <v>855</v>
      </c>
      <c r="J51" s="1" t="s">
        <v>848</v>
      </c>
      <c r="M51" s="1" t="s">
        <v>665</v>
      </c>
      <c r="O51" s="1">
        <v>1</v>
      </c>
      <c r="R51" s="1">
        <v>0</v>
      </c>
      <c r="S51" s="1">
        <v>0</v>
      </c>
      <c r="X51" s="1">
        <v>1</v>
      </c>
      <c r="AA51" s="1">
        <v>9.58</v>
      </c>
      <c r="AB51" s="1" t="s">
        <v>849</v>
      </c>
      <c r="AC51" s="1" t="s">
        <v>850</v>
      </c>
      <c r="AE51" s="1" t="s">
        <v>856</v>
      </c>
      <c r="AN51" s="1">
        <v>0</v>
      </c>
      <c r="AP51" s="1" t="s">
        <v>669</v>
      </c>
      <c r="AQ51" s="1" t="s">
        <v>835</v>
      </c>
      <c r="AR51" s="1">
        <v>1</v>
      </c>
      <c r="AS51" s="1">
        <v>1</v>
      </c>
      <c r="AT51" s="1" t="s">
        <v>671</v>
      </c>
      <c r="AU51" s="1" t="s">
        <v>728</v>
      </c>
      <c r="AV51" s="1">
        <v>1</v>
      </c>
      <c r="AW51" s="1">
        <v>1</v>
      </c>
      <c r="AX51" s="1" t="s">
        <v>685</v>
      </c>
      <c r="AY51" s="1" t="s">
        <v>686</v>
      </c>
      <c r="AZ51" s="1">
        <v>1</v>
      </c>
      <c r="BA51" s="1">
        <v>1</v>
      </c>
      <c r="BB51" s="1" t="s">
        <v>852</v>
      </c>
      <c r="BC51" s="1">
        <v>0</v>
      </c>
      <c r="BF51" s="1">
        <v>233</v>
      </c>
      <c r="BG51" s="1">
        <v>101</v>
      </c>
      <c r="BH51" s="1">
        <v>221</v>
      </c>
      <c r="BM51" s="1" t="s">
        <v>853</v>
      </c>
      <c r="BQ51" s="1" t="s">
        <v>678</v>
      </c>
      <c r="BR51" s="1" t="s">
        <v>679</v>
      </c>
      <c r="BS51" s="1" t="s">
        <v>678</v>
      </c>
      <c r="BT51" s="1" t="s">
        <v>679</v>
      </c>
      <c r="BU51" s="1" t="s">
        <v>679</v>
      </c>
      <c r="CB51" s="1" t="s">
        <v>4</v>
      </c>
      <c r="CC51" s="1" t="s">
        <v>14</v>
      </c>
      <c r="CD51" s="1">
        <v>1</v>
      </c>
      <c r="CE51" s="1">
        <v>1</v>
      </c>
    </row>
    <row r="52" spans="1:83" ht="216" x14ac:dyDescent="0.3">
      <c r="A52" s="1">
        <v>911</v>
      </c>
      <c r="B52" s="1" t="s">
        <v>661</v>
      </c>
      <c r="C52" s="1" t="s">
        <v>83</v>
      </c>
      <c r="E52" s="1" t="s">
        <v>857</v>
      </c>
      <c r="F52" s="1">
        <v>1</v>
      </c>
      <c r="G52" s="1">
        <v>0</v>
      </c>
      <c r="H52" s="1" t="s">
        <v>662</v>
      </c>
      <c r="I52" s="1" t="s">
        <v>847</v>
      </c>
      <c r="J52" s="1" t="s">
        <v>848</v>
      </c>
      <c r="M52" s="1" t="s">
        <v>665</v>
      </c>
      <c r="O52" s="1">
        <v>1</v>
      </c>
      <c r="R52" s="1">
        <v>0</v>
      </c>
      <c r="S52" s="1">
        <v>0</v>
      </c>
      <c r="X52" s="1">
        <v>1</v>
      </c>
      <c r="AA52" s="1">
        <v>9.58</v>
      </c>
      <c r="AB52" s="1" t="s">
        <v>849</v>
      </c>
      <c r="AC52" s="1" t="s">
        <v>850</v>
      </c>
      <c r="AE52" s="1" t="s">
        <v>858</v>
      </c>
      <c r="AN52" s="1">
        <v>0</v>
      </c>
      <c r="AP52" s="1" t="s">
        <v>669</v>
      </c>
      <c r="AQ52" s="1" t="s">
        <v>835</v>
      </c>
      <c r="AR52" s="1">
        <v>1</v>
      </c>
      <c r="AS52" s="1">
        <v>1</v>
      </c>
      <c r="AT52" s="1" t="s">
        <v>671</v>
      </c>
      <c r="AU52" s="1" t="s">
        <v>789</v>
      </c>
      <c r="AV52" s="1">
        <v>1</v>
      </c>
      <c r="AW52" s="1">
        <v>1</v>
      </c>
      <c r="AX52" s="1" t="s">
        <v>685</v>
      </c>
      <c r="AY52" s="1" t="s">
        <v>686</v>
      </c>
      <c r="AZ52" s="1">
        <v>1</v>
      </c>
      <c r="BA52" s="1">
        <v>1</v>
      </c>
      <c r="BB52" s="1" t="s">
        <v>852</v>
      </c>
      <c r="BC52" s="1">
        <v>0</v>
      </c>
      <c r="BF52" s="1">
        <v>227</v>
      </c>
      <c r="BG52" s="1">
        <v>95</v>
      </c>
      <c r="BH52" s="1">
        <v>215</v>
      </c>
      <c r="BM52" s="1" t="s">
        <v>853</v>
      </c>
      <c r="BQ52" s="1" t="s">
        <v>678</v>
      </c>
      <c r="BR52" s="1" t="s">
        <v>679</v>
      </c>
      <c r="BS52" s="1" t="s">
        <v>678</v>
      </c>
      <c r="BT52" s="1" t="s">
        <v>679</v>
      </c>
      <c r="BU52" s="1" t="s">
        <v>679</v>
      </c>
      <c r="CB52" s="1" t="s">
        <v>4</v>
      </c>
      <c r="CC52" s="1" t="s">
        <v>14</v>
      </c>
      <c r="CD52" s="1">
        <v>1</v>
      </c>
      <c r="CE52" s="1">
        <v>1</v>
      </c>
    </row>
    <row r="53" spans="1:83" ht="216" x14ac:dyDescent="0.3">
      <c r="A53" s="1">
        <v>915</v>
      </c>
      <c r="B53" s="1" t="s">
        <v>661</v>
      </c>
      <c r="C53" s="1" t="s">
        <v>84</v>
      </c>
      <c r="E53" s="1" t="s">
        <v>859</v>
      </c>
      <c r="F53" s="1">
        <v>1</v>
      </c>
      <c r="G53" s="1">
        <v>0</v>
      </c>
      <c r="H53" s="1" t="s">
        <v>662</v>
      </c>
      <c r="I53" s="1" t="s">
        <v>855</v>
      </c>
      <c r="J53" s="1" t="s">
        <v>848</v>
      </c>
      <c r="M53" s="1" t="s">
        <v>665</v>
      </c>
      <c r="O53" s="1">
        <v>1</v>
      </c>
      <c r="R53" s="1">
        <v>0</v>
      </c>
      <c r="S53" s="1">
        <v>0</v>
      </c>
      <c r="X53" s="1">
        <v>1</v>
      </c>
      <c r="AA53" s="1">
        <v>9.58</v>
      </c>
      <c r="AB53" s="1" t="s">
        <v>849</v>
      </c>
      <c r="AC53" s="1" t="s">
        <v>850</v>
      </c>
      <c r="AE53" s="1" t="s">
        <v>860</v>
      </c>
      <c r="AN53" s="1">
        <v>0</v>
      </c>
      <c r="AP53" s="1" t="s">
        <v>669</v>
      </c>
      <c r="AQ53" s="1" t="s">
        <v>835</v>
      </c>
      <c r="AR53" s="1">
        <v>1</v>
      </c>
      <c r="AS53" s="1">
        <v>1</v>
      </c>
      <c r="AT53" s="1" t="s">
        <v>671</v>
      </c>
      <c r="AU53" s="1" t="s">
        <v>792</v>
      </c>
      <c r="AV53" s="1">
        <v>1</v>
      </c>
      <c r="AW53" s="1">
        <v>1</v>
      </c>
      <c r="AX53" s="1" t="s">
        <v>685</v>
      </c>
      <c r="AY53" s="1" t="s">
        <v>686</v>
      </c>
      <c r="AZ53" s="1">
        <v>1</v>
      </c>
      <c r="BA53" s="1">
        <v>1</v>
      </c>
      <c r="BB53" s="1" t="s">
        <v>852</v>
      </c>
      <c r="BC53" s="1">
        <v>0</v>
      </c>
      <c r="BF53" s="1">
        <v>229</v>
      </c>
      <c r="BG53" s="1">
        <v>94</v>
      </c>
      <c r="BH53" s="1">
        <v>217</v>
      </c>
      <c r="BM53" s="1" t="s">
        <v>853</v>
      </c>
      <c r="BQ53" s="1" t="s">
        <v>678</v>
      </c>
      <c r="BR53" s="1" t="s">
        <v>679</v>
      </c>
      <c r="BS53" s="1" t="s">
        <v>678</v>
      </c>
      <c r="BT53" s="1" t="s">
        <v>679</v>
      </c>
      <c r="BU53" s="1" t="s">
        <v>679</v>
      </c>
      <c r="CB53" s="1" t="s">
        <v>4</v>
      </c>
      <c r="CC53" s="1" t="s">
        <v>14</v>
      </c>
      <c r="CD53" s="1">
        <v>1</v>
      </c>
      <c r="CE53" s="1">
        <v>1</v>
      </c>
    </row>
    <row r="54" spans="1:83" ht="216" x14ac:dyDescent="0.3">
      <c r="A54" s="1">
        <v>919</v>
      </c>
      <c r="B54" s="1" t="s">
        <v>661</v>
      </c>
      <c r="C54" s="1" t="s">
        <v>85</v>
      </c>
      <c r="E54" s="1" t="s">
        <v>861</v>
      </c>
      <c r="F54" s="1">
        <v>1</v>
      </c>
      <c r="G54" s="1">
        <v>0</v>
      </c>
      <c r="H54" s="1" t="s">
        <v>662</v>
      </c>
      <c r="I54" s="1" t="s">
        <v>855</v>
      </c>
      <c r="J54" s="1" t="s">
        <v>848</v>
      </c>
      <c r="M54" s="1" t="s">
        <v>665</v>
      </c>
      <c r="O54" s="1">
        <v>1</v>
      </c>
      <c r="R54" s="1">
        <v>0</v>
      </c>
      <c r="S54" s="1">
        <v>0</v>
      </c>
      <c r="X54" s="1">
        <v>1</v>
      </c>
      <c r="AA54" s="1">
        <v>9.58</v>
      </c>
      <c r="AB54" s="1" t="s">
        <v>849</v>
      </c>
      <c r="AC54" s="1" t="s">
        <v>850</v>
      </c>
      <c r="AE54" s="1" t="s">
        <v>862</v>
      </c>
      <c r="AN54" s="1">
        <v>0</v>
      </c>
      <c r="AP54" s="1" t="s">
        <v>669</v>
      </c>
      <c r="AQ54" s="1" t="s">
        <v>835</v>
      </c>
      <c r="AR54" s="1">
        <v>1</v>
      </c>
      <c r="AS54" s="1">
        <v>1</v>
      </c>
      <c r="AT54" s="1" t="s">
        <v>671</v>
      </c>
      <c r="AU54" s="1" t="s">
        <v>728</v>
      </c>
      <c r="AV54" s="1">
        <v>1</v>
      </c>
      <c r="AW54" s="1">
        <v>1</v>
      </c>
      <c r="AX54" s="1" t="s">
        <v>685</v>
      </c>
      <c r="AY54" s="1" t="s">
        <v>686</v>
      </c>
      <c r="AZ54" s="1">
        <v>1</v>
      </c>
      <c r="BA54" s="1">
        <v>1</v>
      </c>
      <c r="BB54" s="1" t="s">
        <v>852</v>
      </c>
      <c r="BC54" s="1">
        <v>0</v>
      </c>
      <c r="BF54" s="1">
        <v>224</v>
      </c>
      <c r="BG54" s="1">
        <v>91</v>
      </c>
      <c r="BH54" s="1">
        <v>212</v>
      </c>
      <c r="BM54" s="1" t="s">
        <v>853</v>
      </c>
      <c r="BQ54" s="1" t="s">
        <v>678</v>
      </c>
      <c r="BR54" s="1" t="s">
        <v>679</v>
      </c>
      <c r="BS54" s="1" t="s">
        <v>678</v>
      </c>
      <c r="BT54" s="1" t="s">
        <v>679</v>
      </c>
      <c r="BU54" s="1" t="s">
        <v>679</v>
      </c>
      <c r="CB54" s="1" t="s">
        <v>4</v>
      </c>
      <c r="CC54" s="1" t="s">
        <v>14</v>
      </c>
      <c r="CD54" s="1">
        <v>1</v>
      </c>
      <c r="CE54" s="1">
        <v>1</v>
      </c>
    </row>
    <row r="55" spans="1:83" ht="244.8" x14ac:dyDescent="0.3">
      <c r="A55" s="1">
        <v>923</v>
      </c>
      <c r="B55" s="1" t="s">
        <v>661</v>
      </c>
      <c r="C55" s="1" t="s">
        <v>86</v>
      </c>
      <c r="E55" s="1" t="s">
        <v>863</v>
      </c>
      <c r="F55" s="1">
        <v>1</v>
      </c>
      <c r="G55" s="1">
        <v>0</v>
      </c>
      <c r="H55" s="1" t="s">
        <v>662</v>
      </c>
      <c r="I55" s="1" t="s">
        <v>864</v>
      </c>
      <c r="J55" s="1" t="s">
        <v>865</v>
      </c>
      <c r="M55" s="1" t="s">
        <v>665</v>
      </c>
      <c r="O55" s="1">
        <v>1</v>
      </c>
      <c r="R55" s="1">
        <v>0</v>
      </c>
      <c r="S55" s="1">
        <v>0</v>
      </c>
      <c r="X55" s="1">
        <v>1</v>
      </c>
      <c r="AA55" s="1">
        <v>12.5</v>
      </c>
      <c r="AB55" s="1" t="s">
        <v>866</v>
      </c>
      <c r="AC55" s="1" t="s">
        <v>867</v>
      </c>
      <c r="AE55" s="1" t="s">
        <v>868</v>
      </c>
      <c r="AN55" s="1">
        <v>0</v>
      </c>
      <c r="AP55" s="1" t="s">
        <v>669</v>
      </c>
      <c r="AQ55" s="1" t="s">
        <v>869</v>
      </c>
      <c r="AR55" s="1">
        <v>1</v>
      </c>
      <c r="AS55" s="1">
        <v>1</v>
      </c>
      <c r="AT55" s="1" t="s">
        <v>671</v>
      </c>
      <c r="AU55" s="1" t="s">
        <v>672</v>
      </c>
      <c r="AV55" s="1">
        <v>1</v>
      </c>
      <c r="AW55" s="1">
        <v>1</v>
      </c>
      <c r="AX55" s="1" t="s">
        <v>685</v>
      </c>
      <c r="AY55" s="1" t="s">
        <v>41</v>
      </c>
      <c r="AZ55" s="1">
        <v>1</v>
      </c>
      <c r="BA55" s="1">
        <v>1</v>
      </c>
      <c r="BB55" s="1" t="s">
        <v>870</v>
      </c>
      <c r="BC55" s="1">
        <v>0</v>
      </c>
      <c r="BF55" s="1">
        <v>222</v>
      </c>
      <c r="BG55" s="1">
        <v>86</v>
      </c>
      <c r="BH55" s="1">
        <v>211</v>
      </c>
      <c r="BM55" s="1" t="s">
        <v>837</v>
      </c>
      <c r="BQ55" s="1" t="s">
        <v>678</v>
      </c>
      <c r="BR55" s="1" t="s">
        <v>679</v>
      </c>
      <c r="BS55" s="1" t="s">
        <v>678</v>
      </c>
      <c r="BT55" s="1" t="s">
        <v>679</v>
      </c>
      <c r="BU55" s="1" t="s">
        <v>679</v>
      </c>
      <c r="CB55" s="1" t="s">
        <v>4</v>
      </c>
      <c r="CC55" s="1" t="s">
        <v>14</v>
      </c>
      <c r="CD55" s="1">
        <v>1</v>
      </c>
      <c r="CE55" s="1">
        <v>1</v>
      </c>
    </row>
    <row r="56" spans="1:83" ht="216" x14ac:dyDescent="0.3">
      <c r="A56" s="1">
        <v>927</v>
      </c>
      <c r="B56" s="1" t="s">
        <v>661</v>
      </c>
      <c r="C56" s="1" t="s">
        <v>90</v>
      </c>
      <c r="E56" s="1" t="s">
        <v>871</v>
      </c>
      <c r="F56" s="1">
        <v>1</v>
      </c>
      <c r="G56" s="1">
        <v>0</v>
      </c>
      <c r="H56" s="1" t="s">
        <v>662</v>
      </c>
      <c r="I56" s="1" t="s">
        <v>872</v>
      </c>
      <c r="J56" s="1" t="s">
        <v>873</v>
      </c>
      <c r="M56" s="1" t="s">
        <v>665</v>
      </c>
      <c r="O56" s="1">
        <v>1</v>
      </c>
      <c r="R56" s="1">
        <v>0</v>
      </c>
      <c r="S56" s="1">
        <v>0</v>
      </c>
      <c r="X56" s="1">
        <v>1</v>
      </c>
      <c r="AA56" s="1">
        <v>12.5</v>
      </c>
      <c r="AB56" s="1" t="s">
        <v>866</v>
      </c>
      <c r="AC56" s="1" t="s">
        <v>874</v>
      </c>
      <c r="AE56" s="1" t="s">
        <v>875</v>
      </c>
      <c r="AN56" s="1">
        <v>0</v>
      </c>
      <c r="AP56" s="1" t="s">
        <v>669</v>
      </c>
      <c r="AQ56" s="1" t="s">
        <v>869</v>
      </c>
      <c r="AR56" s="1">
        <v>1</v>
      </c>
      <c r="AS56" s="1">
        <v>1</v>
      </c>
      <c r="AT56" s="1" t="s">
        <v>671</v>
      </c>
      <c r="AU56" s="1" t="s">
        <v>672</v>
      </c>
      <c r="AV56" s="1">
        <v>1</v>
      </c>
      <c r="AW56" s="1">
        <v>1</v>
      </c>
      <c r="AX56" s="1" t="s">
        <v>685</v>
      </c>
      <c r="AY56" s="1" t="s">
        <v>41</v>
      </c>
      <c r="AZ56" s="1">
        <v>1</v>
      </c>
      <c r="BA56" s="1">
        <v>1</v>
      </c>
      <c r="BB56" s="1" t="s">
        <v>870</v>
      </c>
      <c r="BC56" s="1">
        <v>0</v>
      </c>
      <c r="BF56" s="1">
        <v>226</v>
      </c>
      <c r="BG56" s="1">
        <v>93</v>
      </c>
      <c r="BH56" s="1">
        <v>216</v>
      </c>
      <c r="BM56" s="1" t="s">
        <v>837</v>
      </c>
      <c r="BQ56" s="1" t="s">
        <v>678</v>
      </c>
      <c r="BR56" s="1" t="s">
        <v>679</v>
      </c>
      <c r="BS56" s="1" t="s">
        <v>678</v>
      </c>
      <c r="BT56" s="1" t="s">
        <v>679</v>
      </c>
      <c r="BU56" s="1" t="s">
        <v>679</v>
      </c>
      <c r="CB56" s="1" t="s">
        <v>4</v>
      </c>
      <c r="CC56" s="1" t="s">
        <v>14</v>
      </c>
      <c r="CD56" s="1">
        <v>1</v>
      </c>
      <c r="CE56" s="1">
        <v>1</v>
      </c>
    </row>
    <row r="57" spans="1:83" ht="244.8" x14ac:dyDescent="0.3">
      <c r="A57" s="1">
        <v>930</v>
      </c>
      <c r="B57" s="1" t="s">
        <v>661</v>
      </c>
      <c r="C57" s="1" t="s">
        <v>92</v>
      </c>
      <c r="E57" s="1" t="s">
        <v>876</v>
      </c>
      <c r="F57" s="1">
        <v>1</v>
      </c>
      <c r="G57" s="1">
        <v>0</v>
      </c>
      <c r="H57" s="1" t="s">
        <v>662</v>
      </c>
      <c r="I57" s="1" t="s">
        <v>864</v>
      </c>
      <c r="J57" s="1" t="s">
        <v>865</v>
      </c>
      <c r="M57" s="1" t="s">
        <v>665</v>
      </c>
      <c r="O57" s="1">
        <v>1</v>
      </c>
      <c r="R57" s="1">
        <v>0</v>
      </c>
      <c r="S57" s="1">
        <v>0</v>
      </c>
      <c r="X57" s="1">
        <v>1</v>
      </c>
      <c r="AA57" s="1">
        <v>12.5</v>
      </c>
      <c r="AB57" s="1" t="s">
        <v>866</v>
      </c>
      <c r="AC57" s="1" t="s">
        <v>867</v>
      </c>
      <c r="AE57" s="1" t="s">
        <v>877</v>
      </c>
      <c r="AN57" s="1">
        <v>0</v>
      </c>
      <c r="AP57" s="1" t="s">
        <v>669</v>
      </c>
      <c r="AQ57" s="1" t="s">
        <v>869</v>
      </c>
      <c r="AR57" s="1">
        <v>1</v>
      </c>
      <c r="AS57" s="1">
        <v>1</v>
      </c>
      <c r="AT57" s="1" t="s">
        <v>671</v>
      </c>
      <c r="AU57" s="1" t="s">
        <v>728</v>
      </c>
      <c r="AV57" s="1">
        <v>1</v>
      </c>
      <c r="AW57" s="1">
        <v>1</v>
      </c>
      <c r="AX57" s="1" t="s">
        <v>685</v>
      </c>
      <c r="AY57" s="1" t="s">
        <v>41</v>
      </c>
      <c r="AZ57" s="1">
        <v>1</v>
      </c>
      <c r="BA57" s="1">
        <v>1</v>
      </c>
      <c r="BB57" s="1" t="s">
        <v>870</v>
      </c>
      <c r="BC57" s="1">
        <v>0</v>
      </c>
      <c r="BF57" s="1">
        <v>233</v>
      </c>
      <c r="BG57" s="1">
        <v>99</v>
      </c>
      <c r="BH57" s="1">
        <v>221</v>
      </c>
      <c r="BM57" s="1" t="s">
        <v>837</v>
      </c>
      <c r="BQ57" s="1" t="s">
        <v>678</v>
      </c>
      <c r="BR57" s="1" t="s">
        <v>679</v>
      </c>
      <c r="BS57" s="1" t="s">
        <v>678</v>
      </c>
      <c r="BT57" s="1" t="s">
        <v>679</v>
      </c>
      <c r="BU57" s="1" t="s">
        <v>679</v>
      </c>
      <c r="CB57" s="1" t="s">
        <v>4</v>
      </c>
      <c r="CC57" s="1" t="s">
        <v>14</v>
      </c>
      <c r="CD57" s="1">
        <v>1</v>
      </c>
      <c r="CE57" s="1">
        <v>1</v>
      </c>
    </row>
    <row r="58" spans="1:83" ht="216" x14ac:dyDescent="0.3">
      <c r="A58" s="1">
        <v>934</v>
      </c>
      <c r="B58" s="1" t="s">
        <v>661</v>
      </c>
      <c r="C58" s="1" t="s">
        <v>93</v>
      </c>
      <c r="E58" s="1" t="s">
        <v>876</v>
      </c>
      <c r="F58" s="1">
        <v>1</v>
      </c>
      <c r="G58" s="1">
        <v>0</v>
      </c>
      <c r="H58" s="1" t="s">
        <v>662</v>
      </c>
      <c r="I58" s="1" t="s">
        <v>872</v>
      </c>
      <c r="J58" s="1" t="s">
        <v>873</v>
      </c>
      <c r="M58" s="1" t="s">
        <v>665</v>
      </c>
      <c r="O58" s="1">
        <v>1</v>
      </c>
      <c r="R58" s="1">
        <v>0</v>
      </c>
      <c r="S58" s="1">
        <v>0</v>
      </c>
      <c r="X58" s="1">
        <v>1</v>
      </c>
      <c r="AA58" s="1">
        <v>12.5</v>
      </c>
      <c r="AB58" s="1" t="s">
        <v>866</v>
      </c>
      <c r="AC58" s="1" t="s">
        <v>874</v>
      </c>
      <c r="AE58" s="1" t="s">
        <v>878</v>
      </c>
      <c r="AN58" s="1">
        <v>0</v>
      </c>
      <c r="AP58" s="1" t="s">
        <v>669</v>
      </c>
      <c r="AQ58" s="1" t="s">
        <v>869</v>
      </c>
      <c r="AR58" s="1">
        <v>1</v>
      </c>
      <c r="AS58" s="1">
        <v>1</v>
      </c>
      <c r="AT58" s="1" t="s">
        <v>671</v>
      </c>
      <c r="AU58" s="1" t="s">
        <v>728</v>
      </c>
      <c r="AV58" s="1">
        <v>1</v>
      </c>
      <c r="AW58" s="1">
        <v>1</v>
      </c>
      <c r="AX58" s="1" t="s">
        <v>685</v>
      </c>
      <c r="AY58" s="1" t="s">
        <v>41</v>
      </c>
      <c r="AZ58" s="1">
        <v>1</v>
      </c>
      <c r="BA58" s="1">
        <v>1</v>
      </c>
      <c r="BB58" s="1" t="s">
        <v>870</v>
      </c>
      <c r="BC58" s="1">
        <v>0</v>
      </c>
      <c r="BF58" s="1">
        <v>225</v>
      </c>
      <c r="BG58" s="1">
        <v>91</v>
      </c>
      <c r="BH58" s="1">
        <v>214</v>
      </c>
      <c r="BM58" s="1" t="s">
        <v>837</v>
      </c>
      <c r="BQ58" s="1" t="s">
        <v>678</v>
      </c>
      <c r="BR58" s="1" t="s">
        <v>679</v>
      </c>
      <c r="BS58" s="1" t="s">
        <v>678</v>
      </c>
      <c r="BT58" s="1" t="s">
        <v>679</v>
      </c>
      <c r="BU58" s="1" t="s">
        <v>679</v>
      </c>
      <c r="CB58" s="1" t="s">
        <v>4</v>
      </c>
      <c r="CC58" s="1" t="s">
        <v>14</v>
      </c>
      <c r="CD58" s="1">
        <v>1</v>
      </c>
      <c r="CE58" s="1">
        <v>1</v>
      </c>
    </row>
    <row r="59" spans="1:83" ht="244.8" x14ac:dyDescent="0.3">
      <c r="A59" s="1">
        <v>935</v>
      </c>
      <c r="B59" s="1" t="s">
        <v>661</v>
      </c>
      <c r="C59" s="1" t="s">
        <v>94</v>
      </c>
      <c r="E59" s="1" t="s">
        <v>879</v>
      </c>
      <c r="F59" s="1">
        <v>1</v>
      </c>
      <c r="G59" s="1">
        <v>0</v>
      </c>
      <c r="H59" s="1" t="s">
        <v>662</v>
      </c>
      <c r="I59" s="1" t="s">
        <v>864</v>
      </c>
      <c r="J59" s="1" t="s">
        <v>865</v>
      </c>
      <c r="M59" s="1" t="s">
        <v>665</v>
      </c>
      <c r="O59" s="1">
        <v>1</v>
      </c>
      <c r="R59" s="1">
        <v>0</v>
      </c>
      <c r="S59" s="1">
        <v>0</v>
      </c>
      <c r="X59" s="1">
        <v>1</v>
      </c>
      <c r="AA59" s="1">
        <v>12.5</v>
      </c>
      <c r="AB59" s="1" t="s">
        <v>866</v>
      </c>
      <c r="AC59" s="1" t="s">
        <v>867</v>
      </c>
      <c r="AE59" s="1" t="s">
        <v>880</v>
      </c>
      <c r="AN59" s="1">
        <v>0</v>
      </c>
      <c r="AP59" s="1" t="s">
        <v>669</v>
      </c>
      <c r="AQ59" s="1" t="s">
        <v>869</v>
      </c>
      <c r="AR59" s="1">
        <v>1</v>
      </c>
      <c r="AS59" s="1">
        <v>1</v>
      </c>
      <c r="AT59" s="1" t="s">
        <v>671</v>
      </c>
      <c r="AU59" s="1" t="s">
        <v>731</v>
      </c>
      <c r="AV59" s="1">
        <v>1</v>
      </c>
      <c r="AW59" s="1">
        <v>1</v>
      </c>
      <c r="AX59" s="1" t="s">
        <v>685</v>
      </c>
      <c r="AY59" s="1" t="s">
        <v>41</v>
      </c>
      <c r="AZ59" s="1">
        <v>1</v>
      </c>
      <c r="BA59" s="1">
        <v>1</v>
      </c>
      <c r="BB59" s="1" t="s">
        <v>870</v>
      </c>
      <c r="BC59" s="1">
        <v>0</v>
      </c>
      <c r="BF59" s="1">
        <v>220</v>
      </c>
      <c r="BG59" s="1">
        <v>88</v>
      </c>
      <c r="BH59" s="1">
        <v>210</v>
      </c>
      <c r="BM59" s="1" t="s">
        <v>837</v>
      </c>
      <c r="BQ59" s="1" t="s">
        <v>678</v>
      </c>
      <c r="BR59" s="1" t="s">
        <v>679</v>
      </c>
      <c r="BS59" s="1" t="s">
        <v>678</v>
      </c>
      <c r="BT59" s="1" t="s">
        <v>679</v>
      </c>
      <c r="BU59" s="1" t="s">
        <v>679</v>
      </c>
      <c r="CB59" s="1" t="s">
        <v>4</v>
      </c>
      <c r="CC59" s="1" t="s">
        <v>14</v>
      </c>
      <c r="CD59" s="1">
        <v>1</v>
      </c>
      <c r="CE59" s="1">
        <v>1</v>
      </c>
    </row>
    <row r="60" spans="1:83" ht="216" x14ac:dyDescent="0.3">
      <c r="A60" s="1">
        <v>939</v>
      </c>
      <c r="B60" s="1" t="s">
        <v>661</v>
      </c>
      <c r="C60" s="1" t="s">
        <v>95</v>
      </c>
      <c r="E60" s="1" t="s">
        <v>879</v>
      </c>
      <c r="F60" s="1">
        <v>1</v>
      </c>
      <c r="G60" s="1">
        <v>0</v>
      </c>
      <c r="H60" s="1" t="s">
        <v>662</v>
      </c>
      <c r="I60" s="1" t="s">
        <v>872</v>
      </c>
      <c r="J60" s="1" t="s">
        <v>873</v>
      </c>
      <c r="M60" s="1" t="s">
        <v>665</v>
      </c>
      <c r="O60" s="1">
        <v>1</v>
      </c>
      <c r="R60" s="1">
        <v>0</v>
      </c>
      <c r="S60" s="1">
        <v>0</v>
      </c>
      <c r="X60" s="1">
        <v>1</v>
      </c>
      <c r="AA60" s="1">
        <v>12.5</v>
      </c>
      <c r="AB60" s="1" t="s">
        <v>866</v>
      </c>
      <c r="AC60" s="1" t="s">
        <v>874</v>
      </c>
      <c r="AE60" s="1" t="s">
        <v>881</v>
      </c>
      <c r="AN60" s="1">
        <v>0</v>
      </c>
      <c r="AP60" s="1" t="s">
        <v>669</v>
      </c>
      <c r="AQ60" s="1" t="s">
        <v>869</v>
      </c>
      <c r="AR60" s="1">
        <v>1</v>
      </c>
      <c r="AS60" s="1">
        <v>1</v>
      </c>
      <c r="AT60" s="1" t="s">
        <v>671</v>
      </c>
      <c r="AU60" s="1" t="s">
        <v>731</v>
      </c>
      <c r="AV60" s="1">
        <v>1</v>
      </c>
      <c r="AW60" s="1">
        <v>1</v>
      </c>
      <c r="AX60" s="1" t="s">
        <v>685</v>
      </c>
      <c r="AY60" s="1" t="s">
        <v>41</v>
      </c>
      <c r="AZ60" s="1">
        <v>1</v>
      </c>
      <c r="BA60" s="1">
        <v>1</v>
      </c>
      <c r="BB60" s="1" t="s">
        <v>870</v>
      </c>
      <c r="BC60" s="1">
        <v>0</v>
      </c>
      <c r="BF60" s="1">
        <v>226</v>
      </c>
      <c r="BG60" s="1">
        <v>93</v>
      </c>
      <c r="BH60" s="1">
        <v>213</v>
      </c>
      <c r="BM60" s="1" t="s">
        <v>837</v>
      </c>
      <c r="BQ60" s="1" t="s">
        <v>678</v>
      </c>
      <c r="BR60" s="1" t="s">
        <v>679</v>
      </c>
      <c r="BS60" s="1" t="s">
        <v>678</v>
      </c>
      <c r="BT60" s="1" t="s">
        <v>679</v>
      </c>
      <c r="BU60" s="1" t="s">
        <v>679</v>
      </c>
      <c r="CB60" s="1" t="s">
        <v>4</v>
      </c>
      <c r="CC60" s="1" t="s">
        <v>14</v>
      </c>
      <c r="CD60" s="1">
        <v>1</v>
      </c>
      <c r="CE60" s="1">
        <v>1</v>
      </c>
    </row>
    <row r="61" spans="1:83" ht="244.8" x14ac:dyDescent="0.3">
      <c r="A61" s="1">
        <v>941</v>
      </c>
      <c r="B61" s="1" t="s">
        <v>661</v>
      </c>
      <c r="C61" s="1" t="s">
        <v>96</v>
      </c>
      <c r="E61" s="1" t="s">
        <v>882</v>
      </c>
      <c r="F61" s="1">
        <v>1</v>
      </c>
      <c r="G61" s="1">
        <v>0</v>
      </c>
      <c r="H61" s="1" t="s">
        <v>662</v>
      </c>
      <c r="I61" s="1" t="s">
        <v>864</v>
      </c>
      <c r="J61" s="1" t="s">
        <v>865</v>
      </c>
      <c r="M61" s="1" t="s">
        <v>665</v>
      </c>
      <c r="O61" s="1">
        <v>1</v>
      </c>
      <c r="R61" s="1">
        <v>0</v>
      </c>
      <c r="S61" s="1">
        <v>0</v>
      </c>
      <c r="X61" s="1">
        <v>1</v>
      </c>
      <c r="AA61" s="1">
        <v>12.5</v>
      </c>
      <c r="AB61" s="1" t="s">
        <v>866</v>
      </c>
      <c r="AC61" s="1" t="s">
        <v>867</v>
      </c>
      <c r="AE61" s="1" t="s">
        <v>883</v>
      </c>
      <c r="AN61" s="1">
        <v>0</v>
      </c>
      <c r="AP61" s="1" t="s">
        <v>669</v>
      </c>
      <c r="AQ61" s="1" t="s">
        <v>869</v>
      </c>
      <c r="AR61" s="1">
        <v>1</v>
      </c>
      <c r="AS61" s="1">
        <v>1</v>
      </c>
      <c r="AT61" s="1" t="s">
        <v>671</v>
      </c>
      <c r="AU61" s="1" t="s">
        <v>728</v>
      </c>
      <c r="AV61" s="1">
        <v>1</v>
      </c>
      <c r="AW61" s="1">
        <v>1</v>
      </c>
      <c r="AX61" s="1" t="s">
        <v>685</v>
      </c>
      <c r="AY61" s="1" t="s">
        <v>41</v>
      </c>
      <c r="AZ61" s="1">
        <v>1</v>
      </c>
      <c r="BA61" s="1">
        <v>1</v>
      </c>
      <c r="BB61" s="1" t="s">
        <v>870</v>
      </c>
      <c r="BC61" s="1">
        <v>0</v>
      </c>
      <c r="BF61" s="1">
        <v>223</v>
      </c>
      <c r="BG61" s="1">
        <v>91</v>
      </c>
      <c r="BH61" s="1">
        <v>213</v>
      </c>
      <c r="BM61" s="1" t="s">
        <v>837</v>
      </c>
      <c r="BQ61" s="1" t="s">
        <v>678</v>
      </c>
      <c r="BR61" s="1" t="s">
        <v>679</v>
      </c>
      <c r="BS61" s="1" t="s">
        <v>678</v>
      </c>
      <c r="BT61" s="1" t="s">
        <v>679</v>
      </c>
      <c r="BU61" s="1" t="s">
        <v>679</v>
      </c>
      <c r="CB61" s="1" t="s">
        <v>4</v>
      </c>
      <c r="CC61" s="1" t="s">
        <v>14</v>
      </c>
      <c r="CD61" s="1">
        <v>1</v>
      </c>
      <c r="CE61" s="1">
        <v>1</v>
      </c>
    </row>
    <row r="62" spans="1:83" ht="216" x14ac:dyDescent="0.3">
      <c r="A62" s="1">
        <v>945</v>
      </c>
      <c r="B62" s="1" t="s">
        <v>661</v>
      </c>
      <c r="C62" s="1" t="s">
        <v>97</v>
      </c>
      <c r="E62" s="1" t="s">
        <v>882</v>
      </c>
      <c r="F62" s="1">
        <v>1</v>
      </c>
      <c r="G62" s="1">
        <v>0</v>
      </c>
      <c r="H62" s="1" t="s">
        <v>662</v>
      </c>
      <c r="I62" s="1" t="s">
        <v>872</v>
      </c>
      <c r="J62" s="1" t="s">
        <v>873</v>
      </c>
      <c r="M62" s="1" t="s">
        <v>665</v>
      </c>
      <c r="O62" s="1">
        <v>1</v>
      </c>
      <c r="R62" s="1">
        <v>0</v>
      </c>
      <c r="S62" s="1">
        <v>0</v>
      </c>
      <c r="X62" s="1">
        <v>1</v>
      </c>
      <c r="AA62" s="1">
        <v>12.5</v>
      </c>
      <c r="AB62" s="1" t="s">
        <v>866</v>
      </c>
      <c r="AC62" s="1" t="s">
        <v>874</v>
      </c>
      <c r="AE62" s="1" t="s">
        <v>884</v>
      </c>
      <c r="AN62" s="1">
        <v>0</v>
      </c>
      <c r="AP62" s="1" t="s">
        <v>669</v>
      </c>
      <c r="AQ62" s="1" t="s">
        <v>869</v>
      </c>
      <c r="AR62" s="1">
        <v>1</v>
      </c>
      <c r="AS62" s="1">
        <v>1</v>
      </c>
      <c r="AT62" s="1" t="s">
        <v>671</v>
      </c>
      <c r="AU62" s="1" t="s">
        <v>728</v>
      </c>
      <c r="AV62" s="1">
        <v>1</v>
      </c>
      <c r="AW62" s="1">
        <v>1</v>
      </c>
      <c r="AX62" s="1" t="s">
        <v>685</v>
      </c>
      <c r="AY62" s="1" t="s">
        <v>41</v>
      </c>
      <c r="AZ62" s="1">
        <v>1</v>
      </c>
      <c r="BA62" s="1">
        <v>1</v>
      </c>
      <c r="BB62" s="1" t="s">
        <v>870</v>
      </c>
      <c r="BC62" s="1">
        <v>0</v>
      </c>
      <c r="BF62" s="1">
        <v>224</v>
      </c>
      <c r="BG62" s="1">
        <v>92</v>
      </c>
      <c r="BH62" s="1">
        <v>212</v>
      </c>
      <c r="BM62" s="1" t="s">
        <v>837</v>
      </c>
      <c r="BQ62" s="1" t="s">
        <v>678</v>
      </c>
      <c r="BR62" s="1" t="s">
        <v>679</v>
      </c>
      <c r="BS62" s="1" t="s">
        <v>678</v>
      </c>
      <c r="BT62" s="1" t="s">
        <v>679</v>
      </c>
      <c r="BU62" s="1" t="s">
        <v>679</v>
      </c>
      <c r="CB62" s="1" t="s">
        <v>4</v>
      </c>
      <c r="CC62" s="1" t="s">
        <v>14</v>
      </c>
      <c r="CD62" s="1">
        <v>1</v>
      </c>
      <c r="CE62" s="1">
        <v>1</v>
      </c>
    </row>
    <row r="63" spans="1:83" ht="216" x14ac:dyDescent="0.3">
      <c r="A63" s="1">
        <v>946</v>
      </c>
      <c r="B63" s="1" t="s">
        <v>661</v>
      </c>
      <c r="C63" s="1" t="s">
        <v>98</v>
      </c>
      <c r="E63" s="1" t="s">
        <v>885</v>
      </c>
      <c r="F63" s="1">
        <v>1</v>
      </c>
      <c r="G63" s="1">
        <v>0</v>
      </c>
      <c r="H63" s="1" t="s">
        <v>662</v>
      </c>
      <c r="I63" s="1" t="s">
        <v>886</v>
      </c>
      <c r="J63" s="1" t="s">
        <v>873</v>
      </c>
      <c r="M63" s="1" t="s">
        <v>665</v>
      </c>
      <c r="O63" s="1">
        <v>1</v>
      </c>
      <c r="R63" s="1">
        <v>0</v>
      </c>
      <c r="S63" s="1">
        <v>0</v>
      </c>
      <c r="X63" s="1">
        <v>1</v>
      </c>
      <c r="AA63" s="1">
        <v>12.5</v>
      </c>
      <c r="AB63" s="1" t="s">
        <v>866</v>
      </c>
      <c r="AC63" s="1" t="s">
        <v>874</v>
      </c>
      <c r="AE63" s="1" t="s">
        <v>887</v>
      </c>
      <c r="AN63" s="1">
        <v>0</v>
      </c>
      <c r="AP63" s="1" t="s">
        <v>669</v>
      </c>
      <c r="AQ63" s="1" t="s">
        <v>869</v>
      </c>
      <c r="AR63" s="1">
        <v>1</v>
      </c>
      <c r="AS63" s="1">
        <v>1</v>
      </c>
      <c r="AT63" s="1" t="s">
        <v>671</v>
      </c>
      <c r="AU63" s="1" t="s">
        <v>696</v>
      </c>
      <c r="AV63" s="1">
        <v>1</v>
      </c>
      <c r="AW63" s="1">
        <v>1</v>
      </c>
      <c r="AX63" s="1" t="s">
        <v>685</v>
      </c>
      <c r="AY63" s="1" t="s">
        <v>41</v>
      </c>
      <c r="AZ63" s="1">
        <v>1</v>
      </c>
      <c r="BA63" s="1">
        <v>1</v>
      </c>
      <c r="BB63" s="1" t="s">
        <v>870</v>
      </c>
      <c r="BC63" s="1">
        <v>0</v>
      </c>
      <c r="BF63" s="1">
        <v>221</v>
      </c>
      <c r="BG63" s="1">
        <v>89</v>
      </c>
      <c r="BH63" s="1">
        <v>210</v>
      </c>
      <c r="BM63" s="1" t="s">
        <v>837</v>
      </c>
      <c r="BQ63" s="1" t="s">
        <v>678</v>
      </c>
      <c r="BR63" s="1" t="s">
        <v>679</v>
      </c>
      <c r="BS63" s="1" t="s">
        <v>678</v>
      </c>
      <c r="BT63" s="1" t="s">
        <v>679</v>
      </c>
      <c r="BU63" s="1" t="s">
        <v>679</v>
      </c>
      <c r="CB63" s="1" t="s">
        <v>4</v>
      </c>
      <c r="CC63" s="1" t="s">
        <v>14</v>
      </c>
      <c r="CD63" s="1">
        <v>1</v>
      </c>
      <c r="CE63" s="1">
        <v>1</v>
      </c>
    </row>
    <row r="64" spans="1:83" ht="244.8" x14ac:dyDescent="0.3">
      <c r="A64" s="1">
        <v>950</v>
      </c>
      <c r="B64" s="1" t="s">
        <v>661</v>
      </c>
      <c r="C64" s="1" t="s">
        <v>99</v>
      </c>
      <c r="E64" s="1" t="s">
        <v>885</v>
      </c>
      <c r="F64" s="1">
        <v>1</v>
      </c>
      <c r="G64" s="1">
        <v>0</v>
      </c>
      <c r="H64" s="1" t="s">
        <v>662</v>
      </c>
      <c r="I64" s="1" t="s">
        <v>864</v>
      </c>
      <c r="J64" s="1" t="s">
        <v>865</v>
      </c>
      <c r="M64" s="1" t="s">
        <v>665</v>
      </c>
      <c r="O64" s="1">
        <v>1</v>
      </c>
      <c r="R64" s="1">
        <v>0</v>
      </c>
      <c r="S64" s="1">
        <v>0</v>
      </c>
      <c r="X64" s="1">
        <v>1</v>
      </c>
      <c r="AA64" s="1">
        <v>12.5</v>
      </c>
      <c r="AB64" s="1" t="s">
        <v>866</v>
      </c>
      <c r="AC64" s="1" t="s">
        <v>867</v>
      </c>
      <c r="AE64" s="1" t="s">
        <v>888</v>
      </c>
      <c r="AN64" s="1">
        <v>0</v>
      </c>
      <c r="AP64" s="1" t="s">
        <v>669</v>
      </c>
      <c r="AQ64" s="1" t="s">
        <v>869</v>
      </c>
      <c r="AR64" s="1">
        <v>1</v>
      </c>
      <c r="AS64" s="1">
        <v>1</v>
      </c>
      <c r="AT64" s="1" t="s">
        <v>671</v>
      </c>
      <c r="AU64" s="1" t="s">
        <v>696</v>
      </c>
      <c r="AV64" s="1">
        <v>1</v>
      </c>
      <c r="AW64" s="1">
        <v>1</v>
      </c>
      <c r="AX64" s="1" t="s">
        <v>685</v>
      </c>
      <c r="AY64" s="1" t="s">
        <v>41</v>
      </c>
      <c r="AZ64" s="1">
        <v>1</v>
      </c>
      <c r="BA64" s="1">
        <v>1</v>
      </c>
      <c r="BB64" s="1" t="s">
        <v>870</v>
      </c>
      <c r="BC64" s="1">
        <v>0</v>
      </c>
      <c r="BF64" s="1">
        <v>224</v>
      </c>
      <c r="BG64" s="1">
        <v>91</v>
      </c>
      <c r="BH64" s="1">
        <v>212</v>
      </c>
      <c r="BM64" s="1" t="s">
        <v>837</v>
      </c>
      <c r="BQ64" s="1" t="s">
        <v>678</v>
      </c>
      <c r="BR64" s="1" t="s">
        <v>679</v>
      </c>
      <c r="BS64" s="1" t="s">
        <v>678</v>
      </c>
      <c r="BT64" s="1" t="s">
        <v>679</v>
      </c>
      <c r="BU64" s="1" t="s">
        <v>679</v>
      </c>
      <c r="CB64" s="1" t="s">
        <v>4</v>
      </c>
      <c r="CC64" s="1" t="s">
        <v>14</v>
      </c>
      <c r="CD64" s="1">
        <v>1</v>
      </c>
      <c r="CE64" s="1">
        <v>1</v>
      </c>
    </row>
    <row r="65" spans="1:83" ht="244.8" x14ac:dyDescent="0.3">
      <c r="A65" s="1">
        <v>951</v>
      </c>
      <c r="B65" s="1" t="s">
        <v>661</v>
      </c>
      <c r="C65" s="1" t="s">
        <v>100</v>
      </c>
      <c r="E65" s="1" t="s">
        <v>889</v>
      </c>
      <c r="F65" s="1">
        <v>1</v>
      </c>
      <c r="G65" s="1">
        <v>0</v>
      </c>
      <c r="H65" s="1" t="s">
        <v>662</v>
      </c>
      <c r="I65" s="1" t="s">
        <v>886</v>
      </c>
      <c r="J65" s="1" t="s">
        <v>865</v>
      </c>
      <c r="M65" s="1" t="s">
        <v>665</v>
      </c>
      <c r="O65" s="1">
        <v>1</v>
      </c>
      <c r="R65" s="1">
        <v>0</v>
      </c>
      <c r="S65" s="1">
        <v>0</v>
      </c>
      <c r="X65" s="1">
        <v>1</v>
      </c>
      <c r="AA65" s="1">
        <v>12.5</v>
      </c>
      <c r="AB65" s="1" t="s">
        <v>866</v>
      </c>
      <c r="AC65" s="1" t="s">
        <v>867</v>
      </c>
      <c r="AE65" s="1" t="s">
        <v>890</v>
      </c>
      <c r="AN65" s="1">
        <v>0</v>
      </c>
      <c r="AP65" s="1" t="s">
        <v>669</v>
      </c>
      <c r="AQ65" s="1" t="s">
        <v>869</v>
      </c>
      <c r="AR65" s="1">
        <v>1</v>
      </c>
      <c r="AS65" s="1">
        <v>1</v>
      </c>
      <c r="AT65" s="1" t="s">
        <v>671</v>
      </c>
      <c r="AU65" s="1" t="s">
        <v>891</v>
      </c>
      <c r="AV65" s="1">
        <v>1</v>
      </c>
      <c r="AW65" s="1">
        <v>1</v>
      </c>
      <c r="AX65" s="1" t="s">
        <v>685</v>
      </c>
      <c r="AY65" s="1" t="s">
        <v>41</v>
      </c>
      <c r="AZ65" s="1">
        <v>1</v>
      </c>
      <c r="BA65" s="1">
        <v>1</v>
      </c>
      <c r="BB65" s="1" t="s">
        <v>870</v>
      </c>
      <c r="BC65" s="1">
        <v>0</v>
      </c>
      <c r="BF65" s="1">
        <v>235</v>
      </c>
      <c r="BG65" s="1">
        <v>100</v>
      </c>
      <c r="BH65" s="1">
        <v>225</v>
      </c>
      <c r="BM65" s="1" t="s">
        <v>837</v>
      </c>
      <c r="BQ65" s="1" t="s">
        <v>678</v>
      </c>
      <c r="BR65" s="1" t="s">
        <v>679</v>
      </c>
      <c r="BS65" s="1" t="s">
        <v>678</v>
      </c>
      <c r="BT65" s="1" t="s">
        <v>679</v>
      </c>
      <c r="BU65" s="1" t="s">
        <v>679</v>
      </c>
      <c r="CB65" s="1" t="s">
        <v>4</v>
      </c>
      <c r="CC65" s="1" t="s">
        <v>14</v>
      </c>
      <c r="CD65" s="1">
        <v>1</v>
      </c>
      <c r="CE65" s="1">
        <v>1</v>
      </c>
    </row>
    <row r="66" spans="1:83" ht="216" x14ac:dyDescent="0.3">
      <c r="A66" s="1">
        <v>956</v>
      </c>
      <c r="B66" s="1" t="s">
        <v>661</v>
      </c>
      <c r="C66" s="1" t="s">
        <v>101</v>
      </c>
      <c r="E66" s="1" t="s">
        <v>889</v>
      </c>
      <c r="F66" s="1">
        <v>1</v>
      </c>
      <c r="G66" s="1">
        <v>0</v>
      </c>
      <c r="H66" s="1" t="s">
        <v>662</v>
      </c>
      <c r="I66" s="1" t="s">
        <v>872</v>
      </c>
      <c r="J66" s="1" t="s">
        <v>873</v>
      </c>
      <c r="M66" s="1" t="s">
        <v>665</v>
      </c>
      <c r="O66" s="1">
        <v>1</v>
      </c>
      <c r="R66" s="1">
        <v>0</v>
      </c>
      <c r="S66" s="1">
        <v>0</v>
      </c>
      <c r="X66" s="1">
        <v>1</v>
      </c>
      <c r="AA66" s="1">
        <v>12.5</v>
      </c>
      <c r="AB66" s="1" t="s">
        <v>866</v>
      </c>
      <c r="AC66" s="1" t="s">
        <v>874</v>
      </c>
      <c r="AE66" s="1" t="s">
        <v>892</v>
      </c>
      <c r="AN66" s="1">
        <v>0</v>
      </c>
      <c r="AP66" s="1" t="s">
        <v>669</v>
      </c>
      <c r="AQ66" s="1" t="s">
        <v>869</v>
      </c>
      <c r="AR66" s="1">
        <v>1</v>
      </c>
      <c r="AS66" s="1">
        <v>1</v>
      </c>
      <c r="AT66" s="1" t="s">
        <v>671</v>
      </c>
      <c r="AU66" s="1" t="s">
        <v>893</v>
      </c>
      <c r="AV66" s="1">
        <v>1</v>
      </c>
      <c r="AW66" s="1">
        <v>1</v>
      </c>
      <c r="AX66" s="1" t="s">
        <v>685</v>
      </c>
      <c r="AY66" s="1" t="s">
        <v>41</v>
      </c>
      <c r="AZ66" s="1">
        <v>1</v>
      </c>
      <c r="BA66" s="1">
        <v>1</v>
      </c>
      <c r="BB66" s="1" t="s">
        <v>870</v>
      </c>
      <c r="BC66" s="1">
        <v>0</v>
      </c>
      <c r="BF66" s="1">
        <v>226</v>
      </c>
      <c r="BG66" s="1">
        <v>94</v>
      </c>
      <c r="BH66" s="1">
        <v>216</v>
      </c>
      <c r="BM66" s="1" t="s">
        <v>837</v>
      </c>
      <c r="BQ66" s="1" t="s">
        <v>678</v>
      </c>
      <c r="BR66" s="1" t="s">
        <v>679</v>
      </c>
      <c r="BS66" s="1" t="s">
        <v>678</v>
      </c>
      <c r="BT66" s="1" t="s">
        <v>679</v>
      </c>
      <c r="BU66" s="1" t="s">
        <v>679</v>
      </c>
      <c r="CB66" s="1" t="s">
        <v>4</v>
      </c>
      <c r="CC66" s="1" t="s">
        <v>14</v>
      </c>
      <c r="CD66" s="1">
        <v>1</v>
      </c>
      <c r="CE66" s="1">
        <v>1</v>
      </c>
    </row>
    <row r="67" spans="1:83" ht="244.8" x14ac:dyDescent="0.3">
      <c r="A67" s="1">
        <v>957</v>
      </c>
      <c r="B67" s="1" t="s">
        <v>661</v>
      </c>
      <c r="C67" s="1" t="s">
        <v>102</v>
      </c>
      <c r="E67" s="1" t="s">
        <v>894</v>
      </c>
      <c r="F67" s="1">
        <v>1</v>
      </c>
      <c r="G67" s="1">
        <v>0</v>
      </c>
      <c r="H67" s="1" t="s">
        <v>662</v>
      </c>
      <c r="I67" s="1" t="s">
        <v>864</v>
      </c>
      <c r="J67" s="1" t="s">
        <v>865</v>
      </c>
      <c r="M67" s="1" t="s">
        <v>665</v>
      </c>
      <c r="O67" s="1">
        <v>1</v>
      </c>
      <c r="R67" s="1">
        <v>0</v>
      </c>
      <c r="S67" s="1">
        <v>0</v>
      </c>
      <c r="X67" s="1">
        <v>1</v>
      </c>
      <c r="AA67" s="1">
        <v>12.5</v>
      </c>
      <c r="AB67" s="1" t="s">
        <v>866</v>
      </c>
      <c r="AC67" s="1" t="s">
        <v>867</v>
      </c>
      <c r="AE67" s="1" t="s">
        <v>895</v>
      </c>
      <c r="AN67" s="1">
        <v>0</v>
      </c>
      <c r="AP67" s="1" t="s">
        <v>669</v>
      </c>
      <c r="AQ67" s="1" t="s">
        <v>869</v>
      </c>
      <c r="AR67" s="1">
        <v>1</v>
      </c>
      <c r="AS67" s="1">
        <v>1</v>
      </c>
      <c r="AT67" s="1" t="s">
        <v>671</v>
      </c>
      <c r="AU67" s="1" t="s">
        <v>792</v>
      </c>
      <c r="AV67" s="1">
        <v>1</v>
      </c>
      <c r="AW67" s="1">
        <v>1</v>
      </c>
      <c r="AX67" s="1" t="s">
        <v>685</v>
      </c>
      <c r="AY67" s="1" t="s">
        <v>41</v>
      </c>
      <c r="AZ67" s="1">
        <v>1</v>
      </c>
      <c r="BA67" s="1">
        <v>1</v>
      </c>
      <c r="BB67" s="1" t="s">
        <v>870</v>
      </c>
      <c r="BC67" s="1">
        <v>0</v>
      </c>
      <c r="BF67" s="1">
        <v>234</v>
      </c>
      <c r="BG67" s="1">
        <v>100</v>
      </c>
      <c r="BH67" s="1">
        <v>221</v>
      </c>
      <c r="BM67" s="1" t="s">
        <v>837</v>
      </c>
      <c r="BQ67" s="1" t="s">
        <v>678</v>
      </c>
      <c r="BR67" s="1" t="s">
        <v>679</v>
      </c>
      <c r="BS67" s="1" t="s">
        <v>678</v>
      </c>
      <c r="BT67" s="1" t="s">
        <v>679</v>
      </c>
      <c r="BU67" s="1" t="s">
        <v>679</v>
      </c>
      <c r="CB67" s="1" t="s">
        <v>4</v>
      </c>
      <c r="CC67" s="1" t="s">
        <v>14</v>
      </c>
      <c r="CD67" s="1">
        <v>1</v>
      </c>
      <c r="CE67" s="1">
        <v>1</v>
      </c>
    </row>
    <row r="68" spans="1:83" ht="216" x14ac:dyDescent="0.3">
      <c r="A68" s="1">
        <v>962</v>
      </c>
      <c r="B68" s="1" t="s">
        <v>661</v>
      </c>
      <c r="C68" s="1" t="s">
        <v>103</v>
      </c>
      <c r="E68" s="1" t="s">
        <v>894</v>
      </c>
      <c r="F68" s="1">
        <v>1</v>
      </c>
      <c r="G68" s="1">
        <v>0</v>
      </c>
      <c r="H68" s="1" t="s">
        <v>662</v>
      </c>
      <c r="I68" s="1" t="s">
        <v>872</v>
      </c>
      <c r="J68" s="1" t="s">
        <v>873</v>
      </c>
      <c r="M68" s="1" t="s">
        <v>665</v>
      </c>
      <c r="O68" s="1">
        <v>1</v>
      </c>
      <c r="R68" s="1">
        <v>0</v>
      </c>
      <c r="S68" s="1">
        <v>0</v>
      </c>
      <c r="X68" s="1">
        <v>1</v>
      </c>
      <c r="AA68" s="1">
        <v>12.5</v>
      </c>
      <c r="AB68" s="1" t="s">
        <v>866</v>
      </c>
      <c r="AC68" s="1" t="s">
        <v>874</v>
      </c>
      <c r="AE68" s="1" t="s">
        <v>896</v>
      </c>
      <c r="AN68" s="1">
        <v>0</v>
      </c>
      <c r="AP68" s="1" t="s">
        <v>669</v>
      </c>
      <c r="AQ68" s="1" t="s">
        <v>869</v>
      </c>
      <c r="AR68" s="1">
        <v>1</v>
      </c>
      <c r="AS68" s="1">
        <v>1</v>
      </c>
      <c r="AT68" s="1" t="s">
        <v>671</v>
      </c>
      <c r="AU68" s="1" t="s">
        <v>792</v>
      </c>
      <c r="AV68" s="1">
        <v>1</v>
      </c>
      <c r="AW68" s="1">
        <v>1</v>
      </c>
      <c r="AX68" s="1" t="s">
        <v>685</v>
      </c>
      <c r="AY68" s="1" t="s">
        <v>41</v>
      </c>
      <c r="AZ68" s="1">
        <v>1</v>
      </c>
      <c r="BA68" s="1">
        <v>1</v>
      </c>
      <c r="BB68" s="1" t="s">
        <v>870</v>
      </c>
      <c r="BC68" s="1">
        <v>0</v>
      </c>
      <c r="BF68" s="1">
        <v>230</v>
      </c>
      <c r="BG68" s="1">
        <v>97</v>
      </c>
      <c r="BH68" s="1">
        <v>218</v>
      </c>
      <c r="BM68" s="1" t="s">
        <v>837</v>
      </c>
      <c r="BQ68" s="1" t="s">
        <v>678</v>
      </c>
      <c r="BR68" s="1" t="s">
        <v>679</v>
      </c>
      <c r="BS68" s="1" t="s">
        <v>678</v>
      </c>
      <c r="BT68" s="1" t="s">
        <v>679</v>
      </c>
      <c r="BU68" s="1" t="s">
        <v>679</v>
      </c>
      <c r="CB68" s="1" t="s">
        <v>4</v>
      </c>
      <c r="CC68" s="1" t="s">
        <v>14</v>
      </c>
      <c r="CD68" s="1">
        <v>1</v>
      </c>
      <c r="CE68" s="1">
        <v>1</v>
      </c>
    </row>
    <row r="69" spans="1:83" ht="216" x14ac:dyDescent="0.3">
      <c r="A69" s="1">
        <v>963</v>
      </c>
      <c r="B69" s="1" t="s">
        <v>661</v>
      </c>
      <c r="C69" s="1" t="s">
        <v>104</v>
      </c>
      <c r="E69" s="1" t="s">
        <v>897</v>
      </c>
      <c r="F69" s="1">
        <v>1</v>
      </c>
      <c r="G69" s="1">
        <v>0</v>
      </c>
      <c r="H69" s="1" t="s">
        <v>662</v>
      </c>
      <c r="I69" s="1" t="s">
        <v>898</v>
      </c>
      <c r="J69" s="1" t="s">
        <v>899</v>
      </c>
      <c r="M69" s="1" t="s">
        <v>665</v>
      </c>
      <c r="O69" s="1">
        <v>1</v>
      </c>
      <c r="R69" s="1">
        <v>0</v>
      </c>
      <c r="S69" s="1">
        <v>0</v>
      </c>
      <c r="X69" s="1">
        <v>1</v>
      </c>
      <c r="AA69" s="1">
        <v>11.5</v>
      </c>
      <c r="AB69" s="1" t="s">
        <v>900</v>
      </c>
      <c r="AC69" s="1" t="s">
        <v>901</v>
      </c>
      <c r="AE69" s="1" t="s">
        <v>902</v>
      </c>
      <c r="AN69" s="1">
        <v>0</v>
      </c>
      <c r="AP69" s="1" t="s">
        <v>669</v>
      </c>
      <c r="AQ69" s="1" t="s">
        <v>869</v>
      </c>
      <c r="AR69" s="1">
        <v>1</v>
      </c>
      <c r="AS69" s="1">
        <v>1</v>
      </c>
      <c r="AT69" s="1" t="s">
        <v>671</v>
      </c>
      <c r="AU69" s="1" t="s">
        <v>672</v>
      </c>
      <c r="AV69" s="1">
        <v>1</v>
      </c>
      <c r="AW69" s="1">
        <v>1</v>
      </c>
      <c r="AX69" s="1" t="s">
        <v>685</v>
      </c>
      <c r="AY69" s="1" t="s">
        <v>686</v>
      </c>
      <c r="AZ69" s="1">
        <v>1</v>
      </c>
      <c r="BA69" s="1">
        <v>1</v>
      </c>
      <c r="BB69" s="1" t="s">
        <v>903</v>
      </c>
      <c r="BC69" s="1">
        <v>0</v>
      </c>
      <c r="BF69" s="1">
        <v>230</v>
      </c>
      <c r="BG69" s="1">
        <v>97</v>
      </c>
      <c r="BH69" s="1">
        <v>218</v>
      </c>
      <c r="BM69" s="1" t="s">
        <v>837</v>
      </c>
      <c r="BQ69" s="1" t="s">
        <v>678</v>
      </c>
      <c r="BR69" s="1" t="s">
        <v>679</v>
      </c>
      <c r="BS69" s="1" t="s">
        <v>678</v>
      </c>
      <c r="BT69" s="1" t="s">
        <v>679</v>
      </c>
      <c r="BU69" s="1" t="s">
        <v>679</v>
      </c>
      <c r="CB69" s="1" t="s">
        <v>4</v>
      </c>
      <c r="CC69" s="1" t="s">
        <v>14</v>
      </c>
      <c r="CD69" s="1">
        <v>1</v>
      </c>
      <c r="CE69" s="1">
        <v>1</v>
      </c>
    </row>
    <row r="70" spans="1:83" ht="216" x14ac:dyDescent="0.3">
      <c r="A70" s="1">
        <v>967</v>
      </c>
      <c r="B70" s="1" t="s">
        <v>661</v>
      </c>
      <c r="C70" s="1" t="s">
        <v>106</v>
      </c>
      <c r="E70" s="1" t="s">
        <v>904</v>
      </c>
      <c r="F70" s="1">
        <v>1</v>
      </c>
      <c r="G70" s="1">
        <v>0</v>
      </c>
      <c r="H70" s="1" t="s">
        <v>662</v>
      </c>
      <c r="I70" s="1" t="s">
        <v>898</v>
      </c>
      <c r="J70" s="1" t="s">
        <v>899</v>
      </c>
      <c r="M70" s="1" t="s">
        <v>665</v>
      </c>
      <c r="O70" s="1">
        <v>1</v>
      </c>
      <c r="R70" s="1">
        <v>0</v>
      </c>
      <c r="S70" s="1">
        <v>0</v>
      </c>
      <c r="X70" s="1">
        <v>1</v>
      </c>
      <c r="AA70" s="1">
        <v>11.5</v>
      </c>
      <c r="AB70" s="1" t="s">
        <v>900</v>
      </c>
      <c r="AC70" s="1" t="s">
        <v>901</v>
      </c>
      <c r="AE70" s="1" t="s">
        <v>905</v>
      </c>
      <c r="AN70" s="1">
        <v>0</v>
      </c>
      <c r="AP70" s="1" t="s">
        <v>669</v>
      </c>
      <c r="AQ70" s="1" t="s">
        <v>869</v>
      </c>
      <c r="AR70" s="1">
        <v>1</v>
      </c>
      <c r="AS70" s="1">
        <v>1</v>
      </c>
      <c r="AT70" s="1" t="s">
        <v>671</v>
      </c>
      <c r="AU70" s="1" t="s">
        <v>728</v>
      </c>
      <c r="AV70" s="1">
        <v>1</v>
      </c>
      <c r="AW70" s="1">
        <v>1</v>
      </c>
      <c r="AX70" s="1" t="s">
        <v>685</v>
      </c>
      <c r="AY70" s="1" t="s">
        <v>686</v>
      </c>
      <c r="AZ70" s="1">
        <v>1</v>
      </c>
      <c r="BA70" s="1">
        <v>1</v>
      </c>
      <c r="BB70" s="1" t="s">
        <v>903</v>
      </c>
      <c r="BC70" s="1">
        <v>0</v>
      </c>
      <c r="BF70" s="1">
        <v>228</v>
      </c>
      <c r="BG70" s="1">
        <v>96</v>
      </c>
      <c r="BH70" s="1">
        <v>214</v>
      </c>
      <c r="BM70" s="1" t="s">
        <v>837</v>
      </c>
      <c r="BQ70" s="1" t="s">
        <v>678</v>
      </c>
      <c r="BR70" s="1" t="s">
        <v>679</v>
      </c>
      <c r="BS70" s="1" t="s">
        <v>678</v>
      </c>
      <c r="BT70" s="1" t="s">
        <v>679</v>
      </c>
      <c r="BU70" s="1" t="s">
        <v>679</v>
      </c>
      <c r="CB70" s="1" t="s">
        <v>4</v>
      </c>
      <c r="CC70" s="1" t="s">
        <v>14</v>
      </c>
      <c r="CD70" s="1">
        <v>1</v>
      </c>
      <c r="CE70" s="1">
        <v>1</v>
      </c>
    </row>
    <row r="71" spans="1:83" ht="216" x14ac:dyDescent="0.3">
      <c r="A71" s="1">
        <v>971</v>
      </c>
      <c r="B71" s="1" t="s">
        <v>661</v>
      </c>
      <c r="C71" s="1" t="s">
        <v>107</v>
      </c>
      <c r="E71" s="1" t="s">
        <v>906</v>
      </c>
      <c r="F71" s="1">
        <v>1</v>
      </c>
      <c r="G71" s="1">
        <v>0</v>
      </c>
      <c r="H71" s="1" t="s">
        <v>662</v>
      </c>
      <c r="I71" s="1" t="s">
        <v>898</v>
      </c>
      <c r="J71" s="1" t="s">
        <v>899</v>
      </c>
      <c r="M71" s="1" t="s">
        <v>665</v>
      </c>
      <c r="O71" s="1">
        <v>1</v>
      </c>
      <c r="R71" s="1">
        <v>0</v>
      </c>
      <c r="S71" s="1">
        <v>0</v>
      </c>
      <c r="X71" s="1">
        <v>1</v>
      </c>
      <c r="AA71" s="1">
        <v>11.5</v>
      </c>
      <c r="AB71" s="1" t="s">
        <v>900</v>
      </c>
      <c r="AC71" s="1" t="s">
        <v>901</v>
      </c>
      <c r="AE71" s="1" t="s">
        <v>907</v>
      </c>
      <c r="AN71" s="1">
        <v>0</v>
      </c>
      <c r="AP71" s="1" t="s">
        <v>669</v>
      </c>
      <c r="AQ71" s="1" t="s">
        <v>869</v>
      </c>
      <c r="AR71" s="1">
        <v>1</v>
      </c>
      <c r="AS71" s="1">
        <v>1</v>
      </c>
      <c r="AT71" s="1" t="s">
        <v>671</v>
      </c>
      <c r="AU71" s="1" t="s">
        <v>731</v>
      </c>
      <c r="AV71" s="1">
        <v>1</v>
      </c>
      <c r="AW71" s="1">
        <v>1</v>
      </c>
      <c r="AX71" s="1" t="s">
        <v>685</v>
      </c>
      <c r="AY71" s="1" t="s">
        <v>686</v>
      </c>
      <c r="AZ71" s="1">
        <v>1</v>
      </c>
      <c r="BA71" s="1">
        <v>1</v>
      </c>
      <c r="BB71" s="1" t="s">
        <v>903</v>
      </c>
      <c r="BC71" s="1">
        <v>0</v>
      </c>
      <c r="BF71" s="1">
        <v>224</v>
      </c>
      <c r="BG71" s="1">
        <v>92</v>
      </c>
      <c r="BH71" s="1">
        <v>214</v>
      </c>
      <c r="BM71" s="1" t="s">
        <v>837</v>
      </c>
      <c r="BQ71" s="1" t="s">
        <v>678</v>
      </c>
      <c r="BR71" s="1" t="s">
        <v>679</v>
      </c>
      <c r="BS71" s="1" t="s">
        <v>678</v>
      </c>
      <c r="BT71" s="1" t="s">
        <v>679</v>
      </c>
      <c r="BU71" s="1" t="s">
        <v>679</v>
      </c>
      <c r="CB71" s="1" t="s">
        <v>4</v>
      </c>
      <c r="CC71" s="1" t="s">
        <v>14</v>
      </c>
      <c r="CD71" s="1">
        <v>1</v>
      </c>
      <c r="CE71" s="1">
        <v>1</v>
      </c>
    </row>
    <row r="72" spans="1:83" ht="216" x14ac:dyDescent="0.3">
      <c r="A72" s="1">
        <v>976</v>
      </c>
      <c r="B72" s="1" t="s">
        <v>661</v>
      </c>
      <c r="C72" s="1" t="s">
        <v>108</v>
      </c>
      <c r="E72" s="1" t="s">
        <v>908</v>
      </c>
      <c r="F72" s="1">
        <v>1</v>
      </c>
      <c r="G72" s="1">
        <v>0</v>
      </c>
      <c r="H72" s="1" t="s">
        <v>662</v>
      </c>
      <c r="I72" s="1" t="s">
        <v>898</v>
      </c>
      <c r="J72" s="1" t="s">
        <v>899</v>
      </c>
      <c r="M72" s="1" t="s">
        <v>665</v>
      </c>
      <c r="O72" s="1">
        <v>1</v>
      </c>
      <c r="R72" s="1">
        <v>0</v>
      </c>
      <c r="S72" s="1">
        <v>0</v>
      </c>
      <c r="X72" s="1">
        <v>1</v>
      </c>
      <c r="AA72" s="1">
        <v>11.5</v>
      </c>
      <c r="AB72" s="1" t="s">
        <v>900</v>
      </c>
      <c r="AC72" s="1" t="s">
        <v>901</v>
      </c>
      <c r="AE72" s="1" t="s">
        <v>909</v>
      </c>
      <c r="AN72" s="1">
        <v>0</v>
      </c>
      <c r="AP72" s="1" t="s">
        <v>669</v>
      </c>
      <c r="AQ72" s="1" t="s">
        <v>869</v>
      </c>
      <c r="AR72" s="1">
        <v>1</v>
      </c>
      <c r="AS72" s="1">
        <v>1</v>
      </c>
      <c r="AT72" s="1" t="s">
        <v>671</v>
      </c>
      <c r="AU72" s="1" t="s">
        <v>696</v>
      </c>
      <c r="AV72" s="1">
        <v>1</v>
      </c>
      <c r="AW72" s="1">
        <v>1</v>
      </c>
      <c r="AX72" s="1" t="s">
        <v>685</v>
      </c>
      <c r="AY72" s="1" t="s">
        <v>686</v>
      </c>
      <c r="AZ72" s="1">
        <v>1</v>
      </c>
      <c r="BA72" s="1">
        <v>1</v>
      </c>
      <c r="BB72" s="1" t="s">
        <v>903</v>
      </c>
      <c r="BC72" s="1">
        <v>0</v>
      </c>
      <c r="BF72" s="1">
        <v>8288</v>
      </c>
      <c r="BG72" s="1">
        <v>8155</v>
      </c>
      <c r="BH72" s="1">
        <v>8265</v>
      </c>
      <c r="BM72" s="1" t="s">
        <v>837</v>
      </c>
      <c r="BQ72" s="1" t="s">
        <v>678</v>
      </c>
      <c r="BR72" s="1" t="s">
        <v>679</v>
      </c>
      <c r="BS72" s="1" t="s">
        <v>678</v>
      </c>
      <c r="BT72" s="1" t="s">
        <v>679</v>
      </c>
      <c r="BU72" s="1" t="s">
        <v>679</v>
      </c>
      <c r="CB72" s="1" t="s">
        <v>4</v>
      </c>
      <c r="CC72" s="1" t="s">
        <v>14</v>
      </c>
      <c r="CD72" s="1">
        <v>1</v>
      </c>
      <c r="CE72" s="1">
        <v>1</v>
      </c>
    </row>
    <row r="73" spans="1:83" ht="216" x14ac:dyDescent="0.3">
      <c r="A73" s="1">
        <v>980</v>
      </c>
      <c r="B73" s="1" t="s">
        <v>661</v>
      </c>
      <c r="C73" s="1" t="s">
        <v>109</v>
      </c>
      <c r="E73" s="1" t="s">
        <v>910</v>
      </c>
      <c r="F73" s="1">
        <v>1</v>
      </c>
      <c r="G73" s="1">
        <v>0</v>
      </c>
      <c r="H73" s="1" t="s">
        <v>662</v>
      </c>
      <c r="I73" s="1" t="s">
        <v>898</v>
      </c>
      <c r="J73" s="1" t="s">
        <v>899</v>
      </c>
      <c r="M73" s="1" t="s">
        <v>665</v>
      </c>
      <c r="O73" s="1">
        <v>1</v>
      </c>
      <c r="R73" s="1">
        <v>0</v>
      </c>
      <c r="S73" s="1">
        <v>0</v>
      </c>
      <c r="X73" s="1">
        <v>1</v>
      </c>
      <c r="AA73" s="1">
        <v>11.5</v>
      </c>
      <c r="AB73" s="1" t="s">
        <v>900</v>
      </c>
      <c r="AC73" s="1" t="s">
        <v>901</v>
      </c>
      <c r="AE73" s="1" t="s">
        <v>911</v>
      </c>
      <c r="AN73" s="1">
        <v>0</v>
      </c>
      <c r="AP73" s="1" t="s">
        <v>669</v>
      </c>
      <c r="AQ73" s="1" t="s">
        <v>869</v>
      </c>
      <c r="AR73" s="1">
        <v>1</v>
      </c>
      <c r="AS73" s="1">
        <v>1</v>
      </c>
      <c r="AT73" s="1" t="s">
        <v>671</v>
      </c>
      <c r="AU73" s="1" t="s">
        <v>893</v>
      </c>
      <c r="AV73" s="1">
        <v>1</v>
      </c>
      <c r="AW73" s="1">
        <v>1</v>
      </c>
      <c r="AX73" s="1" t="s">
        <v>685</v>
      </c>
      <c r="AY73" s="1" t="s">
        <v>686</v>
      </c>
      <c r="AZ73" s="1">
        <v>1</v>
      </c>
      <c r="BA73" s="1">
        <v>1</v>
      </c>
      <c r="BB73" s="1" t="s">
        <v>903</v>
      </c>
      <c r="BC73" s="1">
        <v>0</v>
      </c>
      <c r="BF73" s="1">
        <v>8526</v>
      </c>
      <c r="BG73" s="1">
        <v>8394</v>
      </c>
      <c r="BH73" s="1">
        <v>8497</v>
      </c>
      <c r="BM73" s="1" t="s">
        <v>837</v>
      </c>
      <c r="BQ73" s="1" t="s">
        <v>678</v>
      </c>
      <c r="BR73" s="1" t="s">
        <v>679</v>
      </c>
      <c r="BS73" s="1" t="s">
        <v>678</v>
      </c>
      <c r="BT73" s="1" t="s">
        <v>679</v>
      </c>
      <c r="BU73" s="1" t="s">
        <v>679</v>
      </c>
      <c r="CB73" s="1" t="s">
        <v>4</v>
      </c>
      <c r="CC73" s="1" t="s">
        <v>14</v>
      </c>
      <c r="CD73" s="1">
        <v>1</v>
      </c>
      <c r="CE73" s="1">
        <v>1</v>
      </c>
    </row>
    <row r="74" spans="1:83" ht="216" x14ac:dyDescent="0.3">
      <c r="A74" s="1">
        <v>984</v>
      </c>
      <c r="B74" s="1" t="s">
        <v>661</v>
      </c>
      <c r="C74" s="1" t="s">
        <v>110</v>
      </c>
      <c r="E74" s="1" t="s">
        <v>912</v>
      </c>
      <c r="F74" s="1">
        <v>1</v>
      </c>
      <c r="G74" s="1">
        <v>0</v>
      </c>
      <c r="H74" s="1" t="s">
        <v>662</v>
      </c>
      <c r="I74" s="1" t="s">
        <v>898</v>
      </c>
      <c r="J74" s="1" t="s">
        <v>899</v>
      </c>
      <c r="M74" s="1" t="s">
        <v>665</v>
      </c>
      <c r="O74" s="1">
        <v>1</v>
      </c>
      <c r="R74" s="1">
        <v>0</v>
      </c>
      <c r="S74" s="1">
        <v>0</v>
      </c>
      <c r="X74" s="1">
        <v>1</v>
      </c>
      <c r="AA74" s="1">
        <v>11.5</v>
      </c>
      <c r="AB74" s="1" t="s">
        <v>900</v>
      </c>
      <c r="AC74" s="1" t="s">
        <v>901</v>
      </c>
      <c r="AE74" s="1" t="s">
        <v>913</v>
      </c>
      <c r="AN74" s="1">
        <v>0</v>
      </c>
      <c r="AP74" s="1" t="s">
        <v>669</v>
      </c>
      <c r="AQ74" s="1" t="s">
        <v>869</v>
      </c>
      <c r="AR74" s="1">
        <v>1</v>
      </c>
      <c r="AS74" s="1">
        <v>1</v>
      </c>
      <c r="AT74" s="1" t="s">
        <v>671</v>
      </c>
      <c r="AU74" s="1" t="s">
        <v>792</v>
      </c>
      <c r="AV74" s="1">
        <v>1</v>
      </c>
      <c r="AW74" s="1">
        <v>1</v>
      </c>
      <c r="AX74" s="1" t="s">
        <v>685</v>
      </c>
      <c r="AY74" s="1" t="s">
        <v>686</v>
      </c>
      <c r="AZ74" s="1">
        <v>1</v>
      </c>
      <c r="BA74" s="1">
        <v>1</v>
      </c>
      <c r="BB74" s="1" t="s">
        <v>903</v>
      </c>
      <c r="BC74" s="1">
        <v>0</v>
      </c>
      <c r="BF74" s="1">
        <v>8353</v>
      </c>
      <c r="BG74" s="1">
        <v>8216</v>
      </c>
      <c r="BH74" s="1">
        <v>8333</v>
      </c>
      <c r="BM74" s="1" t="s">
        <v>837</v>
      </c>
      <c r="BQ74" s="1" t="s">
        <v>678</v>
      </c>
      <c r="BR74" s="1" t="s">
        <v>679</v>
      </c>
      <c r="BS74" s="1" t="s">
        <v>678</v>
      </c>
      <c r="BT74" s="1" t="s">
        <v>679</v>
      </c>
      <c r="BU74" s="1" t="s">
        <v>679</v>
      </c>
      <c r="CB74" s="1" t="s">
        <v>4</v>
      </c>
      <c r="CC74" s="1" t="s">
        <v>14</v>
      </c>
      <c r="CD74" s="1">
        <v>1</v>
      </c>
      <c r="CE74" s="1">
        <v>1</v>
      </c>
    </row>
    <row r="75" spans="1:83" ht="216" x14ac:dyDescent="0.3">
      <c r="A75" s="1">
        <v>988</v>
      </c>
      <c r="B75" s="1" t="s">
        <v>661</v>
      </c>
      <c r="C75" s="1" t="s">
        <v>111</v>
      </c>
      <c r="E75" s="1" t="s">
        <v>416</v>
      </c>
      <c r="F75" s="1">
        <v>1</v>
      </c>
      <c r="G75" s="1">
        <v>0</v>
      </c>
      <c r="H75" s="1" t="s">
        <v>662</v>
      </c>
      <c r="I75" s="1" t="s">
        <v>914</v>
      </c>
      <c r="J75" s="1" t="s">
        <v>915</v>
      </c>
      <c r="M75" s="1" t="s">
        <v>665</v>
      </c>
      <c r="O75" s="1">
        <v>1</v>
      </c>
      <c r="R75" s="1">
        <v>0</v>
      </c>
      <c r="S75" s="1">
        <v>0</v>
      </c>
      <c r="X75" s="1">
        <v>1</v>
      </c>
      <c r="AA75" s="1">
        <v>18.329999999999998</v>
      </c>
      <c r="AB75" s="1" t="s">
        <v>916</v>
      </c>
      <c r="AC75" s="1" t="s">
        <v>917</v>
      </c>
      <c r="AE75" s="1" t="s">
        <v>918</v>
      </c>
      <c r="AN75" s="1">
        <v>0</v>
      </c>
      <c r="BB75" s="1" t="s">
        <v>919</v>
      </c>
      <c r="BC75" s="1">
        <v>0</v>
      </c>
      <c r="BF75" s="1">
        <v>8435</v>
      </c>
      <c r="BG75" s="1">
        <v>8305</v>
      </c>
      <c r="BH75" s="1">
        <v>8404</v>
      </c>
      <c r="BQ75" s="1" t="s">
        <v>678</v>
      </c>
      <c r="BR75" s="1" t="s">
        <v>679</v>
      </c>
      <c r="BS75" s="1" t="s">
        <v>678</v>
      </c>
      <c r="BT75" s="1" t="s">
        <v>679</v>
      </c>
      <c r="BU75" s="1" t="s">
        <v>679</v>
      </c>
    </row>
    <row r="76" spans="1:83" ht="216" x14ac:dyDescent="0.3">
      <c r="A76" s="1">
        <v>990</v>
      </c>
      <c r="B76" s="1" t="s">
        <v>661</v>
      </c>
      <c r="C76" s="1" t="s">
        <v>114</v>
      </c>
      <c r="E76" s="1" t="s">
        <v>417</v>
      </c>
      <c r="F76" s="1">
        <v>1</v>
      </c>
      <c r="G76" s="1">
        <v>0</v>
      </c>
      <c r="H76" s="1" t="s">
        <v>662</v>
      </c>
      <c r="I76" s="1" t="s">
        <v>914</v>
      </c>
      <c r="J76" s="1" t="s">
        <v>915</v>
      </c>
      <c r="M76" s="1" t="s">
        <v>665</v>
      </c>
      <c r="O76" s="1">
        <v>1</v>
      </c>
      <c r="R76" s="1">
        <v>0</v>
      </c>
      <c r="S76" s="1">
        <v>0</v>
      </c>
      <c r="X76" s="1">
        <v>1</v>
      </c>
      <c r="AA76" s="1">
        <v>18.329999999999998</v>
      </c>
      <c r="AB76" s="1" t="s">
        <v>920</v>
      </c>
      <c r="AC76" s="1" t="s">
        <v>917</v>
      </c>
      <c r="AE76" s="1" t="s">
        <v>921</v>
      </c>
      <c r="AN76" s="1">
        <v>0</v>
      </c>
      <c r="AP76" s="1" t="s">
        <v>669</v>
      </c>
      <c r="AQ76" s="1" t="s">
        <v>922</v>
      </c>
      <c r="AR76" s="1">
        <v>1</v>
      </c>
      <c r="AS76" s="1">
        <v>1</v>
      </c>
      <c r="AT76" s="1" t="s">
        <v>671</v>
      </c>
      <c r="AU76" s="1" t="s">
        <v>923</v>
      </c>
      <c r="AV76" s="1">
        <v>1</v>
      </c>
      <c r="AW76" s="1">
        <v>1</v>
      </c>
      <c r="AX76" s="1" t="s">
        <v>685</v>
      </c>
      <c r="AY76" s="1" t="s">
        <v>686</v>
      </c>
      <c r="AZ76" s="1">
        <v>1</v>
      </c>
      <c r="BA76" s="1">
        <v>1</v>
      </c>
      <c r="BB76" s="1" t="s">
        <v>919</v>
      </c>
      <c r="BC76" s="1">
        <v>0</v>
      </c>
      <c r="BF76" s="1">
        <v>8669</v>
      </c>
      <c r="BG76" s="1">
        <v>8536</v>
      </c>
      <c r="BH76" s="1">
        <v>8635</v>
      </c>
      <c r="BQ76" s="1" t="s">
        <v>678</v>
      </c>
      <c r="BR76" s="1" t="s">
        <v>679</v>
      </c>
      <c r="BS76" s="1" t="s">
        <v>678</v>
      </c>
      <c r="BT76" s="1" t="s">
        <v>679</v>
      </c>
      <c r="BU76" s="1" t="s">
        <v>679</v>
      </c>
      <c r="CB76" s="1" t="s">
        <v>4</v>
      </c>
      <c r="CC76" s="1" t="s">
        <v>14</v>
      </c>
      <c r="CD76" s="1">
        <v>1</v>
      </c>
      <c r="CE76" s="1">
        <v>1</v>
      </c>
    </row>
    <row r="77" spans="1:83" ht="216" x14ac:dyDescent="0.3">
      <c r="A77" s="1">
        <v>992</v>
      </c>
      <c r="B77" s="1" t="s">
        <v>661</v>
      </c>
      <c r="C77" s="1" t="s">
        <v>116</v>
      </c>
      <c r="E77" s="1" t="s">
        <v>924</v>
      </c>
      <c r="F77" s="1">
        <v>1</v>
      </c>
      <c r="G77" s="1">
        <v>0</v>
      </c>
      <c r="H77" s="1" t="s">
        <v>662</v>
      </c>
      <c r="I77" s="1" t="s">
        <v>925</v>
      </c>
      <c r="J77" s="1" t="s">
        <v>926</v>
      </c>
      <c r="M77" s="1" t="s">
        <v>665</v>
      </c>
      <c r="O77" s="1">
        <v>1</v>
      </c>
      <c r="R77" s="1">
        <v>0</v>
      </c>
      <c r="S77" s="1">
        <v>0</v>
      </c>
      <c r="X77" s="1">
        <v>1</v>
      </c>
      <c r="AA77" s="1">
        <v>26.99</v>
      </c>
      <c r="AB77" s="1" t="s">
        <v>927</v>
      </c>
      <c r="AC77" s="1" t="s">
        <v>928</v>
      </c>
      <c r="AE77" s="1" t="s">
        <v>929</v>
      </c>
      <c r="AN77" s="1">
        <v>0</v>
      </c>
      <c r="AP77" s="1" t="s">
        <v>669</v>
      </c>
      <c r="AQ77" s="1" t="s">
        <v>670</v>
      </c>
      <c r="AR77" s="1">
        <v>1</v>
      </c>
      <c r="AS77" s="1">
        <v>1</v>
      </c>
      <c r="AT77" s="1" t="s">
        <v>671</v>
      </c>
      <c r="AU77" s="1" t="s">
        <v>672</v>
      </c>
      <c r="AV77" s="1">
        <v>1</v>
      </c>
      <c r="AW77" s="1">
        <v>1</v>
      </c>
      <c r="AX77" s="1" t="s">
        <v>685</v>
      </c>
      <c r="AY77" s="1" t="s">
        <v>686</v>
      </c>
      <c r="AZ77" s="1">
        <v>1</v>
      </c>
      <c r="BA77" s="1">
        <v>1</v>
      </c>
      <c r="BB77" s="1" t="s">
        <v>930</v>
      </c>
      <c r="BC77" s="1">
        <v>0</v>
      </c>
      <c r="BF77" s="1">
        <v>348</v>
      </c>
      <c r="BG77" s="1">
        <v>159</v>
      </c>
      <c r="BH77" s="1">
        <v>330</v>
      </c>
      <c r="BM77" s="1" t="s">
        <v>931</v>
      </c>
      <c r="BQ77" s="1" t="s">
        <v>678</v>
      </c>
      <c r="BR77" s="1" t="s">
        <v>679</v>
      </c>
      <c r="BS77" s="1" t="s">
        <v>678</v>
      </c>
      <c r="BT77" s="1" t="s">
        <v>679</v>
      </c>
      <c r="BU77" s="1" t="s">
        <v>679</v>
      </c>
      <c r="CB77" s="1" t="s">
        <v>4</v>
      </c>
      <c r="CC77" s="1" t="s">
        <v>932</v>
      </c>
      <c r="CD77" s="1">
        <v>1</v>
      </c>
      <c r="CE77" s="1">
        <v>1</v>
      </c>
    </row>
    <row r="78" spans="1:83" ht="216" x14ac:dyDescent="0.3">
      <c r="A78" s="1">
        <v>995</v>
      </c>
      <c r="B78" s="1" t="s">
        <v>661</v>
      </c>
      <c r="C78" s="1" t="s">
        <v>119</v>
      </c>
      <c r="E78" s="1" t="s">
        <v>933</v>
      </c>
      <c r="F78" s="1">
        <v>1</v>
      </c>
      <c r="G78" s="1">
        <v>0</v>
      </c>
      <c r="H78" s="1" t="s">
        <v>662</v>
      </c>
      <c r="I78" s="1" t="s">
        <v>925</v>
      </c>
      <c r="J78" s="1" t="s">
        <v>926</v>
      </c>
      <c r="M78" s="1" t="s">
        <v>665</v>
      </c>
      <c r="O78" s="1">
        <v>1</v>
      </c>
      <c r="R78" s="1">
        <v>0</v>
      </c>
      <c r="S78" s="1">
        <v>0</v>
      </c>
      <c r="X78" s="1">
        <v>1</v>
      </c>
      <c r="AA78" s="1">
        <v>26.99</v>
      </c>
      <c r="AB78" s="1" t="s">
        <v>927</v>
      </c>
      <c r="AC78" s="1" t="s">
        <v>928</v>
      </c>
      <c r="AE78" s="1" t="s">
        <v>934</v>
      </c>
      <c r="AN78" s="1">
        <v>0</v>
      </c>
      <c r="AP78" s="1" t="s">
        <v>669</v>
      </c>
      <c r="AQ78" s="1" t="s">
        <v>670</v>
      </c>
      <c r="AR78" s="1">
        <v>1</v>
      </c>
      <c r="AS78" s="1">
        <v>1</v>
      </c>
      <c r="AT78" s="1" t="s">
        <v>671</v>
      </c>
      <c r="AU78" s="1" t="s">
        <v>728</v>
      </c>
      <c r="AV78" s="1">
        <v>1</v>
      </c>
      <c r="AW78" s="1">
        <v>1</v>
      </c>
      <c r="AX78" s="1" t="s">
        <v>685</v>
      </c>
      <c r="AY78" s="1" t="s">
        <v>686</v>
      </c>
      <c r="AZ78" s="1">
        <v>1</v>
      </c>
      <c r="BA78" s="1">
        <v>1</v>
      </c>
      <c r="BB78" s="1" t="s">
        <v>930</v>
      </c>
      <c r="BC78" s="1">
        <v>0</v>
      </c>
      <c r="BF78" s="1">
        <v>256</v>
      </c>
      <c r="BG78" s="1">
        <v>112</v>
      </c>
      <c r="BH78" s="1">
        <v>243</v>
      </c>
      <c r="BM78" s="1" t="s">
        <v>931</v>
      </c>
      <c r="BQ78" s="1" t="s">
        <v>678</v>
      </c>
      <c r="BR78" s="1" t="s">
        <v>679</v>
      </c>
      <c r="BS78" s="1" t="s">
        <v>678</v>
      </c>
      <c r="BT78" s="1" t="s">
        <v>679</v>
      </c>
      <c r="BU78" s="1" t="s">
        <v>679</v>
      </c>
      <c r="CB78" s="1" t="s">
        <v>4</v>
      </c>
      <c r="CC78" s="1" t="s">
        <v>932</v>
      </c>
      <c r="CD78" s="1">
        <v>1</v>
      </c>
      <c r="CE78" s="1">
        <v>1</v>
      </c>
    </row>
    <row r="79" spans="1:83" ht="216" x14ac:dyDescent="0.3">
      <c r="A79" s="1">
        <v>997</v>
      </c>
      <c r="B79" s="1" t="s">
        <v>661</v>
      </c>
      <c r="C79" s="1" t="s">
        <v>120</v>
      </c>
      <c r="E79" s="1" t="s">
        <v>935</v>
      </c>
      <c r="F79" s="1">
        <v>1</v>
      </c>
      <c r="G79" s="1">
        <v>0</v>
      </c>
      <c r="H79" s="1" t="s">
        <v>662</v>
      </c>
      <c r="I79" s="1" t="s">
        <v>936</v>
      </c>
      <c r="J79" s="1" t="s">
        <v>937</v>
      </c>
      <c r="M79" s="1" t="s">
        <v>665</v>
      </c>
      <c r="O79" s="1">
        <v>1</v>
      </c>
      <c r="R79" s="1">
        <v>0</v>
      </c>
      <c r="S79" s="1">
        <v>0</v>
      </c>
      <c r="X79" s="1">
        <v>1</v>
      </c>
      <c r="AA79" s="1">
        <v>14.13</v>
      </c>
      <c r="AB79" s="1" t="s">
        <v>938</v>
      </c>
      <c r="AC79" s="1" t="s">
        <v>939</v>
      </c>
      <c r="AE79" s="1" t="s">
        <v>940</v>
      </c>
      <c r="AN79" s="1">
        <v>0</v>
      </c>
      <c r="AP79" s="1" t="s">
        <v>669</v>
      </c>
      <c r="AQ79" s="1" t="s">
        <v>684</v>
      </c>
      <c r="AR79" s="1">
        <v>1</v>
      </c>
      <c r="AS79" s="1">
        <v>1</v>
      </c>
      <c r="AT79" s="1" t="s">
        <v>671</v>
      </c>
      <c r="AU79" s="1" t="s">
        <v>692</v>
      </c>
      <c r="AV79" s="1">
        <v>1</v>
      </c>
      <c r="AW79" s="1">
        <v>1</v>
      </c>
      <c r="AX79" s="1" t="s">
        <v>685</v>
      </c>
      <c r="AY79" s="1" t="s">
        <v>686</v>
      </c>
      <c r="AZ79" s="1">
        <v>1</v>
      </c>
      <c r="BA79" s="1">
        <v>1</v>
      </c>
      <c r="BB79" s="1" t="s">
        <v>941</v>
      </c>
      <c r="BC79" s="1">
        <v>0</v>
      </c>
      <c r="BF79" s="1">
        <v>253</v>
      </c>
      <c r="BG79" s="1">
        <v>104</v>
      </c>
      <c r="BH79" s="1">
        <v>240</v>
      </c>
      <c r="BM79" s="1" t="s">
        <v>942</v>
      </c>
      <c r="BQ79" s="1" t="s">
        <v>678</v>
      </c>
      <c r="BR79" s="1" t="s">
        <v>679</v>
      </c>
      <c r="BS79" s="1" t="s">
        <v>678</v>
      </c>
      <c r="BT79" s="1" t="s">
        <v>679</v>
      </c>
      <c r="BU79" s="1" t="s">
        <v>679</v>
      </c>
      <c r="CB79" s="1" t="s">
        <v>4</v>
      </c>
      <c r="CC79" s="1" t="s">
        <v>932</v>
      </c>
      <c r="CD79" s="1">
        <v>1</v>
      </c>
      <c r="CE79" s="1">
        <v>1</v>
      </c>
    </row>
    <row r="80" spans="1:83" ht="216" x14ac:dyDescent="0.3">
      <c r="A80" s="1">
        <v>1000</v>
      </c>
      <c r="B80" s="1" t="s">
        <v>661</v>
      </c>
      <c r="C80" s="1" t="s">
        <v>123</v>
      </c>
      <c r="E80" s="1" t="s">
        <v>421</v>
      </c>
      <c r="F80" s="1">
        <v>1</v>
      </c>
      <c r="G80" s="1">
        <v>0</v>
      </c>
      <c r="H80" s="1" t="s">
        <v>662</v>
      </c>
      <c r="I80" s="1" t="s">
        <v>936</v>
      </c>
      <c r="J80" s="1" t="s">
        <v>937</v>
      </c>
      <c r="M80" s="1" t="s">
        <v>665</v>
      </c>
      <c r="O80" s="1">
        <v>1</v>
      </c>
      <c r="R80" s="1">
        <v>0</v>
      </c>
      <c r="S80" s="1">
        <v>0</v>
      </c>
      <c r="X80" s="1">
        <v>1</v>
      </c>
      <c r="AA80" s="1">
        <v>14.13</v>
      </c>
      <c r="AB80" s="1" t="s">
        <v>938</v>
      </c>
      <c r="AC80" s="1" t="s">
        <v>939</v>
      </c>
      <c r="AE80" s="1" t="s">
        <v>943</v>
      </c>
      <c r="AN80" s="1">
        <v>0</v>
      </c>
      <c r="AP80" s="1" t="s">
        <v>669</v>
      </c>
      <c r="AQ80" s="1" t="s">
        <v>684</v>
      </c>
      <c r="AR80" s="1">
        <v>1</v>
      </c>
      <c r="AS80" s="1">
        <v>1</v>
      </c>
      <c r="AT80" s="1" t="s">
        <v>671</v>
      </c>
      <c r="AU80" s="1" t="s">
        <v>703</v>
      </c>
      <c r="AV80" s="1">
        <v>1</v>
      </c>
      <c r="AW80" s="1">
        <v>1</v>
      </c>
      <c r="AX80" s="1" t="s">
        <v>685</v>
      </c>
      <c r="AY80" s="1" t="s">
        <v>686</v>
      </c>
      <c r="AZ80" s="1">
        <v>1</v>
      </c>
      <c r="BA80" s="1">
        <v>1</v>
      </c>
      <c r="BB80" s="1" t="s">
        <v>941</v>
      </c>
      <c r="BC80" s="1">
        <v>0</v>
      </c>
      <c r="BF80" s="1">
        <v>227</v>
      </c>
      <c r="BG80" s="1">
        <v>92</v>
      </c>
      <c r="BH80" s="1">
        <v>218</v>
      </c>
      <c r="BM80" s="1" t="s">
        <v>942</v>
      </c>
      <c r="BQ80" s="1" t="s">
        <v>678</v>
      </c>
      <c r="BR80" s="1" t="s">
        <v>679</v>
      </c>
      <c r="BS80" s="1" t="s">
        <v>678</v>
      </c>
      <c r="BT80" s="1" t="s">
        <v>679</v>
      </c>
      <c r="BU80" s="1" t="s">
        <v>679</v>
      </c>
      <c r="CB80" s="1" t="s">
        <v>4</v>
      </c>
      <c r="CC80" s="1" t="s">
        <v>932</v>
      </c>
      <c r="CD80" s="1">
        <v>1</v>
      </c>
      <c r="CE80" s="1">
        <v>1</v>
      </c>
    </row>
    <row r="81" spans="1:83" ht="216" x14ac:dyDescent="0.3">
      <c r="A81" s="1">
        <v>1002</v>
      </c>
      <c r="B81" s="1" t="s">
        <v>661</v>
      </c>
      <c r="C81" s="1" t="s">
        <v>124</v>
      </c>
      <c r="E81" s="1" t="s">
        <v>422</v>
      </c>
      <c r="F81" s="1">
        <v>1</v>
      </c>
      <c r="G81" s="1">
        <v>0</v>
      </c>
      <c r="H81" s="1" t="s">
        <v>662</v>
      </c>
      <c r="I81" s="1" t="s">
        <v>944</v>
      </c>
      <c r="J81" s="1" t="s">
        <v>937</v>
      </c>
      <c r="M81" s="1" t="s">
        <v>665</v>
      </c>
      <c r="O81" s="1">
        <v>1</v>
      </c>
      <c r="R81" s="1">
        <v>0</v>
      </c>
      <c r="S81" s="1">
        <v>0</v>
      </c>
      <c r="X81" s="1">
        <v>1</v>
      </c>
      <c r="AA81" s="1">
        <v>14.13</v>
      </c>
      <c r="AB81" s="1" t="s">
        <v>938</v>
      </c>
      <c r="AC81" s="1" t="s">
        <v>939</v>
      </c>
      <c r="AE81" s="1" t="s">
        <v>945</v>
      </c>
      <c r="AN81" s="1">
        <v>0</v>
      </c>
      <c r="AP81" s="1" t="s">
        <v>669</v>
      </c>
      <c r="AQ81" s="1" t="s">
        <v>684</v>
      </c>
      <c r="AR81" s="1">
        <v>1</v>
      </c>
      <c r="AS81" s="1">
        <v>1</v>
      </c>
      <c r="AT81" s="1" t="s">
        <v>671</v>
      </c>
      <c r="AU81" s="1" t="s">
        <v>707</v>
      </c>
      <c r="AV81" s="1">
        <v>1</v>
      </c>
      <c r="AW81" s="1">
        <v>1</v>
      </c>
      <c r="AX81" s="1" t="s">
        <v>685</v>
      </c>
      <c r="AY81" s="1" t="s">
        <v>686</v>
      </c>
      <c r="AZ81" s="1">
        <v>1</v>
      </c>
      <c r="BA81" s="1">
        <v>1</v>
      </c>
      <c r="BB81" s="1" t="s">
        <v>941</v>
      </c>
      <c r="BC81" s="1">
        <v>0</v>
      </c>
      <c r="BF81" s="1">
        <v>230</v>
      </c>
      <c r="BG81" s="1">
        <v>98</v>
      </c>
      <c r="BH81" s="1">
        <v>218</v>
      </c>
      <c r="BM81" s="1" t="s">
        <v>942</v>
      </c>
      <c r="BQ81" s="1" t="s">
        <v>678</v>
      </c>
      <c r="BR81" s="1" t="s">
        <v>679</v>
      </c>
      <c r="BS81" s="1" t="s">
        <v>678</v>
      </c>
      <c r="BT81" s="1" t="s">
        <v>679</v>
      </c>
      <c r="BU81" s="1" t="s">
        <v>679</v>
      </c>
      <c r="CB81" s="1" t="s">
        <v>4</v>
      </c>
      <c r="CC81" s="1" t="s">
        <v>932</v>
      </c>
      <c r="CD81" s="1">
        <v>1</v>
      </c>
      <c r="CE81" s="1">
        <v>1</v>
      </c>
    </row>
    <row r="82" spans="1:83" ht="216" x14ac:dyDescent="0.3">
      <c r="A82" s="1">
        <v>1004</v>
      </c>
      <c r="B82" s="1" t="s">
        <v>661</v>
      </c>
      <c r="C82" s="1" t="s">
        <v>125</v>
      </c>
      <c r="E82" s="1" t="s">
        <v>423</v>
      </c>
      <c r="F82" s="1">
        <v>1</v>
      </c>
      <c r="G82" s="1">
        <v>0</v>
      </c>
      <c r="H82" s="1" t="s">
        <v>662</v>
      </c>
      <c r="I82" s="1" t="s">
        <v>944</v>
      </c>
      <c r="J82" s="1" t="s">
        <v>937</v>
      </c>
      <c r="M82" s="1" t="s">
        <v>665</v>
      </c>
      <c r="O82" s="1">
        <v>1</v>
      </c>
      <c r="R82" s="1">
        <v>0</v>
      </c>
      <c r="S82" s="1">
        <v>0</v>
      </c>
      <c r="X82" s="1">
        <v>1</v>
      </c>
      <c r="AA82" s="1">
        <v>14.13</v>
      </c>
      <c r="AB82" s="1" t="s">
        <v>938</v>
      </c>
      <c r="AC82" s="1" t="s">
        <v>939</v>
      </c>
      <c r="AE82" s="1" t="s">
        <v>946</v>
      </c>
      <c r="AN82" s="1">
        <v>0</v>
      </c>
      <c r="AP82" s="1" t="s">
        <v>669</v>
      </c>
      <c r="AQ82" s="1" t="s">
        <v>684</v>
      </c>
      <c r="AR82" s="1">
        <v>1</v>
      </c>
      <c r="AS82" s="1">
        <v>1</v>
      </c>
      <c r="AT82" s="1" t="s">
        <v>671</v>
      </c>
      <c r="AU82" s="1" t="s">
        <v>710</v>
      </c>
      <c r="AV82" s="1">
        <v>1</v>
      </c>
      <c r="AW82" s="1">
        <v>1</v>
      </c>
      <c r="AX82" s="1" t="s">
        <v>685</v>
      </c>
      <c r="AY82" s="1" t="s">
        <v>686</v>
      </c>
      <c r="AZ82" s="1">
        <v>1</v>
      </c>
      <c r="BA82" s="1">
        <v>1</v>
      </c>
      <c r="BB82" s="1" t="s">
        <v>941</v>
      </c>
      <c r="BC82" s="1">
        <v>0</v>
      </c>
      <c r="BF82" s="1">
        <v>232</v>
      </c>
      <c r="BG82" s="1">
        <v>99</v>
      </c>
      <c r="BH82" s="1">
        <v>221</v>
      </c>
      <c r="BM82" s="1" t="s">
        <v>942</v>
      </c>
      <c r="BQ82" s="1" t="s">
        <v>678</v>
      </c>
      <c r="BR82" s="1" t="s">
        <v>679</v>
      </c>
      <c r="BS82" s="1" t="s">
        <v>678</v>
      </c>
      <c r="BT82" s="1" t="s">
        <v>679</v>
      </c>
      <c r="BU82" s="1" t="s">
        <v>679</v>
      </c>
      <c r="CB82" s="1" t="s">
        <v>4</v>
      </c>
      <c r="CC82" s="1" t="s">
        <v>932</v>
      </c>
      <c r="CD82" s="1">
        <v>1</v>
      </c>
      <c r="CE82" s="1">
        <v>1</v>
      </c>
    </row>
    <row r="83" spans="1:83" ht="216" x14ac:dyDescent="0.3">
      <c r="A83" s="1">
        <v>1006</v>
      </c>
      <c r="B83" s="1" t="s">
        <v>661</v>
      </c>
      <c r="C83" s="1" t="s">
        <v>126</v>
      </c>
      <c r="E83" s="1" t="s">
        <v>424</v>
      </c>
      <c r="F83" s="1">
        <v>1</v>
      </c>
      <c r="G83" s="1">
        <v>0</v>
      </c>
      <c r="H83" s="1" t="s">
        <v>662</v>
      </c>
      <c r="I83" s="1" t="s">
        <v>936</v>
      </c>
      <c r="J83" s="1" t="s">
        <v>937</v>
      </c>
      <c r="M83" s="1" t="s">
        <v>665</v>
      </c>
      <c r="O83" s="1">
        <v>1</v>
      </c>
      <c r="R83" s="1">
        <v>0</v>
      </c>
      <c r="S83" s="1">
        <v>0</v>
      </c>
      <c r="X83" s="1">
        <v>1</v>
      </c>
      <c r="AA83" s="1">
        <v>14.13</v>
      </c>
      <c r="AB83" s="1" t="s">
        <v>938</v>
      </c>
      <c r="AC83" s="1" t="s">
        <v>939</v>
      </c>
      <c r="AE83" s="1" t="s">
        <v>947</v>
      </c>
      <c r="AN83" s="1">
        <v>0</v>
      </c>
      <c r="AP83" s="1" t="s">
        <v>669</v>
      </c>
      <c r="AQ83" s="1" t="s">
        <v>684</v>
      </c>
      <c r="AR83" s="1">
        <v>1</v>
      </c>
      <c r="AS83" s="1">
        <v>1</v>
      </c>
      <c r="AT83" s="1" t="s">
        <v>671</v>
      </c>
      <c r="AU83" s="1" t="s">
        <v>698</v>
      </c>
      <c r="AV83" s="1">
        <v>1</v>
      </c>
      <c r="AW83" s="1">
        <v>1</v>
      </c>
      <c r="AX83" s="1" t="s">
        <v>685</v>
      </c>
      <c r="AY83" s="1" t="s">
        <v>686</v>
      </c>
      <c r="AZ83" s="1">
        <v>1</v>
      </c>
      <c r="BA83" s="1">
        <v>1</v>
      </c>
      <c r="BB83" s="1" t="s">
        <v>941</v>
      </c>
      <c r="BC83" s="1">
        <v>0</v>
      </c>
      <c r="BF83" s="1">
        <v>234</v>
      </c>
      <c r="BG83" s="1">
        <v>98</v>
      </c>
      <c r="BH83" s="1">
        <v>221</v>
      </c>
      <c r="BM83" s="1" t="s">
        <v>942</v>
      </c>
      <c r="BQ83" s="1" t="s">
        <v>678</v>
      </c>
      <c r="BR83" s="1" t="s">
        <v>679</v>
      </c>
      <c r="BS83" s="1" t="s">
        <v>678</v>
      </c>
      <c r="BT83" s="1" t="s">
        <v>679</v>
      </c>
      <c r="BU83" s="1" t="s">
        <v>679</v>
      </c>
      <c r="CB83" s="1" t="s">
        <v>4</v>
      </c>
      <c r="CC83" s="1" t="s">
        <v>932</v>
      </c>
      <c r="CD83" s="1">
        <v>1</v>
      </c>
      <c r="CE83" s="1">
        <v>1</v>
      </c>
    </row>
    <row r="84" spans="1:83" ht="216" x14ac:dyDescent="0.3">
      <c r="A84" s="1">
        <v>1009</v>
      </c>
      <c r="B84" s="1" t="s">
        <v>661</v>
      </c>
      <c r="C84" s="1" t="s">
        <v>127</v>
      </c>
      <c r="E84" s="1" t="s">
        <v>425</v>
      </c>
      <c r="F84" s="1">
        <v>1</v>
      </c>
      <c r="G84" s="1">
        <v>0</v>
      </c>
      <c r="H84" s="1" t="s">
        <v>662</v>
      </c>
      <c r="I84" s="1" t="s">
        <v>944</v>
      </c>
      <c r="J84" s="1" t="s">
        <v>937</v>
      </c>
      <c r="M84" s="1" t="s">
        <v>665</v>
      </c>
      <c r="O84" s="1">
        <v>1</v>
      </c>
      <c r="R84" s="1">
        <v>0</v>
      </c>
      <c r="S84" s="1">
        <v>0</v>
      </c>
      <c r="X84" s="1">
        <v>1</v>
      </c>
      <c r="AA84" s="1">
        <v>16.989999999999998</v>
      </c>
      <c r="AB84" s="1" t="s">
        <v>938</v>
      </c>
      <c r="AC84" s="1" t="s">
        <v>948</v>
      </c>
      <c r="AE84" s="1" t="s">
        <v>949</v>
      </c>
      <c r="AN84" s="1">
        <v>0</v>
      </c>
      <c r="AP84" s="1" t="s">
        <v>669</v>
      </c>
      <c r="AQ84" s="1" t="s">
        <v>684</v>
      </c>
      <c r="AR84" s="1">
        <v>1</v>
      </c>
      <c r="AS84" s="1">
        <v>1</v>
      </c>
      <c r="AT84" s="1" t="s">
        <v>671</v>
      </c>
      <c r="AU84" s="1" t="s">
        <v>698</v>
      </c>
      <c r="AV84" s="1">
        <v>1</v>
      </c>
      <c r="AW84" s="1">
        <v>1</v>
      </c>
      <c r="AX84" s="1" t="s">
        <v>685</v>
      </c>
      <c r="AY84" s="1" t="s">
        <v>686</v>
      </c>
      <c r="AZ84" s="1">
        <v>1</v>
      </c>
      <c r="BA84" s="1">
        <v>1</v>
      </c>
      <c r="BB84" s="1" t="s">
        <v>941</v>
      </c>
      <c r="BC84" s="1">
        <v>0</v>
      </c>
      <c r="BF84" s="1">
        <v>226</v>
      </c>
      <c r="BG84" s="1">
        <v>93</v>
      </c>
      <c r="BH84" s="1">
        <v>214</v>
      </c>
      <c r="BM84" s="1" t="s">
        <v>950</v>
      </c>
      <c r="BQ84" s="1" t="s">
        <v>678</v>
      </c>
      <c r="BR84" s="1" t="s">
        <v>679</v>
      </c>
      <c r="BS84" s="1" t="s">
        <v>678</v>
      </c>
      <c r="BT84" s="1" t="s">
        <v>679</v>
      </c>
      <c r="BU84" s="1" t="s">
        <v>679</v>
      </c>
      <c r="CB84" s="1" t="s">
        <v>4</v>
      </c>
      <c r="CC84" s="1" t="s">
        <v>932</v>
      </c>
      <c r="CD84" s="1">
        <v>1</v>
      </c>
      <c r="CE84" s="1">
        <v>1</v>
      </c>
    </row>
    <row r="85" spans="1:83" ht="216" x14ac:dyDescent="0.3">
      <c r="A85" s="1">
        <v>1012</v>
      </c>
      <c r="B85" s="1" t="s">
        <v>661</v>
      </c>
      <c r="C85" s="1" t="s">
        <v>130</v>
      </c>
      <c r="E85" s="1" t="s">
        <v>951</v>
      </c>
      <c r="F85" s="1">
        <v>1</v>
      </c>
      <c r="G85" s="1">
        <v>0</v>
      </c>
      <c r="H85" s="1" t="s">
        <v>662</v>
      </c>
      <c r="I85" s="1" t="s">
        <v>944</v>
      </c>
      <c r="J85" s="1" t="s">
        <v>937</v>
      </c>
      <c r="M85" s="1" t="s">
        <v>665</v>
      </c>
      <c r="O85" s="1">
        <v>1</v>
      </c>
      <c r="R85" s="1">
        <v>0</v>
      </c>
      <c r="S85" s="1">
        <v>0</v>
      </c>
      <c r="X85" s="1">
        <v>1</v>
      </c>
      <c r="AA85" s="1">
        <v>16.989999999999998</v>
      </c>
      <c r="AB85" s="1" t="s">
        <v>938</v>
      </c>
      <c r="AE85" s="1" t="s">
        <v>952</v>
      </c>
      <c r="AN85" s="1">
        <v>0</v>
      </c>
      <c r="AP85" s="1" t="s">
        <v>669</v>
      </c>
      <c r="AQ85" s="1" t="s">
        <v>684</v>
      </c>
      <c r="AR85" s="1">
        <v>1</v>
      </c>
      <c r="AS85" s="1">
        <v>1</v>
      </c>
      <c r="AT85" s="1" t="s">
        <v>671</v>
      </c>
      <c r="AU85" s="1" t="s">
        <v>672</v>
      </c>
      <c r="AV85" s="1">
        <v>1</v>
      </c>
      <c r="AW85" s="1">
        <v>1</v>
      </c>
      <c r="AX85" s="1" t="s">
        <v>685</v>
      </c>
      <c r="AY85" s="1" t="s">
        <v>686</v>
      </c>
      <c r="AZ85" s="1">
        <v>1</v>
      </c>
      <c r="BA85" s="1">
        <v>1</v>
      </c>
      <c r="BB85" s="1" t="s">
        <v>941</v>
      </c>
      <c r="BC85" s="1">
        <v>0</v>
      </c>
      <c r="BF85" s="1">
        <v>219</v>
      </c>
      <c r="BG85" s="1">
        <v>83</v>
      </c>
      <c r="BH85" s="1">
        <v>209</v>
      </c>
      <c r="BM85" s="1" t="s">
        <v>950</v>
      </c>
      <c r="BQ85" s="1" t="s">
        <v>678</v>
      </c>
      <c r="BR85" s="1" t="s">
        <v>679</v>
      </c>
      <c r="BS85" s="1" t="s">
        <v>678</v>
      </c>
      <c r="BT85" s="1" t="s">
        <v>679</v>
      </c>
      <c r="BU85" s="1" t="s">
        <v>679</v>
      </c>
      <c r="CB85" s="1" t="s">
        <v>4</v>
      </c>
      <c r="CC85" s="1" t="s">
        <v>932</v>
      </c>
      <c r="CD85" s="1">
        <v>1</v>
      </c>
      <c r="CE85" s="1">
        <v>1</v>
      </c>
    </row>
    <row r="86" spans="1:83" ht="216" x14ac:dyDescent="0.3">
      <c r="A86" s="1">
        <v>1014</v>
      </c>
      <c r="B86" s="1" t="s">
        <v>661</v>
      </c>
      <c r="C86" s="1" t="s">
        <v>131</v>
      </c>
      <c r="E86" s="1" t="s">
        <v>427</v>
      </c>
      <c r="F86" s="1">
        <v>1</v>
      </c>
      <c r="G86" s="1">
        <v>0</v>
      </c>
      <c r="H86" s="1" t="s">
        <v>662</v>
      </c>
      <c r="I86" s="1" t="s">
        <v>944</v>
      </c>
      <c r="J86" s="1" t="s">
        <v>937</v>
      </c>
      <c r="M86" s="1" t="s">
        <v>665</v>
      </c>
      <c r="O86" s="1">
        <v>1</v>
      </c>
      <c r="R86" s="1">
        <v>0</v>
      </c>
      <c r="S86" s="1">
        <v>0</v>
      </c>
      <c r="X86" s="1">
        <v>1</v>
      </c>
      <c r="AA86" s="1">
        <v>16.989999999999998</v>
      </c>
      <c r="AB86" s="1" t="s">
        <v>938</v>
      </c>
      <c r="AC86" s="1" t="s">
        <v>948</v>
      </c>
      <c r="AE86" s="1" t="s">
        <v>953</v>
      </c>
      <c r="AN86" s="1">
        <v>0</v>
      </c>
      <c r="AP86" s="1" t="s">
        <v>669</v>
      </c>
      <c r="AQ86" s="1" t="s">
        <v>684</v>
      </c>
      <c r="AR86" s="1">
        <v>1</v>
      </c>
      <c r="AS86" s="1">
        <v>1</v>
      </c>
      <c r="AT86" s="1" t="s">
        <v>671</v>
      </c>
      <c r="AU86" s="1" t="s">
        <v>696</v>
      </c>
      <c r="AV86" s="1">
        <v>1</v>
      </c>
      <c r="AW86" s="1">
        <v>1</v>
      </c>
      <c r="AX86" s="1" t="s">
        <v>685</v>
      </c>
      <c r="AY86" s="1" t="s">
        <v>686</v>
      </c>
      <c r="AZ86" s="1">
        <v>1</v>
      </c>
      <c r="BA86" s="1">
        <v>1</v>
      </c>
      <c r="BB86" s="1" t="s">
        <v>941</v>
      </c>
      <c r="BC86" s="1">
        <v>0</v>
      </c>
      <c r="BF86" s="1">
        <v>228</v>
      </c>
      <c r="BG86" s="1">
        <v>95</v>
      </c>
      <c r="BH86" s="1">
        <v>219</v>
      </c>
      <c r="BM86" s="1" t="s">
        <v>950</v>
      </c>
      <c r="BQ86" s="1" t="s">
        <v>678</v>
      </c>
      <c r="BR86" s="1" t="s">
        <v>679</v>
      </c>
      <c r="BS86" s="1" t="s">
        <v>678</v>
      </c>
      <c r="BT86" s="1" t="s">
        <v>679</v>
      </c>
      <c r="BU86" s="1" t="s">
        <v>679</v>
      </c>
      <c r="CB86" s="1" t="s">
        <v>4</v>
      </c>
      <c r="CC86" s="1" t="s">
        <v>932</v>
      </c>
      <c r="CD86" s="1">
        <v>1</v>
      </c>
      <c r="CE86" s="1">
        <v>1</v>
      </c>
    </row>
    <row r="87" spans="1:83" ht="216" x14ac:dyDescent="0.3">
      <c r="A87" s="1">
        <v>1016</v>
      </c>
      <c r="B87" s="1" t="s">
        <v>661</v>
      </c>
      <c r="C87" s="1" t="s">
        <v>132</v>
      </c>
      <c r="E87" s="1" t="s">
        <v>428</v>
      </c>
      <c r="F87" s="1">
        <v>1</v>
      </c>
      <c r="G87" s="1">
        <v>0</v>
      </c>
      <c r="H87" s="1" t="s">
        <v>662</v>
      </c>
      <c r="I87" s="1" t="s">
        <v>936</v>
      </c>
      <c r="J87" s="1" t="s">
        <v>937</v>
      </c>
      <c r="M87" s="1" t="s">
        <v>665</v>
      </c>
      <c r="O87" s="1">
        <v>1</v>
      </c>
      <c r="R87" s="1">
        <v>0</v>
      </c>
      <c r="S87" s="1">
        <v>0</v>
      </c>
      <c r="X87" s="1">
        <v>1</v>
      </c>
      <c r="AA87" s="1">
        <v>16.989999999999998</v>
      </c>
      <c r="AB87" s="1" t="s">
        <v>938</v>
      </c>
      <c r="AC87" s="1" t="s">
        <v>948</v>
      </c>
      <c r="AE87" s="1" t="s">
        <v>954</v>
      </c>
      <c r="AN87" s="1">
        <v>0</v>
      </c>
      <c r="AP87" s="1" t="s">
        <v>669</v>
      </c>
      <c r="AQ87" s="1" t="s">
        <v>684</v>
      </c>
      <c r="AR87" s="1">
        <v>1</v>
      </c>
      <c r="AS87" s="1">
        <v>1</v>
      </c>
      <c r="AT87" s="1" t="s">
        <v>671</v>
      </c>
      <c r="AU87" s="1" t="s">
        <v>694</v>
      </c>
      <c r="AV87" s="1">
        <v>1</v>
      </c>
      <c r="AW87" s="1">
        <v>1</v>
      </c>
      <c r="AX87" s="1" t="s">
        <v>685</v>
      </c>
      <c r="AY87" s="1" t="s">
        <v>686</v>
      </c>
      <c r="AZ87" s="1">
        <v>1</v>
      </c>
      <c r="BA87" s="1">
        <v>1</v>
      </c>
      <c r="BB87" s="1" t="s">
        <v>941</v>
      </c>
      <c r="BC87" s="1">
        <v>0</v>
      </c>
      <c r="BF87" s="1">
        <v>245</v>
      </c>
      <c r="BG87" s="1">
        <v>95</v>
      </c>
      <c r="BH87" s="1">
        <v>233</v>
      </c>
      <c r="BM87" s="1" t="s">
        <v>950</v>
      </c>
      <c r="BQ87" s="1" t="s">
        <v>678</v>
      </c>
      <c r="BR87" s="1" t="s">
        <v>679</v>
      </c>
      <c r="BS87" s="1" t="s">
        <v>678</v>
      </c>
      <c r="BT87" s="1" t="s">
        <v>679</v>
      </c>
      <c r="BU87" s="1" t="s">
        <v>679</v>
      </c>
      <c r="CB87" s="1" t="s">
        <v>4</v>
      </c>
      <c r="CC87" s="1" t="s">
        <v>932</v>
      </c>
      <c r="CD87" s="1">
        <v>1</v>
      </c>
      <c r="CE87" s="1">
        <v>1</v>
      </c>
    </row>
    <row r="88" spans="1:83" ht="216" x14ac:dyDescent="0.3">
      <c r="A88" s="1">
        <v>1018</v>
      </c>
      <c r="B88" s="1" t="s">
        <v>661</v>
      </c>
      <c r="C88" s="1" t="s">
        <v>133</v>
      </c>
      <c r="E88" s="1" t="s">
        <v>429</v>
      </c>
      <c r="F88" s="1">
        <v>1</v>
      </c>
      <c r="G88" s="1">
        <v>0</v>
      </c>
      <c r="H88" s="1" t="s">
        <v>662</v>
      </c>
      <c r="I88" s="1" t="s">
        <v>944</v>
      </c>
      <c r="J88" s="1" t="s">
        <v>937</v>
      </c>
      <c r="M88" s="1" t="s">
        <v>665</v>
      </c>
      <c r="O88" s="1">
        <v>1</v>
      </c>
      <c r="R88" s="1">
        <v>0</v>
      </c>
      <c r="S88" s="1">
        <v>0</v>
      </c>
      <c r="X88" s="1">
        <v>1</v>
      </c>
      <c r="AA88" s="1">
        <v>16.989999999999998</v>
      </c>
      <c r="AB88" s="1" t="s">
        <v>938</v>
      </c>
      <c r="AC88" s="1" t="s">
        <v>948</v>
      </c>
      <c r="AE88" s="1" t="s">
        <v>955</v>
      </c>
      <c r="AN88" s="1">
        <v>0</v>
      </c>
      <c r="AP88" s="1" t="s">
        <v>669</v>
      </c>
      <c r="AQ88" s="1" t="s">
        <v>684</v>
      </c>
      <c r="AR88" s="1">
        <v>1</v>
      </c>
      <c r="AS88" s="1">
        <v>1</v>
      </c>
      <c r="AT88" s="1" t="s">
        <v>671</v>
      </c>
      <c r="AU88" s="1" t="s">
        <v>690</v>
      </c>
      <c r="AV88" s="1">
        <v>1</v>
      </c>
      <c r="AW88" s="1">
        <v>1</v>
      </c>
      <c r="AX88" s="1" t="s">
        <v>685</v>
      </c>
      <c r="AY88" s="1" t="s">
        <v>686</v>
      </c>
      <c r="AZ88" s="1">
        <v>1</v>
      </c>
      <c r="BA88" s="1">
        <v>1</v>
      </c>
      <c r="BB88" s="1" t="s">
        <v>941</v>
      </c>
      <c r="BC88" s="1">
        <v>0</v>
      </c>
      <c r="BF88" s="1">
        <v>222</v>
      </c>
      <c r="BG88" s="1">
        <v>90</v>
      </c>
      <c r="BH88" s="1">
        <v>211</v>
      </c>
      <c r="BM88" s="1" t="s">
        <v>950</v>
      </c>
      <c r="BQ88" s="1" t="s">
        <v>678</v>
      </c>
      <c r="BR88" s="1" t="s">
        <v>679</v>
      </c>
      <c r="BS88" s="1" t="s">
        <v>678</v>
      </c>
      <c r="BT88" s="1" t="s">
        <v>679</v>
      </c>
      <c r="BU88" s="1" t="s">
        <v>679</v>
      </c>
      <c r="CB88" s="1" t="s">
        <v>4</v>
      </c>
      <c r="CC88" s="1" t="s">
        <v>932</v>
      </c>
      <c r="CD88" s="1">
        <v>1</v>
      </c>
      <c r="CE88" s="1">
        <v>1</v>
      </c>
    </row>
    <row r="89" spans="1:83" ht="216" x14ac:dyDescent="0.3">
      <c r="A89" s="1">
        <v>1020</v>
      </c>
      <c r="B89" s="1" t="s">
        <v>661</v>
      </c>
      <c r="C89" s="1" t="s">
        <v>134</v>
      </c>
      <c r="E89" s="1" t="s">
        <v>430</v>
      </c>
      <c r="F89" s="1">
        <v>1</v>
      </c>
      <c r="G89" s="1">
        <v>0</v>
      </c>
      <c r="H89" s="1" t="s">
        <v>662</v>
      </c>
      <c r="I89" s="1" t="s">
        <v>936</v>
      </c>
      <c r="J89" s="1" t="s">
        <v>937</v>
      </c>
      <c r="M89" s="1" t="s">
        <v>665</v>
      </c>
      <c r="O89" s="1">
        <v>1</v>
      </c>
      <c r="R89" s="1">
        <v>0</v>
      </c>
      <c r="S89" s="1">
        <v>0</v>
      </c>
      <c r="X89" s="1">
        <v>1</v>
      </c>
      <c r="AA89" s="1">
        <v>16.989999999999998</v>
      </c>
      <c r="AB89" s="1" t="s">
        <v>938</v>
      </c>
      <c r="AC89" s="1" t="s">
        <v>948</v>
      </c>
      <c r="AE89" s="1" t="s">
        <v>956</v>
      </c>
      <c r="AN89" s="1">
        <v>0</v>
      </c>
      <c r="AP89" s="1" t="s">
        <v>669</v>
      </c>
      <c r="AQ89" s="1" t="s">
        <v>684</v>
      </c>
      <c r="AR89" s="1">
        <v>1</v>
      </c>
      <c r="AS89" s="1">
        <v>1</v>
      </c>
      <c r="AT89" s="1" t="s">
        <v>671</v>
      </c>
      <c r="AU89" s="1" t="s">
        <v>692</v>
      </c>
      <c r="AV89" s="1">
        <v>1</v>
      </c>
      <c r="AW89" s="1">
        <v>1</v>
      </c>
      <c r="AX89" s="1" t="s">
        <v>685</v>
      </c>
      <c r="AY89" s="1" t="s">
        <v>686</v>
      </c>
      <c r="AZ89" s="1">
        <v>1</v>
      </c>
      <c r="BA89" s="1">
        <v>1</v>
      </c>
      <c r="BB89" s="1" t="s">
        <v>941</v>
      </c>
      <c r="BC89" s="1">
        <v>0</v>
      </c>
      <c r="BF89" s="1">
        <v>230</v>
      </c>
      <c r="BG89" s="1">
        <v>92</v>
      </c>
      <c r="BH89" s="1">
        <v>214</v>
      </c>
      <c r="BM89" s="1" t="s">
        <v>950</v>
      </c>
      <c r="BQ89" s="1" t="s">
        <v>678</v>
      </c>
      <c r="BR89" s="1" t="s">
        <v>679</v>
      </c>
      <c r="BS89" s="1" t="s">
        <v>678</v>
      </c>
      <c r="BT89" s="1" t="s">
        <v>679</v>
      </c>
      <c r="BU89" s="1" t="s">
        <v>679</v>
      </c>
      <c r="CB89" s="1" t="s">
        <v>4</v>
      </c>
      <c r="CC89" s="1" t="s">
        <v>932</v>
      </c>
      <c r="CD89" s="1">
        <v>1</v>
      </c>
      <c r="CE89" s="1">
        <v>1</v>
      </c>
    </row>
    <row r="90" spans="1:83" ht="216" x14ac:dyDescent="0.3">
      <c r="A90" s="1">
        <v>1022</v>
      </c>
      <c r="B90" s="1" t="s">
        <v>661</v>
      </c>
      <c r="C90" s="1" t="s">
        <v>135</v>
      </c>
      <c r="E90" s="1" t="s">
        <v>431</v>
      </c>
      <c r="F90" s="1">
        <v>1</v>
      </c>
      <c r="G90" s="1">
        <v>0</v>
      </c>
      <c r="H90" s="1" t="s">
        <v>662</v>
      </c>
      <c r="I90" s="1" t="s">
        <v>957</v>
      </c>
      <c r="J90" s="1" t="s">
        <v>958</v>
      </c>
      <c r="M90" s="1" t="s">
        <v>665</v>
      </c>
      <c r="O90" s="1">
        <v>1</v>
      </c>
      <c r="R90" s="1">
        <v>0</v>
      </c>
      <c r="S90" s="1">
        <v>0</v>
      </c>
      <c r="X90" s="1">
        <v>1</v>
      </c>
      <c r="AA90" s="1">
        <v>19.670000000000002</v>
      </c>
      <c r="AB90" s="1" t="s">
        <v>959</v>
      </c>
      <c r="AC90" s="1" t="s">
        <v>960</v>
      </c>
      <c r="AE90" s="1" t="s">
        <v>961</v>
      </c>
      <c r="AN90" s="1">
        <v>0</v>
      </c>
      <c r="AP90" s="1" t="s">
        <v>669</v>
      </c>
      <c r="AQ90" s="1" t="s">
        <v>922</v>
      </c>
      <c r="AR90" s="1">
        <v>1</v>
      </c>
      <c r="AS90" s="1">
        <v>1</v>
      </c>
      <c r="AT90" s="1" t="s">
        <v>671</v>
      </c>
      <c r="AU90" s="1" t="s">
        <v>923</v>
      </c>
      <c r="AV90" s="1">
        <v>1</v>
      </c>
      <c r="AW90" s="1">
        <v>1</v>
      </c>
      <c r="AX90" s="1" t="s">
        <v>685</v>
      </c>
      <c r="AY90" s="1" t="s">
        <v>41</v>
      </c>
      <c r="AZ90" s="1">
        <v>1</v>
      </c>
      <c r="BA90" s="1">
        <v>1</v>
      </c>
      <c r="BB90" s="1" t="s">
        <v>962</v>
      </c>
      <c r="BC90" s="1">
        <v>0</v>
      </c>
      <c r="BF90" s="1">
        <v>233</v>
      </c>
      <c r="BG90" s="1">
        <v>95</v>
      </c>
      <c r="BH90" s="1">
        <v>223</v>
      </c>
      <c r="BQ90" s="1" t="s">
        <v>678</v>
      </c>
      <c r="BR90" s="1" t="s">
        <v>679</v>
      </c>
      <c r="BS90" s="1" t="s">
        <v>678</v>
      </c>
      <c r="BT90" s="1" t="s">
        <v>679</v>
      </c>
      <c r="BU90" s="1" t="s">
        <v>679</v>
      </c>
      <c r="CB90" s="1" t="s">
        <v>4</v>
      </c>
      <c r="CC90" s="1" t="s">
        <v>932</v>
      </c>
      <c r="CD90" s="1">
        <v>1</v>
      </c>
      <c r="CE90" s="1">
        <v>1</v>
      </c>
    </row>
    <row r="91" spans="1:83" ht="216" x14ac:dyDescent="0.3">
      <c r="A91" s="1">
        <v>1024</v>
      </c>
      <c r="B91" s="1" t="s">
        <v>661</v>
      </c>
      <c r="C91" s="1" t="s">
        <v>137</v>
      </c>
      <c r="E91" s="1" t="s">
        <v>432</v>
      </c>
      <c r="F91" s="1">
        <v>1</v>
      </c>
      <c r="G91" s="1">
        <v>0</v>
      </c>
      <c r="H91" s="1" t="s">
        <v>662</v>
      </c>
      <c r="I91" s="1" t="s">
        <v>963</v>
      </c>
      <c r="J91" s="1" t="s">
        <v>964</v>
      </c>
      <c r="M91" s="1" t="s">
        <v>665</v>
      </c>
      <c r="O91" s="1">
        <v>1</v>
      </c>
      <c r="R91" s="1">
        <v>0</v>
      </c>
      <c r="S91" s="1">
        <v>0</v>
      </c>
      <c r="X91" s="1">
        <v>1</v>
      </c>
      <c r="AA91" s="1">
        <v>20</v>
      </c>
      <c r="AB91" s="1" t="s">
        <v>965</v>
      </c>
      <c r="AC91" s="1" t="s">
        <v>960</v>
      </c>
      <c r="AE91" s="1" t="s">
        <v>966</v>
      </c>
      <c r="AN91" s="1">
        <v>0</v>
      </c>
      <c r="AP91" s="1" t="s">
        <v>669</v>
      </c>
      <c r="AQ91" s="1" t="s">
        <v>922</v>
      </c>
      <c r="AR91" s="1">
        <v>1</v>
      </c>
      <c r="AS91" s="1">
        <v>1</v>
      </c>
      <c r="AT91" s="1" t="s">
        <v>671</v>
      </c>
      <c r="AU91" s="1" t="s">
        <v>923</v>
      </c>
      <c r="AV91" s="1">
        <v>1</v>
      </c>
      <c r="AW91" s="1">
        <v>1</v>
      </c>
      <c r="AX91" s="1" t="s">
        <v>685</v>
      </c>
      <c r="AY91" s="1" t="s">
        <v>686</v>
      </c>
      <c r="AZ91" s="1">
        <v>1</v>
      </c>
      <c r="BA91" s="1">
        <v>1</v>
      </c>
      <c r="BB91" s="1" t="s">
        <v>967</v>
      </c>
      <c r="BC91" s="1">
        <v>0</v>
      </c>
      <c r="BF91" s="1">
        <v>230</v>
      </c>
      <c r="BG91" s="1">
        <v>96</v>
      </c>
      <c r="BH91" s="1">
        <v>219</v>
      </c>
      <c r="BQ91" s="1" t="s">
        <v>678</v>
      </c>
      <c r="BR91" s="1" t="s">
        <v>679</v>
      </c>
      <c r="BS91" s="1" t="s">
        <v>678</v>
      </c>
      <c r="BT91" s="1" t="s">
        <v>679</v>
      </c>
      <c r="BU91" s="1" t="s">
        <v>679</v>
      </c>
      <c r="CB91" s="1" t="s">
        <v>4</v>
      </c>
      <c r="CC91" s="1" t="s">
        <v>932</v>
      </c>
      <c r="CD91" s="1">
        <v>1</v>
      </c>
      <c r="CE91" s="1">
        <v>1</v>
      </c>
    </row>
    <row r="92" spans="1:83" ht="216" x14ac:dyDescent="0.3">
      <c r="A92" s="1">
        <v>1025</v>
      </c>
      <c r="B92" s="1" t="s">
        <v>661</v>
      </c>
      <c r="C92" s="1" t="s">
        <v>138</v>
      </c>
      <c r="E92" s="1" t="s">
        <v>968</v>
      </c>
      <c r="F92" s="1">
        <v>1</v>
      </c>
      <c r="G92" s="1">
        <v>0</v>
      </c>
      <c r="H92" s="1" t="s">
        <v>662</v>
      </c>
      <c r="I92" s="1" t="s">
        <v>969</v>
      </c>
      <c r="J92" s="1" t="s">
        <v>970</v>
      </c>
      <c r="M92" s="1" t="s">
        <v>665</v>
      </c>
      <c r="O92" s="1">
        <v>1</v>
      </c>
      <c r="R92" s="1">
        <v>0</v>
      </c>
      <c r="S92" s="1">
        <v>0</v>
      </c>
      <c r="X92" s="1">
        <v>1</v>
      </c>
      <c r="AA92" s="1">
        <v>15.5</v>
      </c>
      <c r="AB92" s="1" t="s">
        <v>971</v>
      </c>
      <c r="AC92" s="1" t="s">
        <v>972</v>
      </c>
      <c r="AE92" s="1" t="s">
        <v>973</v>
      </c>
      <c r="AN92" s="1">
        <v>0</v>
      </c>
      <c r="AP92" s="1" t="s">
        <v>669</v>
      </c>
      <c r="AQ92" s="1" t="s">
        <v>819</v>
      </c>
      <c r="AR92" s="1">
        <v>1</v>
      </c>
      <c r="AS92" s="1">
        <v>1</v>
      </c>
      <c r="AT92" s="1" t="s">
        <v>671</v>
      </c>
      <c r="AU92" s="1" t="s">
        <v>672</v>
      </c>
      <c r="AV92" s="1">
        <v>1</v>
      </c>
      <c r="AW92" s="1">
        <v>1</v>
      </c>
      <c r="AX92" s="1" t="s">
        <v>685</v>
      </c>
      <c r="AY92" s="1" t="s">
        <v>686</v>
      </c>
      <c r="AZ92" s="1">
        <v>1</v>
      </c>
      <c r="BA92" s="1">
        <v>1</v>
      </c>
      <c r="BB92" s="1" t="s">
        <v>974</v>
      </c>
      <c r="BC92" s="1">
        <v>0</v>
      </c>
      <c r="BF92" s="1">
        <v>229</v>
      </c>
      <c r="BG92" s="1">
        <v>95</v>
      </c>
      <c r="BH92" s="1">
        <v>218</v>
      </c>
      <c r="BM92" s="1" t="s">
        <v>975</v>
      </c>
      <c r="BQ92" s="1" t="s">
        <v>678</v>
      </c>
      <c r="BR92" s="1" t="s">
        <v>679</v>
      </c>
      <c r="BS92" s="1" t="s">
        <v>678</v>
      </c>
      <c r="BT92" s="1" t="s">
        <v>679</v>
      </c>
      <c r="BU92" s="1" t="s">
        <v>679</v>
      </c>
      <c r="CB92" s="1" t="s">
        <v>4</v>
      </c>
      <c r="CC92" s="1" t="s">
        <v>932</v>
      </c>
      <c r="CD92" s="1">
        <v>1</v>
      </c>
      <c r="CE92" s="1">
        <v>1</v>
      </c>
    </row>
    <row r="93" spans="1:83" ht="216" x14ac:dyDescent="0.3">
      <c r="A93" s="1">
        <v>1028</v>
      </c>
      <c r="B93" s="1" t="s">
        <v>661</v>
      </c>
      <c r="C93" s="1" t="s">
        <v>141</v>
      </c>
      <c r="E93" s="1" t="s">
        <v>976</v>
      </c>
      <c r="F93" s="1">
        <v>1</v>
      </c>
      <c r="G93" s="1">
        <v>0</v>
      </c>
      <c r="H93" s="1" t="s">
        <v>662</v>
      </c>
      <c r="I93" s="1" t="s">
        <v>969</v>
      </c>
      <c r="J93" s="1" t="s">
        <v>970</v>
      </c>
      <c r="M93" s="1" t="s">
        <v>665</v>
      </c>
      <c r="O93" s="1">
        <v>1</v>
      </c>
      <c r="R93" s="1">
        <v>0</v>
      </c>
      <c r="S93" s="1">
        <v>0</v>
      </c>
      <c r="X93" s="1">
        <v>1</v>
      </c>
      <c r="AA93" s="1">
        <v>15.5</v>
      </c>
      <c r="AB93" s="1" t="s">
        <v>971</v>
      </c>
      <c r="AC93" s="1" t="s">
        <v>972</v>
      </c>
      <c r="AE93" s="1" t="s">
        <v>977</v>
      </c>
      <c r="AN93" s="1">
        <v>0</v>
      </c>
      <c r="AP93" s="1" t="s">
        <v>669</v>
      </c>
      <c r="AQ93" s="1" t="s">
        <v>819</v>
      </c>
      <c r="AR93" s="1">
        <v>1</v>
      </c>
      <c r="AS93" s="1">
        <v>1</v>
      </c>
      <c r="AT93" s="1" t="s">
        <v>671</v>
      </c>
      <c r="AU93" s="1" t="s">
        <v>731</v>
      </c>
      <c r="AV93" s="1">
        <v>1</v>
      </c>
      <c r="AW93" s="1">
        <v>1</v>
      </c>
      <c r="AX93" s="1" t="s">
        <v>685</v>
      </c>
      <c r="AY93" s="1" t="s">
        <v>686</v>
      </c>
      <c r="AZ93" s="1">
        <v>1</v>
      </c>
      <c r="BA93" s="1">
        <v>1</v>
      </c>
      <c r="BB93" s="1" t="s">
        <v>974</v>
      </c>
      <c r="BC93" s="1">
        <v>0</v>
      </c>
      <c r="BF93" s="1">
        <v>1229</v>
      </c>
      <c r="BG93" s="1">
        <v>1090</v>
      </c>
      <c r="BH93" s="1">
        <v>1215</v>
      </c>
      <c r="BM93" s="1" t="s">
        <v>975</v>
      </c>
      <c r="BQ93" s="1" t="s">
        <v>678</v>
      </c>
      <c r="BR93" s="1" t="s">
        <v>679</v>
      </c>
      <c r="BS93" s="1" t="s">
        <v>678</v>
      </c>
      <c r="BT93" s="1" t="s">
        <v>679</v>
      </c>
      <c r="BU93" s="1" t="s">
        <v>679</v>
      </c>
      <c r="CB93" s="1" t="s">
        <v>4</v>
      </c>
      <c r="CC93" s="1" t="s">
        <v>932</v>
      </c>
      <c r="CD93" s="1">
        <v>1</v>
      </c>
      <c r="CE93" s="1">
        <v>1</v>
      </c>
    </row>
    <row r="94" spans="1:83" ht="216" x14ac:dyDescent="0.3">
      <c r="A94" s="1">
        <v>1030</v>
      </c>
      <c r="B94" s="1" t="s">
        <v>661</v>
      </c>
      <c r="C94" s="1" t="s">
        <v>142</v>
      </c>
      <c r="E94" s="1" t="s">
        <v>978</v>
      </c>
      <c r="F94" s="1">
        <v>1</v>
      </c>
      <c r="G94" s="1">
        <v>0</v>
      </c>
      <c r="H94" s="1" t="s">
        <v>662</v>
      </c>
      <c r="I94" s="1" t="s">
        <v>969</v>
      </c>
      <c r="J94" s="1" t="s">
        <v>970</v>
      </c>
      <c r="M94" s="1" t="s">
        <v>665</v>
      </c>
      <c r="O94" s="1">
        <v>1</v>
      </c>
      <c r="R94" s="1">
        <v>0</v>
      </c>
      <c r="S94" s="1">
        <v>0</v>
      </c>
      <c r="X94" s="1">
        <v>1</v>
      </c>
      <c r="AA94" s="1">
        <v>15.5</v>
      </c>
      <c r="AB94" s="1" t="s">
        <v>971</v>
      </c>
      <c r="AC94" s="1" t="s">
        <v>972</v>
      </c>
      <c r="AE94" s="1" t="s">
        <v>979</v>
      </c>
      <c r="AN94" s="1">
        <v>0</v>
      </c>
      <c r="AP94" s="1" t="s">
        <v>669</v>
      </c>
      <c r="AQ94" s="1" t="s">
        <v>819</v>
      </c>
      <c r="AR94" s="1">
        <v>1</v>
      </c>
      <c r="AS94" s="1">
        <v>1</v>
      </c>
      <c r="AT94" s="1" t="s">
        <v>671</v>
      </c>
      <c r="AU94" s="1" t="s">
        <v>728</v>
      </c>
      <c r="AV94" s="1">
        <v>1</v>
      </c>
      <c r="AW94" s="1">
        <v>1</v>
      </c>
      <c r="AX94" s="1" t="s">
        <v>685</v>
      </c>
      <c r="AY94" s="1" t="s">
        <v>686</v>
      </c>
      <c r="AZ94" s="1">
        <v>1</v>
      </c>
      <c r="BA94" s="1">
        <v>1</v>
      </c>
      <c r="BB94" s="1" t="s">
        <v>974</v>
      </c>
      <c r="BC94" s="1">
        <v>0</v>
      </c>
      <c r="BF94" s="1">
        <v>1324</v>
      </c>
      <c r="BG94" s="1">
        <v>1192</v>
      </c>
      <c r="BH94" s="1">
        <v>1314</v>
      </c>
      <c r="BM94" s="1" t="s">
        <v>975</v>
      </c>
      <c r="BQ94" s="1" t="s">
        <v>678</v>
      </c>
      <c r="BR94" s="1" t="s">
        <v>679</v>
      </c>
      <c r="BS94" s="1" t="s">
        <v>678</v>
      </c>
      <c r="BT94" s="1" t="s">
        <v>679</v>
      </c>
      <c r="BU94" s="1" t="s">
        <v>679</v>
      </c>
      <c r="CB94" s="1" t="s">
        <v>4</v>
      </c>
      <c r="CC94" s="1" t="s">
        <v>932</v>
      </c>
      <c r="CD94" s="1">
        <v>1</v>
      </c>
      <c r="CE94" s="1">
        <v>1</v>
      </c>
    </row>
    <row r="95" spans="1:83" ht="216" x14ac:dyDescent="0.3">
      <c r="A95" s="1">
        <v>1032</v>
      </c>
      <c r="B95" s="1" t="s">
        <v>661</v>
      </c>
      <c r="C95" s="1" t="s">
        <v>143</v>
      </c>
      <c r="E95" s="1" t="s">
        <v>980</v>
      </c>
      <c r="F95" s="1">
        <v>1</v>
      </c>
      <c r="G95" s="1">
        <v>0</v>
      </c>
      <c r="H95" s="1" t="s">
        <v>662</v>
      </c>
      <c r="I95" s="1" t="s">
        <v>969</v>
      </c>
      <c r="J95" s="1" t="s">
        <v>981</v>
      </c>
      <c r="M95" s="1" t="s">
        <v>665</v>
      </c>
      <c r="O95" s="1">
        <v>1</v>
      </c>
      <c r="R95" s="1">
        <v>0</v>
      </c>
      <c r="S95" s="1">
        <v>0</v>
      </c>
      <c r="X95" s="1">
        <v>1</v>
      </c>
      <c r="AA95" s="1">
        <v>15.5</v>
      </c>
      <c r="AB95" s="1" t="s">
        <v>971</v>
      </c>
      <c r="AC95" s="1" t="s">
        <v>972</v>
      </c>
      <c r="AE95" s="1" t="s">
        <v>982</v>
      </c>
      <c r="AN95" s="1">
        <v>0</v>
      </c>
      <c r="AP95" s="1" t="s">
        <v>669</v>
      </c>
      <c r="AQ95" s="1" t="s">
        <v>819</v>
      </c>
      <c r="AR95" s="1">
        <v>1</v>
      </c>
      <c r="AS95" s="1">
        <v>1</v>
      </c>
      <c r="AT95" s="1" t="s">
        <v>671</v>
      </c>
      <c r="AU95" s="1" t="s">
        <v>696</v>
      </c>
      <c r="AV95" s="1">
        <v>1</v>
      </c>
      <c r="AW95" s="1">
        <v>1</v>
      </c>
      <c r="AX95" s="1" t="s">
        <v>685</v>
      </c>
      <c r="AY95" s="1" t="s">
        <v>686</v>
      </c>
      <c r="AZ95" s="1">
        <v>1</v>
      </c>
      <c r="BA95" s="1">
        <v>1</v>
      </c>
      <c r="BB95" s="1" t="s">
        <v>974</v>
      </c>
      <c r="BC95" s="1">
        <v>0</v>
      </c>
      <c r="BF95" s="1">
        <v>1366</v>
      </c>
      <c r="BG95" s="1">
        <v>1232</v>
      </c>
      <c r="BH95" s="1">
        <v>1356</v>
      </c>
      <c r="BM95" s="1" t="s">
        <v>975</v>
      </c>
      <c r="BQ95" s="1" t="s">
        <v>678</v>
      </c>
      <c r="BR95" s="1" t="s">
        <v>679</v>
      </c>
      <c r="BS95" s="1" t="s">
        <v>678</v>
      </c>
      <c r="BT95" s="1" t="s">
        <v>679</v>
      </c>
      <c r="BU95" s="1" t="s">
        <v>679</v>
      </c>
      <c r="CB95" s="1" t="s">
        <v>4</v>
      </c>
      <c r="CC95" s="1" t="s">
        <v>932</v>
      </c>
      <c r="CD95" s="1">
        <v>1</v>
      </c>
      <c r="CE95" s="1">
        <v>1</v>
      </c>
    </row>
    <row r="96" spans="1:83" ht="216" x14ac:dyDescent="0.3">
      <c r="A96" s="1">
        <v>1034</v>
      </c>
      <c r="B96" s="1" t="s">
        <v>661</v>
      </c>
      <c r="C96" s="1" t="s">
        <v>983</v>
      </c>
      <c r="E96" s="1" t="s">
        <v>984</v>
      </c>
      <c r="F96" s="1">
        <v>-1</v>
      </c>
      <c r="G96" s="1">
        <v>0</v>
      </c>
      <c r="H96" s="1" t="s">
        <v>662</v>
      </c>
      <c r="I96" s="1" t="s">
        <v>985</v>
      </c>
      <c r="J96" s="1" t="s">
        <v>986</v>
      </c>
      <c r="M96" s="1" t="s">
        <v>665</v>
      </c>
      <c r="O96" s="1">
        <v>1</v>
      </c>
      <c r="R96" s="1">
        <v>0</v>
      </c>
      <c r="S96" s="1">
        <v>0</v>
      </c>
      <c r="X96" s="1">
        <v>1</v>
      </c>
      <c r="AA96" s="1">
        <v>15.21</v>
      </c>
      <c r="AB96" s="1" t="s">
        <v>987</v>
      </c>
      <c r="AC96" s="1" t="s">
        <v>988</v>
      </c>
      <c r="AE96" s="1" t="s">
        <v>989</v>
      </c>
      <c r="AN96" s="1">
        <v>0</v>
      </c>
      <c r="AP96" s="1" t="s">
        <v>669</v>
      </c>
      <c r="AQ96" s="1" t="s">
        <v>869</v>
      </c>
      <c r="AR96" s="1">
        <v>1</v>
      </c>
      <c r="AS96" s="1">
        <v>1</v>
      </c>
      <c r="AT96" s="1" t="s">
        <v>671</v>
      </c>
      <c r="AU96" s="1" t="s">
        <v>672</v>
      </c>
      <c r="AV96" s="1">
        <v>1</v>
      </c>
      <c r="AW96" s="1">
        <v>1</v>
      </c>
      <c r="AX96" s="1" t="s">
        <v>685</v>
      </c>
      <c r="AY96" s="1" t="s">
        <v>41</v>
      </c>
      <c r="AZ96" s="1">
        <v>1</v>
      </c>
      <c r="BA96" s="1">
        <v>1</v>
      </c>
      <c r="BB96" s="1" t="s">
        <v>990</v>
      </c>
      <c r="BC96" s="1">
        <v>0</v>
      </c>
      <c r="BF96" s="1">
        <v>227</v>
      </c>
      <c r="BG96" s="1">
        <v>89</v>
      </c>
      <c r="BH96" s="1">
        <v>213</v>
      </c>
      <c r="BM96" s="1" t="s">
        <v>991</v>
      </c>
      <c r="BQ96" s="1" t="s">
        <v>678</v>
      </c>
      <c r="BR96" s="1" t="s">
        <v>679</v>
      </c>
      <c r="BS96" s="1" t="s">
        <v>678</v>
      </c>
      <c r="BT96" s="1" t="s">
        <v>679</v>
      </c>
      <c r="BU96" s="1" t="s">
        <v>679</v>
      </c>
      <c r="CB96" s="1" t="s">
        <v>4</v>
      </c>
      <c r="CC96" s="1" t="s">
        <v>932</v>
      </c>
      <c r="CD96" s="1">
        <v>1</v>
      </c>
      <c r="CE96" s="1">
        <v>1</v>
      </c>
    </row>
    <row r="97" spans="1:83" ht="216" x14ac:dyDescent="0.3">
      <c r="A97" s="1">
        <v>1037</v>
      </c>
      <c r="B97" s="1" t="s">
        <v>661</v>
      </c>
      <c r="C97" s="1" t="s">
        <v>992</v>
      </c>
      <c r="E97" s="1" t="s">
        <v>993</v>
      </c>
      <c r="F97" s="1">
        <v>-1</v>
      </c>
      <c r="G97" s="1">
        <v>0</v>
      </c>
      <c r="H97" s="1" t="s">
        <v>662</v>
      </c>
      <c r="I97" s="1" t="s">
        <v>994</v>
      </c>
      <c r="J97" s="1" t="s">
        <v>986</v>
      </c>
      <c r="M97" s="1" t="s">
        <v>665</v>
      </c>
      <c r="O97" s="1">
        <v>1</v>
      </c>
      <c r="R97" s="1">
        <v>0</v>
      </c>
      <c r="S97" s="1">
        <v>0</v>
      </c>
      <c r="X97" s="1">
        <v>1</v>
      </c>
      <c r="AA97" s="1">
        <v>15.21</v>
      </c>
      <c r="AB97" s="1" t="s">
        <v>995</v>
      </c>
      <c r="AC97" s="1" t="s">
        <v>988</v>
      </c>
      <c r="AE97" s="1" t="s">
        <v>996</v>
      </c>
      <c r="AN97" s="1">
        <v>0</v>
      </c>
      <c r="AP97" s="1" t="s">
        <v>669</v>
      </c>
      <c r="AQ97" s="1" t="s">
        <v>869</v>
      </c>
      <c r="AR97" s="1">
        <v>1</v>
      </c>
      <c r="AS97" s="1">
        <v>1</v>
      </c>
      <c r="AT97" s="1" t="s">
        <v>671</v>
      </c>
      <c r="AU97" s="1" t="s">
        <v>728</v>
      </c>
      <c r="AV97" s="1">
        <v>1</v>
      </c>
      <c r="AW97" s="1">
        <v>1</v>
      </c>
      <c r="AX97" s="1" t="s">
        <v>685</v>
      </c>
      <c r="AY97" s="1" t="s">
        <v>41</v>
      </c>
      <c r="AZ97" s="1">
        <v>1</v>
      </c>
      <c r="BA97" s="1">
        <v>1</v>
      </c>
      <c r="BB97" s="1" t="s">
        <v>990</v>
      </c>
      <c r="BC97" s="1">
        <v>0</v>
      </c>
      <c r="BF97" s="1">
        <v>229</v>
      </c>
      <c r="BG97" s="1">
        <v>93</v>
      </c>
      <c r="BH97" s="1">
        <v>218</v>
      </c>
      <c r="BM97" s="1" t="s">
        <v>991</v>
      </c>
      <c r="BQ97" s="1" t="s">
        <v>678</v>
      </c>
      <c r="BR97" s="1" t="s">
        <v>679</v>
      </c>
      <c r="BS97" s="1" t="s">
        <v>678</v>
      </c>
      <c r="BT97" s="1" t="s">
        <v>679</v>
      </c>
      <c r="BU97" s="1" t="s">
        <v>679</v>
      </c>
      <c r="CB97" s="1" t="s">
        <v>4</v>
      </c>
      <c r="CC97" s="1" t="s">
        <v>932</v>
      </c>
      <c r="CD97" s="1">
        <v>1</v>
      </c>
      <c r="CE97" s="1">
        <v>1</v>
      </c>
    </row>
    <row r="98" spans="1:83" ht="216" x14ac:dyDescent="0.3">
      <c r="A98" s="1">
        <v>1039</v>
      </c>
      <c r="B98" s="1" t="s">
        <v>661</v>
      </c>
      <c r="C98" s="1" t="s">
        <v>997</v>
      </c>
      <c r="E98" s="1" t="s">
        <v>998</v>
      </c>
      <c r="F98" s="1">
        <v>-1</v>
      </c>
      <c r="G98" s="1">
        <v>0</v>
      </c>
      <c r="H98" s="1" t="s">
        <v>662</v>
      </c>
      <c r="I98" s="1" t="s">
        <v>985</v>
      </c>
      <c r="J98" s="1" t="s">
        <v>986</v>
      </c>
      <c r="M98" s="1" t="s">
        <v>665</v>
      </c>
      <c r="O98" s="1">
        <v>1</v>
      </c>
      <c r="R98" s="1">
        <v>0</v>
      </c>
      <c r="S98" s="1">
        <v>0</v>
      </c>
      <c r="X98" s="1">
        <v>1</v>
      </c>
      <c r="AA98" s="1">
        <v>15.21</v>
      </c>
      <c r="AB98" s="1" t="s">
        <v>995</v>
      </c>
      <c r="AC98" s="1" t="s">
        <v>988</v>
      </c>
      <c r="AE98" s="1" t="s">
        <v>999</v>
      </c>
      <c r="AN98" s="1">
        <v>0</v>
      </c>
      <c r="AP98" s="1" t="s">
        <v>669</v>
      </c>
      <c r="AQ98" s="1" t="s">
        <v>869</v>
      </c>
      <c r="AR98" s="1">
        <v>1</v>
      </c>
      <c r="AS98" s="1">
        <v>1</v>
      </c>
      <c r="AT98" s="1" t="s">
        <v>671</v>
      </c>
      <c r="AU98" s="1" t="s">
        <v>731</v>
      </c>
      <c r="AV98" s="1">
        <v>1</v>
      </c>
      <c r="AW98" s="1">
        <v>1</v>
      </c>
      <c r="AX98" s="1" t="s">
        <v>685</v>
      </c>
      <c r="AY98" s="1" t="s">
        <v>41</v>
      </c>
      <c r="AZ98" s="1">
        <v>1</v>
      </c>
      <c r="BA98" s="1">
        <v>1</v>
      </c>
      <c r="BB98" s="1" t="s">
        <v>990</v>
      </c>
      <c r="BC98" s="1">
        <v>0</v>
      </c>
      <c r="BF98" s="1">
        <v>219</v>
      </c>
      <c r="BG98" s="1">
        <v>87</v>
      </c>
      <c r="BH98" s="1">
        <v>208</v>
      </c>
      <c r="BM98" s="1" t="s">
        <v>991</v>
      </c>
      <c r="BQ98" s="1" t="s">
        <v>678</v>
      </c>
      <c r="BR98" s="1" t="s">
        <v>679</v>
      </c>
      <c r="BS98" s="1" t="s">
        <v>678</v>
      </c>
      <c r="BT98" s="1" t="s">
        <v>679</v>
      </c>
      <c r="BU98" s="1" t="s">
        <v>679</v>
      </c>
      <c r="CB98" s="1" t="s">
        <v>4</v>
      </c>
      <c r="CC98" s="1" t="s">
        <v>932</v>
      </c>
      <c r="CD98" s="1">
        <v>1</v>
      </c>
      <c r="CE98" s="1">
        <v>1</v>
      </c>
    </row>
    <row r="99" spans="1:83" ht="216" x14ac:dyDescent="0.3">
      <c r="A99" s="1">
        <v>1041</v>
      </c>
      <c r="B99" s="1" t="s">
        <v>661</v>
      </c>
      <c r="C99" s="1" t="s">
        <v>1000</v>
      </c>
      <c r="E99" s="1" t="s">
        <v>1001</v>
      </c>
      <c r="F99" s="1">
        <v>-1</v>
      </c>
      <c r="G99" s="1">
        <v>0</v>
      </c>
      <c r="H99" s="1" t="s">
        <v>662</v>
      </c>
      <c r="I99" s="1" t="s">
        <v>985</v>
      </c>
      <c r="J99" s="1" t="s">
        <v>986</v>
      </c>
      <c r="M99" s="1" t="s">
        <v>665</v>
      </c>
      <c r="O99" s="1">
        <v>1</v>
      </c>
      <c r="R99" s="1">
        <v>0</v>
      </c>
      <c r="S99" s="1">
        <v>0</v>
      </c>
      <c r="X99" s="1">
        <v>1</v>
      </c>
      <c r="AA99" s="1">
        <v>15.21</v>
      </c>
      <c r="AB99" s="1" t="s">
        <v>995</v>
      </c>
      <c r="AC99" s="1" t="s">
        <v>988</v>
      </c>
      <c r="AE99" s="1" t="s">
        <v>1002</v>
      </c>
      <c r="AN99" s="1">
        <v>0</v>
      </c>
      <c r="AP99" s="1" t="s">
        <v>669</v>
      </c>
      <c r="AQ99" s="1" t="s">
        <v>869</v>
      </c>
      <c r="AR99" s="1">
        <v>1</v>
      </c>
      <c r="AS99" s="1">
        <v>1</v>
      </c>
      <c r="AT99" s="1" t="s">
        <v>671</v>
      </c>
      <c r="AU99" s="1" t="s">
        <v>728</v>
      </c>
      <c r="AV99" s="1">
        <v>1</v>
      </c>
      <c r="AW99" s="1">
        <v>1</v>
      </c>
      <c r="AX99" s="1" t="s">
        <v>685</v>
      </c>
      <c r="AY99" s="1" t="s">
        <v>41</v>
      </c>
      <c r="AZ99" s="1">
        <v>1</v>
      </c>
      <c r="BA99" s="1">
        <v>1</v>
      </c>
      <c r="BB99" s="1" t="s">
        <v>990</v>
      </c>
      <c r="BC99" s="1">
        <v>0</v>
      </c>
      <c r="BF99" s="1">
        <v>224</v>
      </c>
      <c r="BG99" s="1">
        <v>91</v>
      </c>
      <c r="BH99" s="1">
        <v>212</v>
      </c>
      <c r="BM99" s="1" t="s">
        <v>991</v>
      </c>
      <c r="BQ99" s="1" t="s">
        <v>678</v>
      </c>
      <c r="BR99" s="1" t="s">
        <v>679</v>
      </c>
      <c r="BS99" s="1" t="s">
        <v>678</v>
      </c>
      <c r="BT99" s="1" t="s">
        <v>679</v>
      </c>
      <c r="BU99" s="1" t="s">
        <v>679</v>
      </c>
      <c r="CB99" s="1" t="s">
        <v>4</v>
      </c>
      <c r="CC99" s="1" t="s">
        <v>932</v>
      </c>
      <c r="CD99" s="1">
        <v>1</v>
      </c>
      <c r="CE99" s="1">
        <v>1</v>
      </c>
    </row>
    <row r="100" spans="1:83" ht="216" x14ac:dyDescent="0.3">
      <c r="A100" s="1">
        <v>1043</v>
      </c>
      <c r="B100" s="1" t="s">
        <v>661</v>
      </c>
      <c r="C100" s="1" t="s">
        <v>1003</v>
      </c>
      <c r="E100" s="1" t="s">
        <v>1004</v>
      </c>
      <c r="F100" s="1">
        <v>-1</v>
      </c>
      <c r="G100" s="1">
        <v>0</v>
      </c>
      <c r="H100" s="1" t="s">
        <v>662</v>
      </c>
      <c r="I100" s="1" t="s">
        <v>985</v>
      </c>
      <c r="J100" s="1" t="s">
        <v>986</v>
      </c>
      <c r="M100" s="1" t="s">
        <v>665</v>
      </c>
      <c r="O100" s="1">
        <v>1</v>
      </c>
      <c r="R100" s="1">
        <v>0</v>
      </c>
      <c r="S100" s="1">
        <v>0</v>
      </c>
      <c r="X100" s="1">
        <v>1</v>
      </c>
      <c r="AA100" s="1">
        <v>15.21</v>
      </c>
      <c r="AB100" s="1" t="s">
        <v>987</v>
      </c>
      <c r="AC100" s="1" t="s">
        <v>988</v>
      </c>
      <c r="AE100" s="1" t="s">
        <v>1005</v>
      </c>
      <c r="AN100" s="1">
        <v>0</v>
      </c>
      <c r="AP100" s="1" t="s">
        <v>669</v>
      </c>
      <c r="AQ100" s="1" t="s">
        <v>869</v>
      </c>
      <c r="AR100" s="1">
        <v>1</v>
      </c>
      <c r="AS100" s="1">
        <v>1</v>
      </c>
      <c r="AT100" s="1" t="s">
        <v>671</v>
      </c>
      <c r="AU100" s="1" t="s">
        <v>696</v>
      </c>
      <c r="AV100" s="1">
        <v>1</v>
      </c>
      <c r="AW100" s="1">
        <v>1</v>
      </c>
      <c r="AX100" s="1" t="s">
        <v>685</v>
      </c>
      <c r="AY100" s="1" t="s">
        <v>41</v>
      </c>
      <c r="AZ100" s="1">
        <v>1</v>
      </c>
      <c r="BA100" s="1">
        <v>1</v>
      </c>
      <c r="BB100" s="1" t="s">
        <v>990</v>
      </c>
      <c r="BC100" s="1">
        <v>0</v>
      </c>
      <c r="BF100" s="1">
        <v>314</v>
      </c>
      <c r="BG100" s="1">
        <v>179</v>
      </c>
      <c r="BH100" s="1">
        <v>301</v>
      </c>
      <c r="BM100" s="1" t="s">
        <v>991</v>
      </c>
      <c r="BQ100" s="1" t="s">
        <v>678</v>
      </c>
      <c r="BR100" s="1" t="s">
        <v>679</v>
      </c>
      <c r="BS100" s="1" t="s">
        <v>678</v>
      </c>
      <c r="BT100" s="1" t="s">
        <v>679</v>
      </c>
      <c r="BU100" s="1" t="s">
        <v>679</v>
      </c>
      <c r="CB100" s="1" t="s">
        <v>4</v>
      </c>
      <c r="CC100" s="1" t="s">
        <v>932</v>
      </c>
      <c r="CD100" s="1">
        <v>1</v>
      </c>
      <c r="CE100" s="1">
        <v>1</v>
      </c>
    </row>
    <row r="101" spans="1:83" ht="216" x14ac:dyDescent="0.3">
      <c r="A101" s="1">
        <v>1044</v>
      </c>
      <c r="B101" s="1" t="s">
        <v>661</v>
      </c>
      <c r="C101" s="1" t="s">
        <v>1006</v>
      </c>
      <c r="E101" s="1" t="s">
        <v>1007</v>
      </c>
      <c r="F101" s="1">
        <v>-1</v>
      </c>
      <c r="G101" s="1">
        <v>0</v>
      </c>
      <c r="H101" s="1" t="s">
        <v>662</v>
      </c>
      <c r="I101" s="1" t="s">
        <v>994</v>
      </c>
      <c r="J101" s="1" t="s">
        <v>986</v>
      </c>
      <c r="M101" s="1" t="s">
        <v>665</v>
      </c>
      <c r="O101" s="1">
        <v>1</v>
      </c>
      <c r="R101" s="1">
        <v>0</v>
      </c>
      <c r="S101" s="1">
        <v>0</v>
      </c>
      <c r="X101" s="1">
        <v>1</v>
      </c>
      <c r="AA101" s="1">
        <v>15.21</v>
      </c>
      <c r="AB101" s="1" t="s">
        <v>987</v>
      </c>
      <c r="AC101" s="1" t="s">
        <v>988</v>
      </c>
      <c r="AE101" s="1" t="s">
        <v>1008</v>
      </c>
      <c r="AN101" s="1">
        <v>0</v>
      </c>
      <c r="AP101" s="1" t="s">
        <v>669</v>
      </c>
      <c r="AQ101" s="1" t="s">
        <v>869</v>
      </c>
      <c r="AR101" s="1">
        <v>1</v>
      </c>
      <c r="AS101" s="1">
        <v>1</v>
      </c>
      <c r="AT101" s="1" t="s">
        <v>671</v>
      </c>
      <c r="AU101" s="1" t="s">
        <v>893</v>
      </c>
      <c r="AV101" s="1">
        <v>1</v>
      </c>
      <c r="AW101" s="1">
        <v>1</v>
      </c>
      <c r="AX101" s="1" t="s">
        <v>685</v>
      </c>
      <c r="AY101" s="1" t="s">
        <v>41</v>
      </c>
      <c r="AZ101" s="1">
        <v>1</v>
      </c>
      <c r="BA101" s="1">
        <v>1</v>
      </c>
      <c r="BB101" s="1" t="s">
        <v>990</v>
      </c>
      <c r="BC101" s="1">
        <v>0</v>
      </c>
      <c r="BF101" s="1">
        <v>323</v>
      </c>
      <c r="BG101" s="1">
        <v>188</v>
      </c>
      <c r="BH101" s="1">
        <v>309</v>
      </c>
      <c r="BM101" s="1" t="s">
        <v>991</v>
      </c>
      <c r="BQ101" s="1" t="s">
        <v>678</v>
      </c>
      <c r="BR101" s="1" t="s">
        <v>679</v>
      </c>
      <c r="BS101" s="1" t="s">
        <v>678</v>
      </c>
      <c r="BT101" s="1" t="s">
        <v>679</v>
      </c>
      <c r="BU101" s="1" t="s">
        <v>679</v>
      </c>
      <c r="CB101" s="1" t="s">
        <v>4</v>
      </c>
      <c r="CC101" s="1" t="s">
        <v>932</v>
      </c>
      <c r="CD101" s="1">
        <v>1</v>
      </c>
      <c r="CE101" s="1">
        <v>1</v>
      </c>
    </row>
    <row r="102" spans="1:83" ht="216" x14ac:dyDescent="0.3">
      <c r="A102" s="1">
        <v>1045</v>
      </c>
      <c r="B102" s="1" t="s">
        <v>661</v>
      </c>
      <c r="C102" s="1" t="s">
        <v>1009</v>
      </c>
      <c r="E102" s="1" t="s">
        <v>1010</v>
      </c>
      <c r="F102" s="1">
        <v>-1</v>
      </c>
      <c r="G102" s="1">
        <v>0</v>
      </c>
      <c r="H102" s="1" t="s">
        <v>662</v>
      </c>
      <c r="I102" s="1" t="s">
        <v>985</v>
      </c>
      <c r="J102" s="1" t="s">
        <v>986</v>
      </c>
      <c r="M102" s="1" t="s">
        <v>665</v>
      </c>
      <c r="O102" s="1">
        <v>1</v>
      </c>
      <c r="R102" s="1">
        <v>0</v>
      </c>
      <c r="S102" s="1">
        <v>0</v>
      </c>
      <c r="X102" s="1">
        <v>1</v>
      </c>
      <c r="AA102" s="1">
        <v>15.21</v>
      </c>
      <c r="AB102" s="1" t="s">
        <v>995</v>
      </c>
      <c r="AC102" s="1" t="s">
        <v>988</v>
      </c>
      <c r="AE102" s="1" t="s">
        <v>1011</v>
      </c>
      <c r="AN102" s="1">
        <v>0</v>
      </c>
      <c r="AP102" s="1" t="s">
        <v>669</v>
      </c>
      <c r="AQ102" s="1" t="s">
        <v>869</v>
      </c>
      <c r="AR102" s="1">
        <v>1</v>
      </c>
      <c r="AS102" s="1">
        <v>1</v>
      </c>
      <c r="AT102" s="1" t="s">
        <v>671</v>
      </c>
      <c r="AU102" s="1" t="s">
        <v>792</v>
      </c>
      <c r="AV102" s="1">
        <v>1</v>
      </c>
      <c r="AW102" s="1">
        <v>1</v>
      </c>
      <c r="AX102" s="1" t="s">
        <v>685</v>
      </c>
      <c r="AY102" s="1" t="s">
        <v>41</v>
      </c>
      <c r="AZ102" s="1">
        <v>1</v>
      </c>
      <c r="BA102" s="1">
        <v>1</v>
      </c>
      <c r="BB102" s="1" t="s">
        <v>990</v>
      </c>
      <c r="BC102" s="1">
        <v>0</v>
      </c>
      <c r="BF102" s="1">
        <v>363</v>
      </c>
      <c r="BG102" s="1">
        <v>230</v>
      </c>
      <c r="BH102" s="1">
        <v>351</v>
      </c>
      <c r="BM102" s="1" t="s">
        <v>991</v>
      </c>
      <c r="BQ102" s="1" t="s">
        <v>678</v>
      </c>
      <c r="BR102" s="1" t="s">
        <v>679</v>
      </c>
      <c r="BS102" s="1" t="s">
        <v>678</v>
      </c>
      <c r="BT102" s="1" t="s">
        <v>679</v>
      </c>
      <c r="BU102" s="1" t="s">
        <v>679</v>
      </c>
      <c r="CB102" s="1" t="s">
        <v>4</v>
      </c>
      <c r="CC102" s="1" t="s">
        <v>932</v>
      </c>
      <c r="CD102" s="1">
        <v>1</v>
      </c>
      <c r="CE102" s="1">
        <v>1</v>
      </c>
    </row>
    <row r="103" spans="1:83" ht="216" x14ac:dyDescent="0.3">
      <c r="A103" s="1">
        <v>1047</v>
      </c>
      <c r="B103" s="1" t="s">
        <v>661</v>
      </c>
      <c r="C103" s="1" t="s">
        <v>144</v>
      </c>
      <c r="E103" s="1" t="s">
        <v>1012</v>
      </c>
      <c r="F103" s="1">
        <v>1</v>
      </c>
      <c r="G103" s="1">
        <v>0</v>
      </c>
      <c r="H103" s="1" t="s">
        <v>662</v>
      </c>
      <c r="I103" s="1" t="s">
        <v>1013</v>
      </c>
      <c r="J103" s="1" t="s">
        <v>1014</v>
      </c>
      <c r="M103" s="1" t="s">
        <v>665</v>
      </c>
      <c r="O103" s="1">
        <v>1</v>
      </c>
      <c r="R103" s="1">
        <v>0</v>
      </c>
      <c r="S103" s="1">
        <v>0</v>
      </c>
      <c r="X103" s="1">
        <v>1</v>
      </c>
      <c r="AA103" s="1">
        <v>14.5</v>
      </c>
      <c r="AB103" s="1" t="s">
        <v>1015</v>
      </c>
      <c r="AC103" s="1" t="s">
        <v>1016</v>
      </c>
      <c r="AE103" s="1" t="s">
        <v>1017</v>
      </c>
      <c r="AN103" s="1">
        <v>0</v>
      </c>
      <c r="AP103" s="1" t="s">
        <v>669</v>
      </c>
      <c r="AQ103" s="1" t="s">
        <v>869</v>
      </c>
      <c r="AR103" s="1">
        <v>1</v>
      </c>
      <c r="AS103" s="1">
        <v>1</v>
      </c>
      <c r="AT103" s="1" t="s">
        <v>671</v>
      </c>
      <c r="AU103" s="1" t="s">
        <v>672</v>
      </c>
      <c r="AV103" s="1">
        <v>1</v>
      </c>
      <c r="AW103" s="1">
        <v>1</v>
      </c>
      <c r="AX103" s="1" t="s">
        <v>685</v>
      </c>
      <c r="AY103" s="1" t="s">
        <v>686</v>
      </c>
      <c r="AZ103" s="1">
        <v>1</v>
      </c>
      <c r="BA103" s="1">
        <v>1</v>
      </c>
      <c r="BB103" s="1" t="s">
        <v>1018</v>
      </c>
      <c r="BC103" s="1">
        <v>0</v>
      </c>
      <c r="BF103" s="1">
        <v>1352</v>
      </c>
      <c r="BG103" s="1">
        <v>1216</v>
      </c>
      <c r="BH103" s="1">
        <v>1340</v>
      </c>
      <c r="BM103" s="1" t="s">
        <v>1019</v>
      </c>
      <c r="BQ103" s="1" t="s">
        <v>678</v>
      </c>
      <c r="BR103" s="1" t="s">
        <v>679</v>
      </c>
      <c r="BS103" s="1" t="s">
        <v>678</v>
      </c>
      <c r="BT103" s="1" t="s">
        <v>679</v>
      </c>
      <c r="BU103" s="1" t="s">
        <v>679</v>
      </c>
      <c r="CB103" s="1" t="s">
        <v>4</v>
      </c>
      <c r="CC103" s="1" t="s">
        <v>932</v>
      </c>
      <c r="CD103" s="1">
        <v>1</v>
      </c>
      <c r="CE103" s="1">
        <v>1</v>
      </c>
    </row>
    <row r="104" spans="1:83" ht="216" x14ac:dyDescent="0.3">
      <c r="A104" s="1">
        <v>1048</v>
      </c>
      <c r="B104" s="1" t="s">
        <v>661</v>
      </c>
      <c r="C104" s="1" t="s">
        <v>147</v>
      </c>
      <c r="E104" s="1" t="s">
        <v>1012</v>
      </c>
      <c r="F104" s="1">
        <v>1</v>
      </c>
      <c r="G104" s="1">
        <v>0</v>
      </c>
      <c r="H104" s="1" t="s">
        <v>662</v>
      </c>
      <c r="I104" s="1" t="s">
        <v>1013</v>
      </c>
      <c r="J104" s="1" t="s">
        <v>1020</v>
      </c>
      <c r="M104" s="1" t="s">
        <v>665</v>
      </c>
      <c r="O104" s="1">
        <v>1</v>
      </c>
      <c r="R104" s="1">
        <v>0</v>
      </c>
      <c r="S104" s="1">
        <v>0</v>
      </c>
      <c r="X104" s="1">
        <v>1</v>
      </c>
      <c r="AA104" s="1">
        <v>14.5</v>
      </c>
      <c r="AB104" s="1" t="s">
        <v>1015</v>
      </c>
      <c r="AC104" s="1" t="s">
        <v>1016</v>
      </c>
      <c r="AE104" s="1" t="s">
        <v>1021</v>
      </c>
      <c r="AN104" s="1">
        <v>0</v>
      </c>
      <c r="AP104" s="1" t="s">
        <v>669</v>
      </c>
      <c r="AQ104" s="1" t="s">
        <v>869</v>
      </c>
      <c r="AR104" s="1">
        <v>1</v>
      </c>
      <c r="AS104" s="1">
        <v>1</v>
      </c>
      <c r="AT104" s="1" t="s">
        <v>671</v>
      </c>
      <c r="AU104" s="1" t="s">
        <v>672</v>
      </c>
      <c r="AV104" s="1">
        <v>1</v>
      </c>
      <c r="AW104" s="1">
        <v>1</v>
      </c>
      <c r="AX104" s="1" t="s">
        <v>685</v>
      </c>
      <c r="AY104" s="1" t="s">
        <v>686</v>
      </c>
      <c r="AZ104" s="1">
        <v>1</v>
      </c>
      <c r="BA104" s="1">
        <v>1</v>
      </c>
      <c r="BB104" s="1" t="s">
        <v>1022</v>
      </c>
      <c r="BC104" s="1">
        <v>0</v>
      </c>
      <c r="BF104" s="1">
        <v>1431</v>
      </c>
      <c r="BG104" s="1">
        <v>1283</v>
      </c>
      <c r="BH104" s="1">
        <v>1419</v>
      </c>
      <c r="BM104" s="1" t="s">
        <v>1019</v>
      </c>
      <c r="BQ104" s="1" t="s">
        <v>678</v>
      </c>
      <c r="BR104" s="1" t="s">
        <v>679</v>
      </c>
      <c r="BS104" s="1" t="s">
        <v>678</v>
      </c>
      <c r="BT104" s="1" t="s">
        <v>679</v>
      </c>
      <c r="BU104" s="1" t="s">
        <v>679</v>
      </c>
      <c r="CB104" s="1" t="s">
        <v>4</v>
      </c>
      <c r="CC104" s="1" t="s">
        <v>932</v>
      </c>
      <c r="CD104" s="1">
        <v>1</v>
      </c>
      <c r="CE104" s="1">
        <v>1</v>
      </c>
    </row>
    <row r="105" spans="1:83" ht="216" x14ac:dyDescent="0.3">
      <c r="A105" s="1">
        <v>1125</v>
      </c>
      <c r="B105" s="1" t="s">
        <v>661</v>
      </c>
      <c r="C105" s="1" t="s">
        <v>567</v>
      </c>
      <c r="E105" s="1" t="s">
        <v>394</v>
      </c>
      <c r="F105" s="1">
        <v>1</v>
      </c>
      <c r="G105" s="1">
        <v>0</v>
      </c>
      <c r="H105" s="1" t="s">
        <v>662</v>
      </c>
      <c r="I105" s="1" t="s">
        <v>1023</v>
      </c>
      <c r="J105" s="1" t="s">
        <v>664</v>
      </c>
      <c r="M105" s="1" t="s">
        <v>665</v>
      </c>
      <c r="O105" s="1">
        <v>1</v>
      </c>
      <c r="R105" s="1">
        <v>0</v>
      </c>
      <c r="S105" s="1">
        <v>0</v>
      </c>
      <c r="X105" s="1">
        <v>1</v>
      </c>
      <c r="AA105" s="1">
        <v>35.99</v>
      </c>
      <c r="AB105" s="1" t="s">
        <v>1024</v>
      </c>
      <c r="AC105" s="1" t="s">
        <v>1025</v>
      </c>
      <c r="AE105" s="1" t="s">
        <v>1026</v>
      </c>
      <c r="AN105" s="1">
        <v>0</v>
      </c>
      <c r="AP105" s="1" t="s">
        <v>669</v>
      </c>
      <c r="AQ105" s="1" t="s">
        <v>670</v>
      </c>
      <c r="AR105" s="1">
        <v>1</v>
      </c>
      <c r="AS105" s="1">
        <v>1</v>
      </c>
      <c r="AT105" s="1" t="s">
        <v>671</v>
      </c>
      <c r="AU105" s="1" t="s">
        <v>672</v>
      </c>
      <c r="AV105" s="1">
        <v>1</v>
      </c>
      <c r="AW105" s="1">
        <v>1</v>
      </c>
      <c r="AX105" s="1" t="s">
        <v>685</v>
      </c>
      <c r="AY105" s="1" t="s">
        <v>41</v>
      </c>
      <c r="AZ105" s="1">
        <v>1</v>
      </c>
      <c r="BA105" s="1">
        <v>1</v>
      </c>
      <c r="BB105" s="1" t="s">
        <v>1027</v>
      </c>
      <c r="BC105" s="1">
        <v>0</v>
      </c>
      <c r="BF105" s="1">
        <v>289</v>
      </c>
      <c r="BG105" s="1">
        <v>125</v>
      </c>
      <c r="BH105" s="1">
        <v>263</v>
      </c>
      <c r="BM105" s="1" t="s">
        <v>1028</v>
      </c>
      <c r="BQ105" s="1" t="s">
        <v>678</v>
      </c>
      <c r="BR105" s="1" t="s">
        <v>679</v>
      </c>
      <c r="BS105" s="1" t="s">
        <v>678</v>
      </c>
      <c r="BT105" s="1" t="s">
        <v>679</v>
      </c>
      <c r="BU105" s="1" t="s">
        <v>679</v>
      </c>
      <c r="CB105" s="1" t="s">
        <v>4</v>
      </c>
      <c r="CC105" s="1" t="s">
        <v>151</v>
      </c>
      <c r="CD105" s="1">
        <v>1</v>
      </c>
      <c r="CE105" s="1">
        <v>1</v>
      </c>
    </row>
    <row r="106" spans="1:83" ht="216" x14ac:dyDescent="0.3">
      <c r="A106" s="1">
        <v>1130</v>
      </c>
      <c r="B106" s="1" t="s">
        <v>661</v>
      </c>
      <c r="C106" s="1" t="s">
        <v>154</v>
      </c>
      <c r="E106" s="1" t="s">
        <v>395</v>
      </c>
      <c r="F106" s="1">
        <v>1</v>
      </c>
      <c r="G106" s="1">
        <v>0</v>
      </c>
      <c r="H106" s="1" t="s">
        <v>662</v>
      </c>
      <c r="I106" s="1" t="s">
        <v>1023</v>
      </c>
      <c r="J106" s="1" t="s">
        <v>664</v>
      </c>
      <c r="M106" s="1" t="s">
        <v>665</v>
      </c>
      <c r="O106" s="1">
        <v>1</v>
      </c>
      <c r="R106" s="1">
        <v>0</v>
      </c>
      <c r="S106" s="1">
        <v>0</v>
      </c>
      <c r="X106" s="1">
        <v>1</v>
      </c>
      <c r="AA106" s="1">
        <v>35.99</v>
      </c>
      <c r="AB106" s="1" t="s">
        <v>1024</v>
      </c>
      <c r="AC106" s="1" t="s">
        <v>1025</v>
      </c>
      <c r="AE106" s="1" t="s">
        <v>1029</v>
      </c>
      <c r="AN106" s="1">
        <v>0</v>
      </c>
      <c r="AP106" s="1" t="s">
        <v>669</v>
      </c>
      <c r="AQ106" s="1" t="s">
        <v>670</v>
      </c>
      <c r="AR106" s="1">
        <v>1</v>
      </c>
      <c r="AS106" s="1">
        <v>1</v>
      </c>
      <c r="AT106" s="1" t="s">
        <v>671</v>
      </c>
      <c r="AU106" s="1" t="s">
        <v>728</v>
      </c>
      <c r="AV106" s="1">
        <v>1</v>
      </c>
      <c r="AW106" s="1">
        <v>1</v>
      </c>
      <c r="AX106" s="1" t="s">
        <v>685</v>
      </c>
      <c r="AY106" s="1" t="s">
        <v>41</v>
      </c>
      <c r="AZ106" s="1">
        <v>1</v>
      </c>
      <c r="BA106" s="1">
        <v>1</v>
      </c>
      <c r="BB106" s="1" t="s">
        <v>1027</v>
      </c>
      <c r="BC106" s="1">
        <v>0</v>
      </c>
      <c r="BF106" s="1">
        <v>270</v>
      </c>
      <c r="BG106" s="1">
        <v>124</v>
      </c>
      <c r="BH106" s="1">
        <v>254</v>
      </c>
      <c r="BM106" s="1" t="s">
        <v>1028</v>
      </c>
      <c r="BQ106" s="1" t="s">
        <v>678</v>
      </c>
      <c r="BR106" s="1" t="s">
        <v>679</v>
      </c>
      <c r="BS106" s="1" t="s">
        <v>678</v>
      </c>
      <c r="BT106" s="1" t="s">
        <v>679</v>
      </c>
      <c r="BU106" s="1" t="s">
        <v>679</v>
      </c>
      <c r="CB106" s="1" t="s">
        <v>4</v>
      </c>
      <c r="CC106" s="1" t="s">
        <v>151</v>
      </c>
      <c r="CD106" s="1">
        <v>1</v>
      </c>
      <c r="CE106" s="1">
        <v>1</v>
      </c>
    </row>
    <row r="107" spans="1:83" ht="244.8" x14ac:dyDescent="0.3">
      <c r="A107" s="1">
        <v>1135</v>
      </c>
      <c r="B107" s="1" t="s">
        <v>661</v>
      </c>
      <c r="C107" s="1" t="s">
        <v>155</v>
      </c>
      <c r="E107" s="1" t="s">
        <v>1030</v>
      </c>
      <c r="F107" s="1">
        <v>1</v>
      </c>
      <c r="G107" s="1">
        <v>0</v>
      </c>
      <c r="H107" s="1" t="s">
        <v>662</v>
      </c>
      <c r="I107" s="1" t="s">
        <v>1031</v>
      </c>
      <c r="J107" s="1" t="s">
        <v>1032</v>
      </c>
      <c r="M107" s="1" t="s">
        <v>665</v>
      </c>
      <c r="O107" s="1">
        <v>1</v>
      </c>
      <c r="R107" s="1">
        <v>0</v>
      </c>
      <c r="S107" s="1">
        <v>0</v>
      </c>
      <c r="X107" s="1">
        <v>1</v>
      </c>
      <c r="AA107" s="1">
        <v>17.5</v>
      </c>
      <c r="AB107" s="1" t="s">
        <v>1033</v>
      </c>
      <c r="AC107" s="1" t="s">
        <v>1034</v>
      </c>
      <c r="AE107" s="1" t="s">
        <v>1035</v>
      </c>
      <c r="AN107" s="1">
        <v>0</v>
      </c>
      <c r="AP107" s="1" t="s">
        <v>669</v>
      </c>
      <c r="AQ107" s="1" t="s">
        <v>835</v>
      </c>
      <c r="AR107" s="1">
        <v>1</v>
      </c>
      <c r="AS107" s="1">
        <v>1</v>
      </c>
      <c r="AT107" s="1" t="s">
        <v>671</v>
      </c>
      <c r="AU107" s="1" t="s">
        <v>672</v>
      </c>
      <c r="AV107" s="1">
        <v>1</v>
      </c>
      <c r="AW107" s="1">
        <v>1</v>
      </c>
      <c r="AX107" s="1" t="s">
        <v>685</v>
      </c>
      <c r="AY107" s="1" t="s">
        <v>41</v>
      </c>
      <c r="AZ107" s="1">
        <v>1</v>
      </c>
      <c r="BA107" s="1">
        <v>1</v>
      </c>
      <c r="BB107" s="1" t="s">
        <v>1036</v>
      </c>
      <c r="BC107" s="1">
        <v>0</v>
      </c>
      <c r="BF107" s="1">
        <v>235</v>
      </c>
      <c r="BG107" s="1">
        <v>98</v>
      </c>
      <c r="BH107" s="1">
        <v>224</v>
      </c>
      <c r="BM107" s="1" t="s">
        <v>1037</v>
      </c>
      <c r="BQ107" s="1" t="s">
        <v>678</v>
      </c>
      <c r="BR107" s="1" t="s">
        <v>679</v>
      </c>
      <c r="BS107" s="1" t="s">
        <v>678</v>
      </c>
      <c r="BT107" s="1" t="s">
        <v>679</v>
      </c>
      <c r="BU107" s="1" t="s">
        <v>679</v>
      </c>
      <c r="CB107" s="1" t="s">
        <v>4</v>
      </c>
      <c r="CC107" s="1" t="s">
        <v>151</v>
      </c>
      <c r="CD107" s="1">
        <v>1</v>
      </c>
      <c r="CE107" s="1">
        <v>1</v>
      </c>
    </row>
    <row r="108" spans="1:83" ht="244.8" x14ac:dyDescent="0.3">
      <c r="A108" s="1">
        <v>1141</v>
      </c>
      <c r="B108" s="1" t="s">
        <v>661</v>
      </c>
      <c r="C108" s="1" t="s">
        <v>158</v>
      </c>
      <c r="E108" s="1" t="s">
        <v>1038</v>
      </c>
      <c r="F108" s="1">
        <v>1</v>
      </c>
      <c r="G108" s="1">
        <v>0</v>
      </c>
      <c r="H108" s="1" t="s">
        <v>662</v>
      </c>
      <c r="I108" s="1" t="s">
        <v>1031</v>
      </c>
      <c r="J108" s="1" t="s">
        <v>1032</v>
      </c>
      <c r="M108" s="1" t="s">
        <v>665</v>
      </c>
      <c r="O108" s="1">
        <v>1</v>
      </c>
      <c r="R108" s="1">
        <v>0</v>
      </c>
      <c r="S108" s="1">
        <v>0</v>
      </c>
      <c r="X108" s="1">
        <v>1</v>
      </c>
      <c r="AA108" s="1">
        <v>17.5</v>
      </c>
      <c r="AB108" s="1" t="s">
        <v>1033</v>
      </c>
      <c r="AC108" s="1" t="s">
        <v>1034</v>
      </c>
      <c r="AE108" s="1" t="s">
        <v>1039</v>
      </c>
      <c r="AN108" s="1">
        <v>0</v>
      </c>
      <c r="AP108" s="1" t="s">
        <v>669</v>
      </c>
      <c r="AQ108" s="1" t="s">
        <v>835</v>
      </c>
      <c r="AR108" s="1">
        <v>1</v>
      </c>
      <c r="AS108" s="1">
        <v>1</v>
      </c>
      <c r="AT108" s="1" t="s">
        <v>671</v>
      </c>
      <c r="AU108" s="1" t="s">
        <v>728</v>
      </c>
      <c r="AV108" s="1">
        <v>1</v>
      </c>
      <c r="AW108" s="1">
        <v>1</v>
      </c>
      <c r="AX108" s="1" t="s">
        <v>685</v>
      </c>
      <c r="AY108" s="1" t="s">
        <v>41</v>
      </c>
      <c r="AZ108" s="1">
        <v>1</v>
      </c>
      <c r="BA108" s="1">
        <v>1</v>
      </c>
      <c r="BB108" s="1" t="s">
        <v>1036</v>
      </c>
      <c r="BC108" s="1">
        <v>0</v>
      </c>
      <c r="BF108" s="1">
        <v>232</v>
      </c>
      <c r="BG108" s="1">
        <v>96</v>
      </c>
      <c r="BH108" s="1">
        <v>222</v>
      </c>
      <c r="BM108" s="1" t="s">
        <v>1037</v>
      </c>
      <c r="BQ108" s="1" t="s">
        <v>678</v>
      </c>
      <c r="BR108" s="1" t="s">
        <v>679</v>
      </c>
      <c r="BS108" s="1" t="s">
        <v>678</v>
      </c>
      <c r="BT108" s="1" t="s">
        <v>679</v>
      </c>
      <c r="BU108" s="1" t="s">
        <v>679</v>
      </c>
      <c r="CB108" s="1" t="s">
        <v>4</v>
      </c>
      <c r="CC108" s="1" t="s">
        <v>151</v>
      </c>
      <c r="CD108" s="1">
        <v>1</v>
      </c>
      <c r="CE108" s="1">
        <v>1</v>
      </c>
    </row>
    <row r="109" spans="1:83" ht="244.8" x14ac:dyDescent="0.3">
      <c r="A109" s="1">
        <v>1145</v>
      </c>
      <c r="B109" s="1" t="s">
        <v>661</v>
      </c>
      <c r="C109" s="1" t="s">
        <v>159</v>
      </c>
      <c r="E109" s="1" t="s">
        <v>1040</v>
      </c>
      <c r="F109" s="1">
        <v>1</v>
      </c>
      <c r="G109" s="1">
        <v>0</v>
      </c>
      <c r="H109" s="1" t="s">
        <v>662</v>
      </c>
      <c r="I109" s="1" t="s">
        <v>1031</v>
      </c>
      <c r="J109" s="1" t="s">
        <v>1032</v>
      </c>
      <c r="M109" s="1" t="s">
        <v>665</v>
      </c>
      <c r="O109" s="1">
        <v>1</v>
      </c>
      <c r="R109" s="1">
        <v>0</v>
      </c>
      <c r="S109" s="1">
        <v>0</v>
      </c>
      <c r="X109" s="1">
        <v>1</v>
      </c>
      <c r="AA109" s="1">
        <v>17.5</v>
      </c>
      <c r="AB109" s="1" t="s">
        <v>1033</v>
      </c>
      <c r="AC109" s="1" t="s">
        <v>1034</v>
      </c>
      <c r="AE109" s="1" t="s">
        <v>1041</v>
      </c>
      <c r="AN109" s="1">
        <v>0</v>
      </c>
      <c r="AP109" s="1" t="s">
        <v>669</v>
      </c>
      <c r="AQ109" s="1" t="s">
        <v>835</v>
      </c>
      <c r="AR109" s="1">
        <v>1</v>
      </c>
      <c r="AS109" s="1">
        <v>1</v>
      </c>
      <c r="AT109" s="1" t="s">
        <v>671</v>
      </c>
      <c r="AU109" s="1" t="s">
        <v>789</v>
      </c>
      <c r="AV109" s="1">
        <v>1</v>
      </c>
      <c r="AW109" s="1">
        <v>1</v>
      </c>
      <c r="AX109" s="1" t="s">
        <v>685</v>
      </c>
      <c r="AY109" s="1" t="s">
        <v>41</v>
      </c>
      <c r="AZ109" s="1">
        <v>1</v>
      </c>
      <c r="BA109" s="1">
        <v>1</v>
      </c>
      <c r="BB109" s="1" t="s">
        <v>1036</v>
      </c>
      <c r="BC109" s="1">
        <v>0</v>
      </c>
      <c r="BF109" s="1">
        <v>236</v>
      </c>
      <c r="BG109" s="1">
        <v>101</v>
      </c>
      <c r="BH109" s="1">
        <v>226</v>
      </c>
      <c r="BM109" s="1" t="s">
        <v>1037</v>
      </c>
      <c r="BQ109" s="1" t="s">
        <v>678</v>
      </c>
      <c r="BR109" s="1" t="s">
        <v>679</v>
      </c>
      <c r="BS109" s="1" t="s">
        <v>678</v>
      </c>
      <c r="BT109" s="1" t="s">
        <v>679</v>
      </c>
      <c r="BU109" s="1" t="s">
        <v>679</v>
      </c>
      <c r="CB109" s="1" t="s">
        <v>4</v>
      </c>
      <c r="CC109" s="1" t="s">
        <v>151</v>
      </c>
      <c r="CD109" s="1">
        <v>1</v>
      </c>
      <c r="CE109" s="1">
        <v>1</v>
      </c>
    </row>
    <row r="110" spans="1:83" ht="244.8" x14ac:dyDescent="0.3">
      <c r="A110" s="1">
        <v>1149</v>
      </c>
      <c r="B110" s="1" t="s">
        <v>661</v>
      </c>
      <c r="C110" s="1" t="s">
        <v>160</v>
      </c>
      <c r="E110" s="1" t="s">
        <v>1042</v>
      </c>
      <c r="F110" s="1">
        <v>1</v>
      </c>
      <c r="G110" s="1">
        <v>0</v>
      </c>
      <c r="H110" s="1" t="s">
        <v>662</v>
      </c>
      <c r="I110" s="1" t="s">
        <v>1031</v>
      </c>
      <c r="J110" s="1" t="s">
        <v>1032</v>
      </c>
      <c r="M110" s="1" t="s">
        <v>665</v>
      </c>
      <c r="O110" s="1">
        <v>1</v>
      </c>
      <c r="R110" s="1">
        <v>0</v>
      </c>
      <c r="S110" s="1">
        <v>0</v>
      </c>
      <c r="X110" s="1">
        <v>1</v>
      </c>
      <c r="AA110" s="1">
        <v>17.5</v>
      </c>
      <c r="AB110" s="1" t="s">
        <v>1033</v>
      </c>
      <c r="AC110" s="1" t="s">
        <v>1034</v>
      </c>
      <c r="AE110" s="1" t="s">
        <v>1043</v>
      </c>
      <c r="AN110" s="1">
        <v>0</v>
      </c>
      <c r="AP110" s="1" t="s">
        <v>669</v>
      </c>
      <c r="AQ110" s="1" t="s">
        <v>835</v>
      </c>
      <c r="AR110" s="1">
        <v>1</v>
      </c>
      <c r="AS110" s="1">
        <v>1</v>
      </c>
      <c r="AT110" s="1" t="s">
        <v>671</v>
      </c>
      <c r="AU110" s="1" t="s">
        <v>728</v>
      </c>
      <c r="AV110" s="1">
        <v>1</v>
      </c>
      <c r="AW110" s="1">
        <v>1</v>
      </c>
      <c r="AX110" s="1" t="s">
        <v>685</v>
      </c>
      <c r="AY110" s="1" t="s">
        <v>41</v>
      </c>
      <c r="AZ110" s="1">
        <v>1</v>
      </c>
      <c r="BA110" s="1">
        <v>1</v>
      </c>
      <c r="BB110" s="1" t="s">
        <v>1036</v>
      </c>
      <c r="BC110" s="1">
        <v>0</v>
      </c>
      <c r="BF110" s="1">
        <v>239</v>
      </c>
      <c r="BG110" s="1">
        <v>103</v>
      </c>
      <c r="BH110" s="1">
        <v>229</v>
      </c>
      <c r="BM110" s="1" t="s">
        <v>1037</v>
      </c>
      <c r="BQ110" s="1" t="s">
        <v>678</v>
      </c>
      <c r="BR110" s="1" t="s">
        <v>679</v>
      </c>
      <c r="BS110" s="1" t="s">
        <v>678</v>
      </c>
      <c r="BT110" s="1" t="s">
        <v>679</v>
      </c>
      <c r="BU110" s="1" t="s">
        <v>679</v>
      </c>
      <c r="CB110" s="1" t="s">
        <v>4</v>
      </c>
      <c r="CC110" s="1" t="s">
        <v>151</v>
      </c>
      <c r="CD110" s="1">
        <v>1</v>
      </c>
      <c r="CE110" s="1">
        <v>1</v>
      </c>
    </row>
    <row r="111" spans="1:83" ht="244.8" x14ac:dyDescent="0.3">
      <c r="A111" s="1">
        <v>1157</v>
      </c>
      <c r="B111" s="1" t="s">
        <v>661</v>
      </c>
      <c r="C111" s="1" t="s">
        <v>161</v>
      </c>
      <c r="E111" s="1" t="s">
        <v>1044</v>
      </c>
      <c r="F111" s="1">
        <v>1</v>
      </c>
      <c r="G111" s="1">
        <v>0</v>
      </c>
      <c r="H111" s="1" t="s">
        <v>662</v>
      </c>
      <c r="I111" s="1" t="s">
        <v>1031</v>
      </c>
      <c r="J111" s="1" t="s">
        <v>1032</v>
      </c>
      <c r="M111" s="1" t="s">
        <v>665</v>
      </c>
      <c r="O111" s="1">
        <v>1</v>
      </c>
      <c r="R111" s="1">
        <v>0</v>
      </c>
      <c r="S111" s="1">
        <v>0</v>
      </c>
      <c r="X111" s="1">
        <v>1</v>
      </c>
      <c r="AA111" s="1">
        <v>17.5</v>
      </c>
      <c r="AB111" s="1" t="s">
        <v>1033</v>
      </c>
      <c r="AC111" s="1" t="s">
        <v>1034</v>
      </c>
      <c r="AE111" s="1" t="s">
        <v>1045</v>
      </c>
      <c r="AN111" s="1">
        <v>0</v>
      </c>
      <c r="AP111" s="1" t="s">
        <v>669</v>
      </c>
      <c r="AQ111" s="1" t="s">
        <v>835</v>
      </c>
      <c r="AR111" s="1">
        <v>1</v>
      </c>
      <c r="AS111" s="1">
        <v>1</v>
      </c>
      <c r="AT111" s="1" t="s">
        <v>671</v>
      </c>
      <c r="AU111" s="1" t="s">
        <v>891</v>
      </c>
      <c r="AV111" s="1">
        <v>1</v>
      </c>
      <c r="AW111" s="1">
        <v>1</v>
      </c>
      <c r="AX111" s="1" t="s">
        <v>685</v>
      </c>
      <c r="AY111" s="1" t="s">
        <v>41</v>
      </c>
      <c r="AZ111" s="1">
        <v>1</v>
      </c>
      <c r="BA111" s="1">
        <v>1</v>
      </c>
      <c r="BB111" s="1" t="s">
        <v>1036</v>
      </c>
      <c r="BC111" s="1">
        <v>0</v>
      </c>
      <c r="BF111" s="1">
        <v>241</v>
      </c>
      <c r="BG111" s="1">
        <v>105</v>
      </c>
      <c r="BH111" s="1">
        <v>229</v>
      </c>
      <c r="BM111" s="1" t="s">
        <v>1037</v>
      </c>
      <c r="BQ111" s="1" t="s">
        <v>678</v>
      </c>
      <c r="BR111" s="1" t="s">
        <v>679</v>
      </c>
      <c r="BS111" s="1" t="s">
        <v>678</v>
      </c>
      <c r="BT111" s="1" t="s">
        <v>679</v>
      </c>
      <c r="BU111" s="1" t="s">
        <v>679</v>
      </c>
      <c r="CB111" s="1" t="s">
        <v>4</v>
      </c>
      <c r="CC111" s="1" t="s">
        <v>151</v>
      </c>
      <c r="CD111" s="1">
        <v>1</v>
      </c>
      <c r="CE111" s="1">
        <v>1</v>
      </c>
    </row>
    <row r="112" spans="1:83" ht="244.8" x14ac:dyDescent="0.3">
      <c r="A112" s="1">
        <v>1161</v>
      </c>
      <c r="B112" s="1" t="s">
        <v>661</v>
      </c>
      <c r="C112" s="1" t="s">
        <v>162</v>
      </c>
      <c r="E112" s="1" t="s">
        <v>1046</v>
      </c>
      <c r="F112" s="1">
        <v>1</v>
      </c>
      <c r="G112" s="1">
        <v>0</v>
      </c>
      <c r="H112" s="1" t="s">
        <v>662</v>
      </c>
      <c r="I112" s="1" t="s">
        <v>1031</v>
      </c>
      <c r="J112" s="1" t="s">
        <v>1032</v>
      </c>
      <c r="M112" s="1" t="s">
        <v>665</v>
      </c>
      <c r="O112" s="1">
        <v>1</v>
      </c>
      <c r="R112" s="1">
        <v>0</v>
      </c>
      <c r="S112" s="1">
        <v>0</v>
      </c>
      <c r="X112" s="1">
        <v>1</v>
      </c>
      <c r="AA112" s="1">
        <v>17.5</v>
      </c>
      <c r="AB112" s="1" t="s">
        <v>1033</v>
      </c>
      <c r="AC112" s="1" t="s">
        <v>1034</v>
      </c>
      <c r="AE112" s="1" t="s">
        <v>1047</v>
      </c>
      <c r="AN112" s="1">
        <v>0</v>
      </c>
      <c r="AP112" s="1" t="s">
        <v>669</v>
      </c>
      <c r="AQ112" s="1" t="s">
        <v>835</v>
      </c>
      <c r="AR112" s="1">
        <v>1</v>
      </c>
      <c r="AS112" s="1">
        <v>1</v>
      </c>
      <c r="AT112" s="1" t="s">
        <v>671</v>
      </c>
      <c r="AU112" s="1" t="s">
        <v>696</v>
      </c>
      <c r="AV112" s="1">
        <v>1</v>
      </c>
      <c r="AW112" s="1">
        <v>1</v>
      </c>
      <c r="AX112" s="1" t="s">
        <v>685</v>
      </c>
      <c r="AY112" s="1" t="s">
        <v>41</v>
      </c>
      <c r="AZ112" s="1">
        <v>1</v>
      </c>
      <c r="BA112" s="1">
        <v>1</v>
      </c>
      <c r="BB112" s="1" t="s">
        <v>1036</v>
      </c>
      <c r="BC112" s="1">
        <v>0</v>
      </c>
      <c r="BF112" s="1">
        <v>227</v>
      </c>
      <c r="BG112" s="1">
        <v>93</v>
      </c>
      <c r="BH112" s="1">
        <v>218</v>
      </c>
      <c r="BM112" s="1" t="s">
        <v>1037</v>
      </c>
      <c r="BQ112" s="1" t="s">
        <v>678</v>
      </c>
      <c r="BR112" s="1" t="s">
        <v>679</v>
      </c>
      <c r="BS112" s="1" t="s">
        <v>678</v>
      </c>
      <c r="BT112" s="1" t="s">
        <v>679</v>
      </c>
      <c r="BU112" s="1" t="s">
        <v>679</v>
      </c>
      <c r="CB112" s="1" t="s">
        <v>4</v>
      </c>
      <c r="CC112" s="1" t="s">
        <v>151</v>
      </c>
      <c r="CD112" s="1">
        <v>1</v>
      </c>
      <c r="CE112" s="1">
        <v>1</v>
      </c>
    </row>
    <row r="113" spans="1:83" ht="244.8" x14ac:dyDescent="0.3">
      <c r="A113" s="1">
        <v>1165</v>
      </c>
      <c r="B113" s="1" t="s">
        <v>661</v>
      </c>
      <c r="C113" s="1" t="s">
        <v>163</v>
      </c>
      <c r="E113" s="1" t="s">
        <v>1048</v>
      </c>
      <c r="F113" s="1">
        <v>1</v>
      </c>
      <c r="G113" s="1">
        <v>0</v>
      </c>
      <c r="H113" s="1" t="s">
        <v>662</v>
      </c>
      <c r="I113" s="1" t="s">
        <v>1031</v>
      </c>
      <c r="J113" s="1" t="s">
        <v>1049</v>
      </c>
      <c r="M113" s="1" t="s">
        <v>665</v>
      </c>
      <c r="O113" s="1">
        <v>1</v>
      </c>
      <c r="R113" s="1">
        <v>0</v>
      </c>
      <c r="S113" s="1">
        <v>0</v>
      </c>
      <c r="X113" s="1">
        <v>1</v>
      </c>
      <c r="AA113" s="1">
        <v>17.5</v>
      </c>
      <c r="AB113" s="1" t="s">
        <v>1033</v>
      </c>
      <c r="AC113" s="1" t="s">
        <v>1034</v>
      </c>
      <c r="AE113" s="1" t="s">
        <v>1050</v>
      </c>
      <c r="AN113" s="1">
        <v>0</v>
      </c>
      <c r="AP113" s="1" t="s">
        <v>669</v>
      </c>
      <c r="AQ113" s="1" t="s">
        <v>835</v>
      </c>
      <c r="AR113" s="1">
        <v>1</v>
      </c>
      <c r="AS113" s="1">
        <v>1</v>
      </c>
      <c r="AT113" s="1" t="s">
        <v>671</v>
      </c>
      <c r="AU113" s="1" t="s">
        <v>1051</v>
      </c>
      <c r="AV113" s="1">
        <v>1</v>
      </c>
      <c r="AW113" s="1">
        <v>1</v>
      </c>
      <c r="AX113" s="1" t="s">
        <v>685</v>
      </c>
      <c r="AY113" s="1" t="s">
        <v>41</v>
      </c>
      <c r="AZ113" s="1">
        <v>1</v>
      </c>
      <c r="BA113" s="1">
        <v>1</v>
      </c>
      <c r="BB113" s="1" t="s">
        <v>1036</v>
      </c>
      <c r="BC113" s="1">
        <v>0</v>
      </c>
      <c r="BF113" s="1">
        <v>238</v>
      </c>
      <c r="BG113" s="1">
        <v>102</v>
      </c>
      <c r="BH113" s="1">
        <v>228</v>
      </c>
      <c r="BM113" s="1" t="s">
        <v>1037</v>
      </c>
      <c r="BQ113" s="1" t="s">
        <v>678</v>
      </c>
      <c r="BR113" s="1" t="s">
        <v>679</v>
      </c>
      <c r="BS113" s="1" t="s">
        <v>678</v>
      </c>
      <c r="BT113" s="1" t="s">
        <v>679</v>
      </c>
      <c r="BU113" s="1" t="s">
        <v>679</v>
      </c>
      <c r="CB113" s="1" t="s">
        <v>4</v>
      </c>
      <c r="CC113" s="1" t="s">
        <v>151</v>
      </c>
      <c r="CD113" s="1">
        <v>1</v>
      </c>
      <c r="CE113" s="1">
        <v>1</v>
      </c>
    </row>
    <row r="114" spans="1:83" ht="244.8" x14ac:dyDescent="0.3">
      <c r="A114" s="1">
        <v>1169</v>
      </c>
      <c r="B114" s="1" t="s">
        <v>661</v>
      </c>
      <c r="C114" s="1" t="s">
        <v>164</v>
      </c>
      <c r="E114" s="1" t="s">
        <v>1052</v>
      </c>
      <c r="F114" s="1">
        <v>1</v>
      </c>
      <c r="G114" s="1">
        <v>0</v>
      </c>
      <c r="H114" s="1" t="s">
        <v>662</v>
      </c>
      <c r="I114" s="1" t="s">
        <v>1031</v>
      </c>
      <c r="J114" s="1" t="s">
        <v>1049</v>
      </c>
      <c r="M114" s="1" t="s">
        <v>665</v>
      </c>
      <c r="O114" s="1">
        <v>1</v>
      </c>
      <c r="R114" s="1">
        <v>0</v>
      </c>
      <c r="S114" s="1">
        <v>0</v>
      </c>
      <c r="X114" s="1">
        <v>1</v>
      </c>
      <c r="AA114" s="1">
        <v>17.5</v>
      </c>
      <c r="AB114" s="1" t="s">
        <v>1033</v>
      </c>
      <c r="AC114" s="1" t="s">
        <v>1034</v>
      </c>
      <c r="AE114" s="1" t="s">
        <v>1053</v>
      </c>
      <c r="AN114" s="1">
        <v>0</v>
      </c>
      <c r="AP114" s="1" t="s">
        <v>669</v>
      </c>
      <c r="AQ114" s="1" t="s">
        <v>835</v>
      </c>
      <c r="AR114" s="1">
        <v>1</v>
      </c>
      <c r="AS114" s="1">
        <v>1</v>
      </c>
      <c r="AT114" s="1" t="s">
        <v>671</v>
      </c>
      <c r="AU114" s="1" t="s">
        <v>792</v>
      </c>
      <c r="AV114" s="1">
        <v>1</v>
      </c>
      <c r="AW114" s="1">
        <v>1</v>
      </c>
      <c r="AX114" s="1" t="s">
        <v>685</v>
      </c>
      <c r="AY114" s="1" t="s">
        <v>41</v>
      </c>
      <c r="AZ114" s="1">
        <v>1</v>
      </c>
      <c r="BA114" s="1">
        <v>1</v>
      </c>
      <c r="BB114" s="1" t="s">
        <v>1036</v>
      </c>
      <c r="BC114" s="1">
        <v>0</v>
      </c>
      <c r="BF114" s="1">
        <v>230</v>
      </c>
      <c r="BG114" s="1">
        <v>96</v>
      </c>
      <c r="BH114" s="1">
        <v>221</v>
      </c>
      <c r="BM114" s="1" t="s">
        <v>1037</v>
      </c>
      <c r="BQ114" s="1" t="s">
        <v>678</v>
      </c>
      <c r="BR114" s="1" t="s">
        <v>679</v>
      </c>
      <c r="BS114" s="1" t="s">
        <v>678</v>
      </c>
      <c r="BT114" s="1" t="s">
        <v>679</v>
      </c>
      <c r="BU114" s="1" t="s">
        <v>679</v>
      </c>
      <c r="CB114" s="1" t="s">
        <v>4</v>
      </c>
      <c r="CC114" s="1" t="s">
        <v>151</v>
      </c>
      <c r="CD114" s="1">
        <v>1</v>
      </c>
      <c r="CE114" s="1">
        <v>1</v>
      </c>
    </row>
    <row r="115" spans="1:83" ht="244.8" x14ac:dyDescent="0.3">
      <c r="A115" s="1">
        <v>1170</v>
      </c>
      <c r="B115" s="1" t="s">
        <v>661</v>
      </c>
      <c r="C115" s="1" t="s">
        <v>1054</v>
      </c>
      <c r="E115" s="1" t="s">
        <v>1055</v>
      </c>
      <c r="F115" s="1">
        <v>-1</v>
      </c>
      <c r="G115" s="1">
        <v>0</v>
      </c>
      <c r="H115" s="1" t="s">
        <v>662</v>
      </c>
      <c r="I115" s="1" t="s">
        <v>1056</v>
      </c>
      <c r="J115" s="1" t="s">
        <v>1032</v>
      </c>
      <c r="M115" s="1" t="s">
        <v>665</v>
      </c>
      <c r="O115" s="1">
        <v>1</v>
      </c>
      <c r="R115" s="1">
        <v>0</v>
      </c>
      <c r="S115" s="1">
        <v>0</v>
      </c>
      <c r="X115" s="1">
        <v>1</v>
      </c>
      <c r="AA115" s="1">
        <v>16.63</v>
      </c>
      <c r="AB115" s="1" t="s">
        <v>1033</v>
      </c>
      <c r="AC115" s="1" t="s">
        <v>1057</v>
      </c>
      <c r="AE115" s="1" t="s">
        <v>1058</v>
      </c>
      <c r="AN115" s="1">
        <v>0</v>
      </c>
      <c r="AP115" s="1" t="s">
        <v>669</v>
      </c>
      <c r="AQ115" s="1" t="s">
        <v>835</v>
      </c>
      <c r="AR115" s="1">
        <v>1</v>
      </c>
      <c r="AS115" s="1">
        <v>1</v>
      </c>
      <c r="AT115" s="1" t="s">
        <v>671</v>
      </c>
      <c r="AU115" s="1" t="s">
        <v>672</v>
      </c>
      <c r="AV115" s="1">
        <v>1</v>
      </c>
      <c r="AW115" s="1">
        <v>1</v>
      </c>
      <c r="AX115" s="1" t="s">
        <v>685</v>
      </c>
      <c r="AY115" s="1" t="s">
        <v>41</v>
      </c>
      <c r="AZ115" s="1">
        <v>1</v>
      </c>
      <c r="BA115" s="1">
        <v>1</v>
      </c>
      <c r="BB115" s="1" t="s">
        <v>1036</v>
      </c>
      <c r="BC115" s="1">
        <v>0</v>
      </c>
      <c r="BF115" s="1">
        <v>227</v>
      </c>
      <c r="BG115" s="1">
        <v>92</v>
      </c>
      <c r="BH115" s="1">
        <v>217</v>
      </c>
      <c r="BM115" s="1" t="s">
        <v>1059</v>
      </c>
      <c r="BQ115" s="1" t="s">
        <v>678</v>
      </c>
      <c r="BR115" s="1" t="s">
        <v>679</v>
      </c>
      <c r="BS115" s="1" t="s">
        <v>678</v>
      </c>
      <c r="BT115" s="1" t="s">
        <v>679</v>
      </c>
      <c r="BU115" s="1" t="s">
        <v>679</v>
      </c>
      <c r="CB115" s="1" t="s">
        <v>4</v>
      </c>
      <c r="CC115" s="1" t="s">
        <v>151</v>
      </c>
      <c r="CD115" s="1">
        <v>1</v>
      </c>
      <c r="CE115" s="1">
        <v>1</v>
      </c>
    </row>
    <row r="116" spans="1:83" ht="244.8" x14ac:dyDescent="0.3">
      <c r="A116" s="1">
        <v>1174</v>
      </c>
      <c r="B116" s="1" t="s">
        <v>661</v>
      </c>
      <c r="C116" s="1" t="s">
        <v>1060</v>
      </c>
      <c r="E116" s="1" t="s">
        <v>1061</v>
      </c>
      <c r="F116" s="1">
        <v>-1</v>
      </c>
      <c r="G116" s="1">
        <v>0</v>
      </c>
      <c r="H116" s="1" t="s">
        <v>662</v>
      </c>
      <c r="I116" s="1" t="s">
        <v>1056</v>
      </c>
      <c r="J116" s="1" t="s">
        <v>1032</v>
      </c>
      <c r="M116" s="1" t="s">
        <v>665</v>
      </c>
      <c r="O116" s="1">
        <v>1</v>
      </c>
      <c r="R116" s="1">
        <v>0</v>
      </c>
      <c r="S116" s="1">
        <v>0</v>
      </c>
      <c r="X116" s="1">
        <v>1</v>
      </c>
      <c r="AA116" s="1">
        <v>16.63</v>
      </c>
      <c r="AB116" s="1" t="s">
        <v>1033</v>
      </c>
      <c r="AC116" s="1" t="s">
        <v>1057</v>
      </c>
      <c r="AE116" s="1" t="s">
        <v>1062</v>
      </c>
      <c r="AN116" s="1">
        <v>0</v>
      </c>
      <c r="AP116" s="1" t="s">
        <v>669</v>
      </c>
      <c r="AQ116" s="1" t="s">
        <v>835</v>
      </c>
      <c r="AR116" s="1">
        <v>1</v>
      </c>
      <c r="AS116" s="1">
        <v>1</v>
      </c>
      <c r="AT116" s="1" t="s">
        <v>671</v>
      </c>
      <c r="AU116" s="1" t="s">
        <v>728</v>
      </c>
      <c r="AV116" s="1">
        <v>1</v>
      </c>
      <c r="AW116" s="1">
        <v>1</v>
      </c>
      <c r="AX116" s="1" t="s">
        <v>685</v>
      </c>
      <c r="AY116" s="1" t="s">
        <v>41</v>
      </c>
      <c r="AZ116" s="1">
        <v>1</v>
      </c>
      <c r="BA116" s="1">
        <v>1</v>
      </c>
      <c r="BB116" s="1" t="s">
        <v>1036</v>
      </c>
      <c r="BC116" s="1">
        <v>0</v>
      </c>
      <c r="BF116" s="1">
        <v>224</v>
      </c>
      <c r="BG116" s="1">
        <v>90</v>
      </c>
      <c r="BH116" s="1">
        <v>215</v>
      </c>
      <c r="BM116" s="1" t="s">
        <v>1059</v>
      </c>
      <c r="BQ116" s="1" t="s">
        <v>678</v>
      </c>
      <c r="BR116" s="1" t="s">
        <v>679</v>
      </c>
      <c r="BS116" s="1" t="s">
        <v>678</v>
      </c>
      <c r="BT116" s="1" t="s">
        <v>679</v>
      </c>
      <c r="BU116" s="1" t="s">
        <v>679</v>
      </c>
      <c r="CB116" s="1" t="s">
        <v>4</v>
      </c>
      <c r="CC116" s="1" t="s">
        <v>151</v>
      </c>
      <c r="CD116" s="1">
        <v>1</v>
      </c>
      <c r="CE116" s="1">
        <v>1</v>
      </c>
    </row>
    <row r="117" spans="1:83" ht="244.8" x14ac:dyDescent="0.3">
      <c r="A117" s="1">
        <v>1176</v>
      </c>
      <c r="B117" s="1" t="s">
        <v>661</v>
      </c>
      <c r="C117" s="1" t="s">
        <v>1063</v>
      </c>
      <c r="E117" s="1" t="s">
        <v>1064</v>
      </c>
      <c r="F117" s="1">
        <v>-1</v>
      </c>
      <c r="G117" s="1">
        <v>0</v>
      </c>
      <c r="H117" s="1" t="s">
        <v>662</v>
      </c>
      <c r="I117" s="1" t="s">
        <v>1056</v>
      </c>
      <c r="J117" s="1" t="s">
        <v>1032</v>
      </c>
      <c r="M117" s="1" t="s">
        <v>665</v>
      </c>
      <c r="O117" s="1">
        <v>1</v>
      </c>
      <c r="R117" s="1">
        <v>0</v>
      </c>
      <c r="S117" s="1">
        <v>0</v>
      </c>
      <c r="X117" s="1">
        <v>1</v>
      </c>
      <c r="AA117" s="1">
        <v>16.63</v>
      </c>
      <c r="AB117" s="1" t="s">
        <v>1033</v>
      </c>
      <c r="AC117" s="1" t="s">
        <v>1057</v>
      </c>
      <c r="AE117" s="1" t="s">
        <v>1065</v>
      </c>
      <c r="AN117" s="1">
        <v>0</v>
      </c>
      <c r="AP117" s="1" t="s">
        <v>669</v>
      </c>
      <c r="AQ117" s="1" t="s">
        <v>835</v>
      </c>
      <c r="AR117" s="1">
        <v>1</v>
      </c>
      <c r="AS117" s="1">
        <v>1</v>
      </c>
      <c r="AT117" s="1" t="s">
        <v>671</v>
      </c>
      <c r="AU117" s="1" t="s">
        <v>789</v>
      </c>
      <c r="AV117" s="1">
        <v>1</v>
      </c>
      <c r="AW117" s="1">
        <v>1</v>
      </c>
      <c r="AX117" s="1" t="s">
        <v>685</v>
      </c>
      <c r="AY117" s="1" t="s">
        <v>41</v>
      </c>
      <c r="AZ117" s="1">
        <v>1</v>
      </c>
      <c r="BA117" s="1">
        <v>1</v>
      </c>
      <c r="BB117" s="1" t="s">
        <v>1036</v>
      </c>
      <c r="BC117" s="1">
        <v>0</v>
      </c>
      <c r="BF117" s="1">
        <v>225</v>
      </c>
      <c r="BG117" s="1">
        <v>92</v>
      </c>
      <c r="BH117" s="1">
        <v>215</v>
      </c>
      <c r="BM117" s="1" t="s">
        <v>1059</v>
      </c>
      <c r="BQ117" s="1" t="s">
        <v>678</v>
      </c>
      <c r="BR117" s="1" t="s">
        <v>679</v>
      </c>
      <c r="BS117" s="1" t="s">
        <v>678</v>
      </c>
      <c r="BT117" s="1" t="s">
        <v>679</v>
      </c>
      <c r="BU117" s="1" t="s">
        <v>679</v>
      </c>
      <c r="CB117" s="1" t="s">
        <v>4</v>
      </c>
      <c r="CC117" s="1" t="s">
        <v>151</v>
      </c>
      <c r="CD117" s="1">
        <v>1</v>
      </c>
      <c r="CE117" s="1">
        <v>1</v>
      </c>
    </row>
    <row r="118" spans="1:83" ht="244.8" x14ac:dyDescent="0.3">
      <c r="A118" s="1">
        <v>1177</v>
      </c>
      <c r="B118" s="1" t="s">
        <v>661</v>
      </c>
      <c r="C118" s="1" t="s">
        <v>1066</v>
      </c>
      <c r="E118" s="1" t="s">
        <v>1067</v>
      </c>
      <c r="F118" s="1">
        <v>-1</v>
      </c>
      <c r="G118" s="1">
        <v>0</v>
      </c>
      <c r="H118" s="1" t="s">
        <v>662</v>
      </c>
      <c r="I118" s="1" t="s">
        <v>1056</v>
      </c>
      <c r="J118" s="1" t="s">
        <v>1049</v>
      </c>
      <c r="M118" s="1" t="s">
        <v>665</v>
      </c>
      <c r="O118" s="1">
        <v>1</v>
      </c>
      <c r="R118" s="1">
        <v>0</v>
      </c>
      <c r="S118" s="1">
        <v>0</v>
      </c>
      <c r="X118" s="1">
        <v>1</v>
      </c>
      <c r="AA118" s="1">
        <v>16.63</v>
      </c>
      <c r="AB118" s="1" t="s">
        <v>1033</v>
      </c>
      <c r="AC118" s="1" t="s">
        <v>1057</v>
      </c>
      <c r="AE118" s="1" t="s">
        <v>1068</v>
      </c>
      <c r="AN118" s="1">
        <v>0</v>
      </c>
      <c r="AP118" s="1" t="s">
        <v>669</v>
      </c>
      <c r="AQ118" s="1" t="s">
        <v>835</v>
      </c>
      <c r="AR118" s="1">
        <v>1</v>
      </c>
      <c r="AS118" s="1">
        <v>1</v>
      </c>
      <c r="AT118" s="1" t="s">
        <v>671</v>
      </c>
      <c r="AU118" s="1" t="s">
        <v>792</v>
      </c>
      <c r="AV118" s="1">
        <v>1</v>
      </c>
      <c r="AW118" s="1">
        <v>1</v>
      </c>
      <c r="AX118" s="1" t="s">
        <v>685</v>
      </c>
      <c r="AY118" s="1" t="s">
        <v>41</v>
      </c>
      <c r="AZ118" s="1">
        <v>1</v>
      </c>
      <c r="BA118" s="1">
        <v>1</v>
      </c>
      <c r="BB118" s="1" t="s">
        <v>1036</v>
      </c>
      <c r="BC118" s="1">
        <v>0</v>
      </c>
      <c r="BF118" s="1">
        <v>232</v>
      </c>
      <c r="BG118" s="1">
        <v>96</v>
      </c>
      <c r="BH118" s="1">
        <v>219</v>
      </c>
      <c r="BM118" s="1" t="s">
        <v>1059</v>
      </c>
      <c r="BQ118" s="1" t="s">
        <v>678</v>
      </c>
      <c r="BR118" s="1" t="s">
        <v>679</v>
      </c>
      <c r="BS118" s="1" t="s">
        <v>678</v>
      </c>
      <c r="BT118" s="1" t="s">
        <v>679</v>
      </c>
      <c r="BU118" s="1" t="s">
        <v>679</v>
      </c>
      <c r="CB118" s="1" t="s">
        <v>4</v>
      </c>
      <c r="CC118" s="1" t="s">
        <v>151</v>
      </c>
      <c r="CD118" s="1">
        <v>1</v>
      </c>
      <c r="CE118" s="1">
        <v>1</v>
      </c>
    </row>
    <row r="119" spans="1:83" ht="244.8" x14ac:dyDescent="0.3">
      <c r="A119" s="1">
        <v>1178</v>
      </c>
      <c r="B119" s="1" t="s">
        <v>661</v>
      </c>
      <c r="C119" s="1" t="s">
        <v>1069</v>
      </c>
      <c r="E119" s="1" t="s">
        <v>1070</v>
      </c>
      <c r="F119" s="1">
        <v>-1</v>
      </c>
      <c r="G119" s="1">
        <v>0</v>
      </c>
      <c r="H119" s="1" t="s">
        <v>662</v>
      </c>
      <c r="I119" s="1" t="s">
        <v>1056</v>
      </c>
      <c r="J119" s="1" t="s">
        <v>1049</v>
      </c>
      <c r="M119" s="1" t="s">
        <v>665</v>
      </c>
      <c r="O119" s="1">
        <v>1</v>
      </c>
      <c r="R119" s="1">
        <v>0</v>
      </c>
      <c r="S119" s="1">
        <v>0</v>
      </c>
      <c r="X119" s="1">
        <v>1</v>
      </c>
      <c r="AA119" s="1">
        <v>16.63</v>
      </c>
      <c r="AB119" s="1" t="s">
        <v>1033</v>
      </c>
      <c r="AC119" s="1" t="s">
        <v>1057</v>
      </c>
      <c r="AE119" s="1" t="s">
        <v>1071</v>
      </c>
      <c r="AN119" s="1">
        <v>0</v>
      </c>
      <c r="AP119" s="1" t="s">
        <v>669</v>
      </c>
      <c r="AQ119" s="1" t="s">
        <v>835</v>
      </c>
      <c r="AR119" s="1">
        <v>1</v>
      </c>
      <c r="AS119" s="1">
        <v>1</v>
      </c>
      <c r="AT119" s="1" t="s">
        <v>671</v>
      </c>
      <c r="AU119" s="1" t="s">
        <v>728</v>
      </c>
      <c r="AV119" s="1">
        <v>1</v>
      </c>
      <c r="AW119" s="1">
        <v>1</v>
      </c>
      <c r="AX119" s="1" t="s">
        <v>685</v>
      </c>
      <c r="AY119" s="1" t="s">
        <v>41</v>
      </c>
      <c r="AZ119" s="1">
        <v>1</v>
      </c>
      <c r="BA119" s="1">
        <v>1</v>
      </c>
      <c r="BB119" s="1" t="s">
        <v>1036</v>
      </c>
      <c r="BC119" s="1">
        <v>0</v>
      </c>
      <c r="BF119" s="1">
        <v>232</v>
      </c>
      <c r="BG119" s="1">
        <v>99</v>
      </c>
      <c r="BH119" s="1">
        <v>223</v>
      </c>
      <c r="BM119" s="1" t="s">
        <v>1059</v>
      </c>
      <c r="BQ119" s="1" t="s">
        <v>678</v>
      </c>
      <c r="BR119" s="1" t="s">
        <v>679</v>
      </c>
      <c r="BS119" s="1" t="s">
        <v>678</v>
      </c>
      <c r="BT119" s="1" t="s">
        <v>679</v>
      </c>
      <c r="BU119" s="1" t="s">
        <v>679</v>
      </c>
      <c r="CB119" s="1" t="s">
        <v>4</v>
      </c>
      <c r="CC119" s="1" t="s">
        <v>151</v>
      </c>
      <c r="CD119" s="1">
        <v>1</v>
      </c>
      <c r="CE119" s="1">
        <v>1</v>
      </c>
    </row>
    <row r="120" spans="1:83" ht="216" x14ac:dyDescent="0.3">
      <c r="A120" s="1">
        <v>1179</v>
      </c>
      <c r="B120" s="1" t="s">
        <v>661</v>
      </c>
      <c r="C120" s="1" t="s">
        <v>165</v>
      </c>
      <c r="E120" s="1" t="s">
        <v>1072</v>
      </c>
      <c r="F120" s="1">
        <v>1</v>
      </c>
      <c r="G120" s="1">
        <v>0</v>
      </c>
      <c r="H120" s="1" t="s">
        <v>662</v>
      </c>
      <c r="I120" s="1" t="s">
        <v>1073</v>
      </c>
      <c r="J120" s="1" t="s">
        <v>1074</v>
      </c>
      <c r="M120" s="1" t="s">
        <v>665</v>
      </c>
      <c r="O120" s="1">
        <v>1</v>
      </c>
      <c r="R120" s="1">
        <v>0</v>
      </c>
      <c r="S120" s="1">
        <v>0</v>
      </c>
      <c r="X120" s="1">
        <v>1</v>
      </c>
      <c r="AA120" s="1">
        <v>17.5</v>
      </c>
      <c r="AB120" s="1" t="s">
        <v>1075</v>
      </c>
      <c r="AC120" s="1" t="s">
        <v>1076</v>
      </c>
      <c r="AE120" s="1" t="s">
        <v>1077</v>
      </c>
      <c r="AN120" s="1">
        <v>0</v>
      </c>
      <c r="AP120" s="1" t="s">
        <v>669</v>
      </c>
      <c r="AQ120" s="1" t="s">
        <v>869</v>
      </c>
      <c r="AR120" s="1">
        <v>1</v>
      </c>
      <c r="AS120" s="1">
        <v>1</v>
      </c>
      <c r="AT120" s="1" t="s">
        <v>671</v>
      </c>
      <c r="AU120" s="1" t="s">
        <v>672</v>
      </c>
      <c r="AV120" s="1">
        <v>1</v>
      </c>
      <c r="AW120" s="1">
        <v>1</v>
      </c>
      <c r="AX120" s="1" t="s">
        <v>685</v>
      </c>
      <c r="AY120" s="1" t="s">
        <v>41</v>
      </c>
      <c r="AZ120" s="1">
        <v>1</v>
      </c>
      <c r="BA120" s="1">
        <v>1</v>
      </c>
      <c r="BB120" s="1" t="s">
        <v>1078</v>
      </c>
      <c r="BC120" s="1">
        <v>0</v>
      </c>
      <c r="BF120" s="1">
        <v>231</v>
      </c>
      <c r="BG120" s="1">
        <v>98</v>
      </c>
      <c r="BH120" s="1">
        <v>219</v>
      </c>
      <c r="BM120" s="1" t="s">
        <v>1037</v>
      </c>
      <c r="BQ120" s="1" t="s">
        <v>678</v>
      </c>
      <c r="BR120" s="1" t="s">
        <v>679</v>
      </c>
      <c r="BS120" s="1" t="s">
        <v>678</v>
      </c>
      <c r="BT120" s="1" t="s">
        <v>679</v>
      </c>
      <c r="BU120" s="1" t="s">
        <v>679</v>
      </c>
      <c r="CB120" s="1" t="s">
        <v>4</v>
      </c>
      <c r="CC120" s="1" t="s">
        <v>151</v>
      </c>
      <c r="CD120" s="1">
        <v>1</v>
      </c>
      <c r="CE120" s="1">
        <v>1</v>
      </c>
    </row>
    <row r="121" spans="1:83" ht="216" x14ac:dyDescent="0.3">
      <c r="A121" s="1">
        <v>1183</v>
      </c>
      <c r="B121" s="1" t="s">
        <v>661</v>
      </c>
      <c r="C121" s="1" t="s">
        <v>167</v>
      </c>
      <c r="E121" s="1" t="s">
        <v>1079</v>
      </c>
      <c r="F121" s="1">
        <v>1</v>
      </c>
      <c r="G121" s="1">
        <v>0</v>
      </c>
      <c r="H121" s="1" t="s">
        <v>662</v>
      </c>
      <c r="I121" s="1" t="s">
        <v>1073</v>
      </c>
      <c r="J121" s="1" t="s">
        <v>1074</v>
      </c>
      <c r="M121" s="1" t="s">
        <v>665</v>
      </c>
      <c r="O121" s="1">
        <v>1</v>
      </c>
      <c r="R121" s="1">
        <v>0</v>
      </c>
      <c r="S121" s="1">
        <v>0</v>
      </c>
      <c r="X121" s="1">
        <v>1</v>
      </c>
      <c r="AA121" s="1">
        <v>17.5</v>
      </c>
      <c r="AB121" s="1" t="s">
        <v>1075</v>
      </c>
      <c r="AC121" s="1" t="s">
        <v>1076</v>
      </c>
      <c r="AE121" s="1" t="s">
        <v>1080</v>
      </c>
      <c r="AN121" s="1">
        <v>0</v>
      </c>
      <c r="AP121" s="1" t="s">
        <v>669</v>
      </c>
      <c r="AQ121" s="1" t="s">
        <v>869</v>
      </c>
      <c r="AR121" s="1">
        <v>1</v>
      </c>
      <c r="AS121" s="1">
        <v>1</v>
      </c>
      <c r="AT121" s="1" t="s">
        <v>671</v>
      </c>
      <c r="AU121" s="1" t="s">
        <v>728</v>
      </c>
      <c r="AV121" s="1">
        <v>1</v>
      </c>
      <c r="AW121" s="1">
        <v>1</v>
      </c>
      <c r="AX121" s="1" t="s">
        <v>685</v>
      </c>
      <c r="AY121" s="1" t="s">
        <v>41</v>
      </c>
      <c r="AZ121" s="1">
        <v>1</v>
      </c>
      <c r="BA121" s="1">
        <v>1</v>
      </c>
      <c r="BB121" s="1" t="s">
        <v>1078</v>
      </c>
      <c r="BC121" s="1">
        <v>0</v>
      </c>
      <c r="BF121" s="1">
        <v>2756</v>
      </c>
      <c r="BG121" s="1">
        <v>2618</v>
      </c>
      <c r="BH121" s="1">
        <v>2744</v>
      </c>
      <c r="BM121" s="1" t="s">
        <v>1037</v>
      </c>
      <c r="BQ121" s="1" t="s">
        <v>678</v>
      </c>
      <c r="BR121" s="1" t="s">
        <v>679</v>
      </c>
      <c r="BS121" s="1" t="s">
        <v>678</v>
      </c>
      <c r="BT121" s="1" t="s">
        <v>679</v>
      </c>
      <c r="BU121" s="1" t="s">
        <v>679</v>
      </c>
      <c r="CB121" s="1" t="s">
        <v>4</v>
      </c>
      <c r="CC121" s="1" t="s">
        <v>151</v>
      </c>
      <c r="CD121" s="1">
        <v>1</v>
      </c>
      <c r="CE121" s="1">
        <v>1</v>
      </c>
    </row>
    <row r="122" spans="1:83" ht="216" x14ac:dyDescent="0.3">
      <c r="A122" s="1">
        <v>1184</v>
      </c>
      <c r="B122" s="1" t="s">
        <v>661</v>
      </c>
      <c r="C122" s="1" t="s">
        <v>168</v>
      </c>
      <c r="E122" s="1" t="s">
        <v>1081</v>
      </c>
      <c r="F122" s="1">
        <v>1</v>
      </c>
      <c r="G122" s="1">
        <v>0</v>
      </c>
      <c r="H122" s="1" t="s">
        <v>662</v>
      </c>
      <c r="I122" s="1" t="s">
        <v>1073</v>
      </c>
      <c r="J122" s="1" t="s">
        <v>1074</v>
      </c>
      <c r="M122" s="1" t="s">
        <v>665</v>
      </c>
      <c r="O122" s="1">
        <v>1</v>
      </c>
      <c r="R122" s="1">
        <v>0</v>
      </c>
      <c r="S122" s="1">
        <v>0</v>
      </c>
      <c r="X122" s="1">
        <v>1</v>
      </c>
      <c r="AA122" s="1">
        <v>17.5</v>
      </c>
      <c r="AB122" s="1" t="s">
        <v>1075</v>
      </c>
      <c r="AC122" s="1" t="s">
        <v>1076</v>
      </c>
      <c r="AE122" s="1" t="s">
        <v>1082</v>
      </c>
      <c r="AN122" s="1">
        <v>0</v>
      </c>
      <c r="AP122" s="1" t="s">
        <v>669</v>
      </c>
      <c r="AQ122" s="1" t="s">
        <v>869</v>
      </c>
      <c r="AR122" s="1">
        <v>1</v>
      </c>
      <c r="AS122" s="1">
        <v>1</v>
      </c>
      <c r="AT122" s="1" t="s">
        <v>671</v>
      </c>
      <c r="AU122" s="1" t="s">
        <v>1083</v>
      </c>
      <c r="AV122" s="1">
        <v>1</v>
      </c>
      <c r="AW122" s="1">
        <v>1</v>
      </c>
      <c r="AX122" s="1" t="s">
        <v>685</v>
      </c>
      <c r="AY122" s="1" t="s">
        <v>41</v>
      </c>
      <c r="AZ122" s="1">
        <v>1</v>
      </c>
      <c r="BA122" s="1">
        <v>1</v>
      </c>
      <c r="BB122" s="1" t="s">
        <v>1078</v>
      </c>
      <c r="BC122" s="1">
        <v>0</v>
      </c>
      <c r="BF122" s="1">
        <v>2670</v>
      </c>
      <c r="BG122" s="1">
        <v>2537</v>
      </c>
      <c r="BH122" s="1">
        <v>2653</v>
      </c>
      <c r="BM122" s="1" t="s">
        <v>1037</v>
      </c>
      <c r="BQ122" s="1" t="s">
        <v>678</v>
      </c>
      <c r="BR122" s="1" t="s">
        <v>679</v>
      </c>
      <c r="BS122" s="1" t="s">
        <v>678</v>
      </c>
      <c r="BT122" s="1" t="s">
        <v>679</v>
      </c>
      <c r="BU122" s="1" t="s">
        <v>679</v>
      </c>
      <c r="CB122" s="1" t="s">
        <v>4</v>
      </c>
      <c r="CC122" s="1" t="s">
        <v>151</v>
      </c>
      <c r="CD122" s="1">
        <v>1</v>
      </c>
      <c r="CE122" s="1">
        <v>1</v>
      </c>
    </row>
    <row r="123" spans="1:83" ht="216" x14ac:dyDescent="0.3">
      <c r="A123" s="1">
        <v>1185</v>
      </c>
      <c r="B123" s="1" t="s">
        <v>661</v>
      </c>
      <c r="C123" s="1" t="s">
        <v>169</v>
      </c>
      <c r="E123" s="1" t="s">
        <v>1084</v>
      </c>
      <c r="F123" s="1">
        <v>1</v>
      </c>
      <c r="G123" s="1">
        <v>0</v>
      </c>
      <c r="H123" s="1" t="s">
        <v>662</v>
      </c>
      <c r="I123" s="1" t="s">
        <v>1073</v>
      </c>
      <c r="J123" s="1" t="s">
        <v>1074</v>
      </c>
      <c r="M123" s="1" t="s">
        <v>665</v>
      </c>
      <c r="O123" s="1">
        <v>1</v>
      </c>
      <c r="R123" s="1">
        <v>0</v>
      </c>
      <c r="S123" s="1">
        <v>0</v>
      </c>
      <c r="X123" s="1">
        <v>1</v>
      </c>
      <c r="AA123" s="1">
        <v>17.5</v>
      </c>
      <c r="AB123" s="1" t="s">
        <v>1075</v>
      </c>
      <c r="AC123" s="1" t="s">
        <v>1076</v>
      </c>
      <c r="AE123" s="1" t="s">
        <v>1085</v>
      </c>
      <c r="AN123" s="1">
        <v>0</v>
      </c>
      <c r="AP123" s="1" t="s">
        <v>669</v>
      </c>
      <c r="AQ123" s="1" t="s">
        <v>869</v>
      </c>
      <c r="AR123" s="1">
        <v>1</v>
      </c>
      <c r="AS123" s="1">
        <v>1</v>
      </c>
      <c r="AT123" s="1" t="s">
        <v>671</v>
      </c>
      <c r="AU123" s="1" t="s">
        <v>696</v>
      </c>
      <c r="AV123" s="1">
        <v>1</v>
      </c>
      <c r="AW123" s="1">
        <v>1</v>
      </c>
      <c r="AX123" s="1" t="s">
        <v>685</v>
      </c>
      <c r="AY123" s="1" t="s">
        <v>41</v>
      </c>
      <c r="AZ123" s="1">
        <v>1</v>
      </c>
      <c r="BA123" s="1">
        <v>1</v>
      </c>
      <c r="BB123" s="1" t="s">
        <v>1078</v>
      </c>
      <c r="BC123" s="1">
        <v>0</v>
      </c>
      <c r="BF123" s="1">
        <v>2756</v>
      </c>
      <c r="BG123" s="1">
        <v>2617</v>
      </c>
      <c r="BH123" s="1">
        <v>2742</v>
      </c>
      <c r="BM123" s="1" t="s">
        <v>1037</v>
      </c>
      <c r="BQ123" s="1" t="s">
        <v>678</v>
      </c>
      <c r="BR123" s="1" t="s">
        <v>679</v>
      </c>
      <c r="BS123" s="1" t="s">
        <v>678</v>
      </c>
      <c r="BT123" s="1" t="s">
        <v>679</v>
      </c>
      <c r="BU123" s="1" t="s">
        <v>679</v>
      </c>
      <c r="CB123" s="1" t="s">
        <v>4</v>
      </c>
      <c r="CC123" s="1" t="s">
        <v>151</v>
      </c>
      <c r="CD123" s="1">
        <v>1</v>
      </c>
      <c r="CE123" s="1">
        <v>1</v>
      </c>
    </row>
    <row r="124" spans="1:83" ht="216" x14ac:dyDescent="0.3">
      <c r="A124" s="1">
        <v>1186</v>
      </c>
      <c r="B124" s="1" t="s">
        <v>661</v>
      </c>
      <c r="C124" s="1" t="s">
        <v>170</v>
      </c>
      <c r="E124" s="1" t="s">
        <v>1086</v>
      </c>
      <c r="F124" s="1">
        <v>1</v>
      </c>
      <c r="G124" s="1">
        <v>0</v>
      </c>
      <c r="H124" s="1" t="s">
        <v>662</v>
      </c>
      <c r="I124" s="1" t="s">
        <v>1073</v>
      </c>
      <c r="J124" s="1" t="s">
        <v>1087</v>
      </c>
      <c r="M124" s="1" t="s">
        <v>665</v>
      </c>
      <c r="O124" s="1">
        <v>1</v>
      </c>
      <c r="R124" s="1">
        <v>0</v>
      </c>
      <c r="S124" s="1">
        <v>0</v>
      </c>
      <c r="X124" s="1">
        <v>1</v>
      </c>
      <c r="AA124" s="1">
        <v>17.5</v>
      </c>
      <c r="AB124" s="1" t="s">
        <v>1075</v>
      </c>
      <c r="AC124" s="1" t="s">
        <v>1076</v>
      </c>
      <c r="AE124" s="1" t="s">
        <v>1088</v>
      </c>
      <c r="AN124" s="1">
        <v>0</v>
      </c>
      <c r="AP124" s="1" t="s">
        <v>669</v>
      </c>
      <c r="AQ124" s="1" t="s">
        <v>869</v>
      </c>
      <c r="AR124" s="1">
        <v>1</v>
      </c>
      <c r="AS124" s="1">
        <v>1</v>
      </c>
      <c r="AT124" s="1" t="s">
        <v>685</v>
      </c>
      <c r="AU124" s="1" t="s">
        <v>41</v>
      </c>
      <c r="AV124" s="1">
        <v>1</v>
      </c>
      <c r="AW124" s="1">
        <v>1</v>
      </c>
      <c r="AX124" s="1" t="s">
        <v>4</v>
      </c>
      <c r="AY124" s="1" t="s">
        <v>151</v>
      </c>
      <c r="AZ124" s="1">
        <v>1</v>
      </c>
      <c r="BA124" s="1">
        <v>1</v>
      </c>
      <c r="BB124" s="1" t="s">
        <v>1078</v>
      </c>
      <c r="BC124" s="1">
        <v>0</v>
      </c>
      <c r="BF124" s="1">
        <v>2690</v>
      </c>
      <c r="BG124" s="1">
        <v>2556</v>
      </c>
      <c r="BH124" s="1">
        <v>2676</v>
      </c>
      <c r="BM124" s="1" t="s">
        <v>1037</v>
      </c>
      <c r="BQ124" s="1" t="s">
        <v>678</v>
      </c>
      <c r="BR124" s="1" t="s">
        <v>679</v>
      </c>
      <c r="BS124" s="1" t="s">
        <v>678</v>
      </c>
      <c r="BT124" s="1" t="s">
        <v>679</v>
      </c>
      <c r="BU124" s="1" t="s">
        <v>679</v>
      </c>
    </row>
    <row r="125" spans="1:83" ht="216" x14ac:dyDescent="0.3">
      <c r="A125" s="1">
        <v>1187</v>
      </c>
      <c r="B125" s="1" t="s">
        <v>661</v>
      </c>
      <c r="C125" s="1" t="s">
        <v>1089</v>
      </c>
      <c r="E125" s="1" t="s">
        <v>1090</v>
      </c>
      <c r="F125" s="1">
        <v>-1</v>
      </c>
      <c r="G125" s="1">
        <v>0</v>
      </c>
      <c r="H125" s="1" t="s">
        <v>662</v>
      </c>
      <c r="I125" s="1" t="s">
        <v>1091</v>
      </c>
      <c r="J125" s="1" t="s">
        <v>1092</v>
      </c>
      <c r="M125" s="1" t="s">
        <v>665</v>
      </c>
      <c r="O125" s="1">
        <v>1</v>
      </c>
      <c r="R125" s="1">
        <v>0</v>
      </c>
      <c r="S125" s="1">
        <v>0</v>
      </c>
      <c r="X125" s="1">
        <v>1</v>
      </c>
      <c r="AA125" s="1">
        <v>7.25</v>
      </c>
      <c r="AB125" s="1" t="s">
        <v>1093</v>
      </c>
      <c r="AC125" s="1" t="s">
        <v>1094</v>
      </c>
      <c r="AE125" s="1" t="s">
        <v>1095</v>
      </c>
      <c r="AN125" s="1">
        <v>0</v>
      </c>
      <c r="AP125" s="1" t="s">
        <v>669</v>
      </c>
      <c r="AQ125" s="1" t="s">
        <v>684</v>
      </c>
      <c r="AR125" s="1">
        <v>1</v>
      </c>
      <c r="AS125" s="1">
        <v>1</v>
      </c>
      <c r="AT125" s="1" t="s">
        <v>671</v>
      </c>
      <c r="AU125" s="1" t="s">
        <v>728</v>
      </c>
      <c r="AV125" s="1">
        <v>1</v>
      </c>
      <c r="AW125" s="1">
        <v>1</v>
      </c>
      <c r="AX125" s="1" t="s">
        <v>4</v>
      </c>
      <c r="AY125" s="1" t="s">
        <v>1096</v>
      </c>
      <c r="AZ125" s="1">
        <v>1</v>
      </c>
      <c r="BA125" s="1">
        <v>1</v>
      </c>
      <c r="BB125" s="1" t="s">
        <v>1097</v>
      </c>
      <c r="BC125" s="1">
        <v>0</v>
      </c>
      <c r="BF125" s="1">
        <v>273</v>
      </c>
      <c r="BG125" s="1">
        <v>116</v>
      </c>
      <c r="BH125" s="1">
        <v>259</v>
      </c>
      <c r="BM125" s="1" t="s">
        <v>1098</v>
      </c>
      <c r="BQ125" s="1" t="s">
        <v>678</v>
      </c>
      <c r="BR125" s="1" t="s">
        <v>679</v>
      </c>
      <c r="BS125" s="1" t="s">
        <v>678</v>
      </c>
      <c r="BT125" s="1" t="s">
        <v>679</v>
      </c>
      <c r="BU125" s="1" t="s">
        <v>679</v>
      </c>
    </row>
    <row r="126" spans="1:83" ht="216" x14ac:dyDescent="0.3">
      <c r="A126" s="1">
        <v>1190</v>
      </c>
      <c r="B126" s="1" t="s">
        <v>661</v>
      </c>
      <c r="C126" s="1" t="s">
        <v>1099</v>
      </c>
      <c r="E126" s="1" t="s">
        <v>1100</v>
      </c>
      <c r="F126" s="1">
        <v>-1</v>
      </c>
      <c r="G126" s="1">
        <v>0</v>
      </c>
      <c r="H126" s="1" t="s">
        <v>662</v>
      </c>
      <c r="I126" s="1" t="s">
        <v>1091</v>
      </c>
      <c r="J126" s="1" t="s">
        <v>1092</v>
      </c>
      <c r="M126" s="1" t="s">
        <v>665</v>
      </c>
      <c r="O126" s="1">
        <v>1</v>
      </c>
      <c r="R126" s="1">
        <v>0</v>
      </c>
      <c r="S126" s="1">
        <v>0</v>
      </c>
      <c r="X126" s="1">
        <v>1</v>
      </c>
      <c r="AA126" s="1">
        <v>7.25</v>
      </c>
      <c r="AB126" s="1" t="s">
        <v>1093</v>
      </c>
      <c r="AC126" s="1" t="s">
        <v>1094</v>
      </c>
      <c r="AE126" s="1" t="s">
        <v>1101</v>
      </c>
      <c r="AN126" s="1">
        <v>0</v>
      </c>
      <c r="AP126" s="1" t="s">
        <v>669</v>
      </c>
      <c r="AQ126" s="1" t="s">
        <v>684</v>
      </c>
      <c r="AR126" s="1">
        <v>1</v>
      </c>
      <c r="AS126" s="1">
        <v>1</v>
      </c>
      <c r="AT126" s="1" t="s">
        <v>671</v>
      </c>
      <c r="AU126" s="1" t="s">
        <v>1083</v>
      </c>
      <c r="AV126" s="1">
        <v>1</v>
      </c>
      <c r="AW126" s="1">
        <v>1</v>
      </c>
      <c r="AX126" s="1" t="s">
        <v>4</v>
      </c>
      <c r="AY126" s="1" t="s">
        <v>1096</v>
      </c>
      <c r="AZ126" s="1">
        <v>1</v>
      </c>
      <c r="BA126" s="1">
        <v>1</v>
      </c>
      <c r="BB126" s="1" t="s">
        <v>1097</v>
      </c>
      <c r="BC126" s="1">
        <v>0</v>
      </c>
      <c r="BF126" s="1">
        <v>283</v>
      </c>
      <c r="BG126" s="1">
        <v>120</v>
      </c>
      <c r="BH126" s="1">
        <v>275</v>
      </c>
      <c r="BM126" s="1" t="s">
        <v>1098</v>
      </c>
      <c r="BQ126" s="1" t="s">
        <v>678</v>
      </c>
      <c r="BR126" s="1" t="s">
        <v>679</v>
      </c>
      <c r="BS126" s="1" t="s">
        <v>678</v>
      </c>
      <c r="BT126" s="1" t="s">
        <v>679</v>
      </c>
      <c r="BU126" s="1" t="s">
        <v>679</v>
      </c>
    </row>
    <row r="127" spans="1:83" ht="216" x14ac:dyDescent="0.3">
      <c r="A127" s="1">
        <v>1199</v>
      </c>
      <c r="B127" s="1" t="s">
        <v>661</v>
      </c>
      <c r="C127" s="1" t="s">
        <v>1102</v>
      </c>
      <c r="E127" s="1" t="s">
        <v>1103</v>
      </c>
      <c r="F127" s="1">
        <v>-1</v>
      </c>
      <c r="G127" s="1">
        <v>0</v>
      </c>
      <c r="H127" s="1" t="s">
        <v>662</v>
      </c>
      <c r="I127" s="1" t="s">
        <v>1091</v>
      </c>
      <c r="J127" s="1" t="s">
        <v>1092</v>
      </c>
      <c r="M127" s="1" t="s">
        <v>665</v>
      </c>
      <c r="O127" s="1">
        <v>1</v>
      </c>
      <c r="R127" s="1">
        <v>0</v>
      </c>
      <c r="S127" s="1">
        <v>0</v>
      </c>
      <c r="X127" s="1">
        <v>1</v>
      </c>
      <c r="AA127" s="1">
        <v>7.25</v>
      </c>
      <c r="AB127" s="1" t="s">
        <v>1093</v>
      </c>
      <c r="AC127" s="1" t="s">
        <v>1094</v>
      </c>
      <c r="AE127" s="1" t="s">
        <v>1104</v>
      </c>
      <c r="AN127" s="1">
        <v>0</v>
      </c>
      <c r="AP127" s="1" t="s">
        <v>669</v>
      </c>
      <c r="AQ127" s="1" t="s">
        <v>684</v>
      </c>
      <c r="AR127" s="1">
        <v>1</v>
      </c>
      <c r="AS127" s="1">
        <v>1</v>
      </c>
      <c r="AT127" s="1" t="s">
        <v>671</v>
      </c>
      <c r="AU127" s="1" t="s">
        <v>789</v>
      </c>
      <c r="AV127" s="1">
        <v>1</v>
      </c>
      <c r="AW127" s="1">
        <v>1</v>
      </c>
      <c r="AX127" s="1" t="s">
        <v>4</v>
      </c>
      <c r="AY127" s="1" t="s">
        <v>1096</v>
      </c>
      <c r="AZ127" s="1">
        <v>1</v>
      </c>
      <c r="BA127" s="1">
        <v>1</v>
      </c>
      <c r="BB127" s="1" t="s">
        <v>1097</v>
      </c>
      <c r="BC127" s="1">
        <v>0</v>
      </c>
      <c r="BF127" s="1">
        <v>262</v>
      </c>
      <c r="BG127" s="1">
        <v>106</v>
      </c>
      <c r="BH127" s="1">
        <v>252</v>
      </c>
      <c r="BM127" s="1" t="s">
        <v>1098</v>
      </c>
      <c r="BQ127" s="1" t="s">
        <v>678</v>
      </c>
      <c r="BR127" s="1" t="s">
        <v>679</v>
      </c>
      <c r="BS127" s="1" t="s">
        <v>678</v>
      </c>
      <c r="BT127" s="1" t="s">
        <v>679</v>
      </c>
      <c r="BU127" s="1" t="s">
        <v>679</v>
      </c>
    </row>
    <row r="128" spans="1:83" ht="216" x14ac:dyDescent="0.3">
      <c r="A128" s="1">
        <v>1200</v>
      </c>
      <c r="B128" s="1" t="s">
        <v>661</v>
      </c>
      <c r="C128" s="1" t="s">
        <v>1105</v>
      </c>
      <c r="E128" s="1" t="s">
        <v>1106</v>
      </c>
      <c r="F128" s="1">
        <v>-1</v>
      </c>
      <c r="G128" s="1">
        <v>0</v>
      </c>
      <c r="H128" s="1" t="s">
        <v>662</v>
      </c>
      <c r="I128" s="1" t="s">
        <v>1107</v>
      </c>
      <c r="J128" s="1" t="s">
        <v>1092</v>
      </c>
      <c r="M128" s="1" t="s">
        <v>665</v>
      </c>
      <c r="O128" s="1">
        <v>1</v>
      </c>
      <c r="R128" s="1">
        <v>0</v>
      </c>
      <c r="S128" s="1">
        <v>0</v>
      </c>
      <c r="X128" s="1">
        <v>1</v>
      </c>
      <c r="AA128" s="1">
        <v>7.25</v>
      </c>
      <c r="AB128" s="1" t="s">
        <v>1093</v>
      </c>
      <c r="AC128" s="1" t="s">
        <v>1094</v>
      </c>
      <c r="AE128" s="1" t="s">
        <v>1108</v>
      </c>
      <c r="AN128" s="1">
        <v>0</v>
      </c>
      <c r="AP128" s="1" t="s">
        <v>669</v>
      </c>
      <c r="AQ128" s="1" t="s">
        <v>684</v>
      </c>
      <c r="AR128" s="1">
        <v>1</v>
      </c>
      <c r="AS128" s="1">
        <v>1</v>
      </c>
      <c r="AT128" s="1" t="s">
        <v>671</v>
      </c>
      <c r="AU128" s="1" t="s">
        <v>893</v>
      </c>
      <c r="AV128" s="1">
        <v>1</v>
      </c>
      <c r="AW128" s="1">
        <v>1</v>
      </c>
      <c r="AX128" s="1" t="s">
        <v>4</v>
      </c>
      <c r="AY128" s="1" t="s">
        <v>1096</v>
      </c>
      <c r="AZ128" s="1">
        <v>1</v>
      </c>
      <c r="BA128" s="1">
        <v>1</v>
      </c>
      <c r="BB128" s="1" t="s">
        <v>1097</v>
      </c>
      <c r="BC128" s="1">
        <v>0</v>
      </c>
      <c r="BF128" s="1">
        <v>227</v>
      </c>
      <c r="BG128" s="1">
        <v>89</v>
      </c>
      <c r="BH128" s="1">
        <v>217</v>
      </c>
      <c r="BM128" s="1" t="s">
        <v>1098</v>
      </c>
      <c r="BQ128" s="1" t="s">
        <v>678</v>
      </c>
      <c r="BR128" s="1" t="s">
        <v>679</v>
      </c>
      <c r="BS128" s="1" t="s">
        <v>678</v>
      </c>
      <c r="BT128" s="1" t="s">
        <v>679</v>
      </c>
      <c r="BU128" s="1" t="s">
        <v>679</v>
      </c>
    </row>
    <row r="129" spans="1:73" ht="216" x14ac:dyDescent="0.3">
      <c r="A129" s="1">
        <v>1203</v>
      </c>
      <c r="B129" s="1" t="s">
        <v>661</v>
      </c>
      <c r="C129" s="1" t="s">
        <v>1109</v>
      </c>
      <c r="E129" s="1" t="s">
        <v>1110</v>
      </c>
      <c r="F129" s="1">
        <v>-1</v>
      </c>
      <c r="G129" s="1">
        <v>0</v>
      </c>
      <c r="H129" s="1" t="s">
        <v>662</v>
      </c>
      <c r="I129" s="1" t="s">
        <v>1091</v>
      </c>
      <c r="J129" s="1" t="s">
        <v>1092</v>
      </c>
      <c r="M129" s="1" t="s">
        <v>665</v>
      </c>
      <c r="O129" s="1">
        <v>1</v>
      </c>
      <c r="R129" s="1">
        <v>0</v>
      </c>
      <c r="S129" s="1">
        <v>0</v>
      </c>
      <c r="X129" s="1">
        <v>1</v>
      </c>
      <c r="AA129" s="1">
        <v>7.25</v>
      </c>
      <c r="AB129" s="1" t="s">
        <v>1093</v>
      </c>
      <c r="AC129" s="1" t="s">
        <v>1094</v>
      </c>
      <c r="AE129" s="1" t="s">
        <v>1111</v>
      </c>
      <c r="AN129" s="1">
        <v>0</v>
      </c>
      <c r="AP129" s="1" t="s">
        <v>669</v>
      </c>
      <c r="AQ129" s="1" t="s">
        <v>684</v>
      </c>
      <c r="AR129" s="1">
        <v>1</v>
      </c>
      <c r="AS129" s="1">
        <v>1</v>
      </c>
      <c r="AT129" s="1" t="s">
        <v>671</v>
      </c>
      <c r="AU129" s="1" t="s">
        <v>792</v>
      </c>
      <c r="AV129" s="1">
        <v>1</v>
      </c>
      <c r="AW129" s="1">
        <v>1</v>
      </c>
      <c r="AX129" s="1" t="s">
        <v>4</v>
      </c>
      <c r="AY129" s="1" t="s">
        <v>1096</v>
      </c>
      <c r="AZ129" s="1">
        <v>1</v>
      </c>
      <c r="BA129" s="1">
        <v>1</v>
      </c>
      <c r="BB129" s="1" t="s">
        <v>1097</v>
      </c>
      <c r="BC129" s="1">
        <v>0</v>
      </c>
      <c r="BF129" s="1">
        <v>278</v>
      </c>
      <c r="BG129" s="1">
        <v>135</v>
      </c>
      <c r="BH129" s="1">
        <v>267</v>
      </c>
      <c r="BM129" s="1" t="s">
        <v>1098</v>
      </c>
      <c r="BQ129" s="1" t="s">
        <v>678</v>
      </c>
      <c r="BR129" s="1" t="s">
        <v>679</v>
      </c>
      <c r="BS129" s="1" t="s">
        <v>678</v>
      </c>
      <c r="BT129" s="1" t="s">
        <v>679</v>
      </c>
      <c r="BU129" s="1" t="s">
        <v>679</v>
      </c>
    </row>
    <row r="130" spans="1:73" ht="216" x14ac:dyDescent="0.3">
      <c r="A130" s="1">
        <v>1205</v>
      </c>
      <c r="B130" s="1" t="s">
        <v>661</v>
      </c>
      <c r="C130" s="1" t="s">
        <v>1112</v>
      </c>
      <c r="E130" s="1" t="s">
        <v>1113</v>
      </c>
      <c r="F130" s="1">
        <v>-1</v>
      </c>
      <c r="G130" s="1">
        <v>0</v>
      </c>
      <c r="H130" s="1" t="s">
        <v>662</v>
      </c>
      <c r="I130" s="1" t="s">
        <v>1091</v>
      </c>
      <c r="J130" s="1" t="s">
        <v>1092</v>
      </c>
      <c r="M130" s="1" t="s">
        <v>665</v>
      </c>
      <c r="O130" s="1">
        <v>1</v>
      </c>
      <c r="R130" s="1">
        <v>0</v>
      </c>
      <c r="S130" s="1">
        <v>0</v>
      </c>
      <c r="X130" s="1">
        <v>1</v>
      </c>
      <c r="AA130" s="1">
        <v>4.58</v>
      </c>
      <c r="AB130" s="1" t="s">
        <v>1114</v>
      </c>
      <c r="AC130" s="1" t="s">
        <v>1115</v>
      </c>
      <c r="AE130" s="1" t="s">
        <v>1116</v>
      </c>
      <c r="AN130" s="1">
        <v>0</v>
      </c>
      <c r="AP130" s="1" t="s">
        <v>669</v>
      </c>
      <c r="AQ130" s="1" t="s">
        <v>835</v>
      </c>
      <c r="AR130" s="1">
        <v>1</v>
      </c>
      <c r="AS130" s="1">
        <v>1</v>
      </c>
      <c r="AT130" s="1" t="s">
        <v>671</v>
      </c>
      <c r="AU130" s="1" t="s">
        <v>672</v>
      </c>
      <c r="AV130" s="1">
        <v>1</v>
      </c>
      <c r="AW130" s="1">
        <v>1</v>
      </c>
      <c r="AX130" s="1" t="s">
        <v>4</v>
      </c>
      <c r="AY130" s="1" t="s">
        <v>1096</v>
      </c>
      <c r="AZ130" s="1">
        <v>1</v>
      </c>
      <c r="BA130" s="1">
        <v>1</v>
      </c>
      <c r="BB130" s="1" t="s">
        <v>1097</v>
      </c>
      <c r="BC130" s="1">
        <v>0</v>
      </c>
      <c r="BF130" s="1">
        <v>265</v>
      </c>
      <c r="BG130" s="1">
        <v>130</v>
      </c>
      <c r="BH130" s="1">
        <v>254</v>
      </c>
      <c r="BM130" s="1" t="s">
        <v>1117</v>
      </c>
      <c r="BQ130" s="1" t="s">
        <v>678</v>
      </c>
      <c r="BR130" s="1" t="s">
        <v>679</v>
      </c>
      <c r="BS130" s="1" t="s">
        <v>678</v>
      </c>
      <c r="BT130" s="1" t="s">
        <v>679</v>
      </c>
      <c r="BU130" s="1" t="s">
        <v>679</v>
      </c>
    </row>
    <row r="131" spans="1:73" ht="216" x14ac:dyDescent="0.3">
      <c r="A131" s="1">
        <v>1206</v>
      </c>
      <c r="B131" s="1" t="s">
        <v>661</v>
      </c>
      <c r="C131" s="1" t="s">
        <v>1118</v>
      </c>
      <c r="E131" s="1" t="s">
        <v>1119</v>
      </c>
      <c r="F131" s="1">
        <v>1</v>
      </c>
      <c r="G131" s="1">
        <v>0</v>
      </c>
      <c r="H131" s="1" t="s">
        <v>662</v>
      </c>
      <c r="I131" s="1" t="s">
        <v>1091</v>
      </c>
      <c r="J131" s="1" t="s">
        <v>1092</v>
      </c>
      <c r="M131" s="1" t="s">
        <v>665</v>
      </c>
      <c r="O131" s="1">
        <v>1</v>
      </c>
      <c r="R131" s="1">
        <v>0</v>
      </c>
      <c r="S131" s="1">
        <v>0</v>
      </c>
      <c r="X131" s="1">
        <v>1</v>
      </c>
      <c r="AA131" s="1">
        <v>4.58</v>
      </c>
      <c r="AB131" s="1" t="s">
        <v>1114</v>
      </c>
      <c r="AC131" s="1" t="s">
        <v>1115</v>
      </c>
      <c r="AE131" s="1" t="s">
        <v>1120</v>
      </c>
      <c r="AN131" s="1">
        <v>0</v>
      </c>
      <c r="AP131" s="1" t="s">
        <v>669</v>
      </c>
      <c r="AQ131" s="1" t="s">
        <v>835</v>
      </c>
      <c r="AR131" s="1">
        <v>1</v>
      </c>
      <c r="AS131" s="1">
        <v>1</v>
      </c>
      <c r="AT131" s="1" t="s">
        <v>671</v>
      </c>
      <c r="AU131" s="1" t="s">
        <v>728</v>
      </c>
      <c r="AV131" s="1">
        <v>1</v>
      </c>
      <c r="AW131" s="1">
        <v>1</v>
      </c>
      <c r="AX131" s="1" t="s">
        <v>4</v>
      </c>
      <c r="AY131" s="1" t="s">
        <v>1096</v>
      </c>
      <c r="AZ131" s="1">
        <v>1</v>
      </c>
      <c r="BA131" s="1">
        <v>1</v>
      </c>
      <c r="BB131" s="1" t="s">
        <v>1097</v>
      </c>
      <c r="BC131" s="1">
        <v>0</v>
      </c>
      <c r="BF131" s="1">
        <v>283</v>
      </c>
      <c r="BG131" s="1">
        <v>146</v>
      </c>
      <c r="BH131" s="1">
        <v>273</v>
      </c>
      <c r="BM131" s="1" t="s">
        <v>1121</v>
      </c>
      <c r="BQ131" s="1" t="s">
        <v>678</v>
      </c>
      <c r="BR131" s="1" t="s">
        <v>679</v>
      </c>
      <c r="BS131" s="1" t="s">
        <v>678</v>
      </c>
      <c r="BT131" s="1" t="s">
        <v>679</v>
      </c>
      <c r="BU131" s="1" t="s">
        <v>679</v>
      </c>
    </row>
    <row r="132" spans="1:73" ht="216" x14ac:dyDescent="0.3">
      <c r="A132" s="1">
        <v>1208</v>
      </c>
      <c r="B132" s="1" t="s">
        <v>661</v>
      </c>
      <c r="C132" s="1" t="s">
        <v>1122</v>
      </c>
      <c r="E132" s="1" t="s">
        <v>1123</v>
      </c>
      <c r="F132" s="1">
        <v>-1</v>
      </c>
      <c r="G132" s="1">
        <v>0</v>
      </c>
      <c r="H132" s="1" t="s">
        <v>662</v>
      </c>
      <c r="I132" s="1" t="s">
        <v>1091</v>
      </c>
      <c r="J132" s="1" t="s">
        <v>1092</v>
      </c>
      <c r="M132" s="1" t="s">
        <v>665</v>
      </c>
      <c r="O132" s="1">
        <v>1</v>
      </c>
      <c r="R132" s="1">
        <v>0</v>
      </c>
      <c r="S132" s="1">
        <v>0</v>
      </c>
      <c r="X132" s="1">
        <v>1</v>
      </c>
      <c r="AA132" s="1">
        <v>4.58</v>
      </c>
      <c r="AB132" s="1" t="s">
        <v>1114</v>
      </c>
      <c r="AC132" s="1" t="s">
        <v>1115</v>
      </c>
      <c r="AE132" s="1" t="s">
        <v>1124</v>
      </c>
      <c r="AN132" s="1">
        <v>0</v>
      </c>
      <c r="AP132" s="1" t="s">
        <v>669</v>
      </c>
      <c r="AQ132" s="1" t="s">
        <v>835</v>
      </c>
      <c r="AR132" s="1">
        <v>1</v>
      </c>
      <c r="AS132" s="1">
        <v>1</v>
      </c>
      <c r="AT132" s="1" t="s">
        <v>671</v>
      </c>
      <c r="AU132" s="1" t="s">
        <v>789</v>
      </c>
      <c r="AV132" s="1">
        <v>1</v>
      </c>
      <c r="AW132" s="1">
        <v>1</v>
      </c>
      <c r="AX132" s="1" t="s">
        <v>4</v>
      </c>
      <c r="AY132" s="1" t="s">
        <v>1096</v>
      </c>
      <c r="AZ132" s="1">
        <v>1</v>
      </c>
      <c r="BA132" s="1">
        <v>1</v>
      </c>
      <c r="BB132" s="1" t="s">
        <v>1097</v>
      </c>
      <c r="BC132" s="1">
        <v>0</v>
      </c>
      <c r="BF132" s="1">
        <v>240</v>
      </c>
      <c r="BG132" s="1">
        <v>106</v>
      </c>
      <c r="BH132" s="1">
        <v>230</v>
      </c>
      <c r="BM132" s="1" t="s">
        <v>1117</v>
      </c>
      <c r="BQ132" s="1" t="s">
        <v>678</v>
      </c>
      <c r="BR132" s="1" t="s">
        <v>679</v>
      </c>
      <c r="BS132" s="1" t="s">
        <v>678</v>
      </c>
      <c r="BT132" s="1" t="s">
        <v>679</v>
      </c>
      <c r="BU132" s="1" t="s">
        <v>679</v>
      </c>
    </row>
    <row r="133" spans="1:73" ht="216" x14ac:dyDescent="0.3">
      <c r="A133" s="1">
        <v>1210</v>
      </c>
      <c r="B133" s="1" t="s">
        <v>661</v>
      </c>
      <c r="C133" s="1" t="s">
        <v>1125</v>
      </c>
      <c r="E133" s="1" t="s">
        <v>1126</v>
      </c>
      <c r="F133" s="1">
        <v>-1</v>
      </c>
      <c r="G133" s="1">
        <v>0</v>
      </c>
      <c r="H133" s="1" t="s">
        <v>662</v>
      </c>
      <c r="I133" s="1" t="s">
        <v>1107</v>
      </c>
      <c r="J133" s="1" t="s">
        <v>1092</v>
      </c>
      <c r="M133" s="1" t="s">
        <v>665</v>
      </c>
      <c r="O133" s="1">
        <v>1</v>
      </c>
      <c r="R133" s="1">
        <v>0</v>
      </c>
      <c r="S133" s="1">
        <v>0</v>
      </c>
      <c r="X133" s="1">
        <v>1</v>
      </c>
      <c r="AA133" s="1">
        <v>4.58</v>
      </c>
      <c r="AB133" s="1" t="s">
        <v>1114</v>
      </c>
      <c r="AC133" s="1" t="s">
        <v>1115</v>
      </c>
      <c r="AE133" s="1" t="s">
        <v>1127</v>
      </c>
      <c r="AN133" s="1">
        <v>0</v>
      </c>
      <c r="AP133" s="1" t="s">
        <v>669</v>
      </c>
      <c r="AQ133" s="1" t="s">
        <v>835</v>
      </c>
      <c r="AR133" s="1">
        <v>1</v>
      </c>
      <c r="AS133" s="1">
        <v>1</v>
      </c>
      <c r="AT133" s="1" t="s">
        <v>671</v>
      </c>
      <c r="AU133" s="1" t="s">
        <v>792</v>
      </c>
      <c r="AV133" s="1">
        <v>1</v>
      </c>
      <c r="AW133" s="1">
        <v>1</v>
      </c>
      <c r="AX133" s="1" t="s">
        <v>4</v>
      </c>
      <c r="AY133" s="1" t="s">
        <v>1096</v>
      </c>
      <c r="AZ133" s="1">
        <v>1</v>
      </c>
      <c r="BA133" s="1">
        <v>1</v>
      </c>
      <c r="BB133" s="1" t="s">
        <v>1097</v>
      </c>
      <c r="BC133" s="1">
        <v>0</v>
      </c>
      <c r="BF133" s="1">
        <v>256</v>
      </c>
      <c r="BG133" s="1">
        <v>122</v>
      </c>
      <c r="BH133" s="1">
        <v>246</v>
      </c>
      <c r="BM133" s="1" t="s">
        <v>1117</v>
      </c>
      <c r="BQ133" s="1" t="s">
        <v>678</v>
      </c>
      <c r="BR133" s="1" t="s">
        <v>679</v>
      </c>
      <c r="BS133" s="1" t="s">
        <v>678</v>
      </c>
      <c r="BT133" s="1" t="s">
        <v>679</v>
      </c>
      <c r="BU133" s="1" t="s">
        <v>679</v>
      </c>
    </row>
    <row r="134" spans="1:73" ht="216" x14ac:dyDescent="0.3">
      <c r="A134" s="1">
        <v>1211</v>
      </c>
      <c r="B134" s="1" t="s">
        <v>661</v>
      </c>
      <c r="C134" s="1" t="s">
        <v>171</v>
      </c>
      <c r="E134" s="1" t="s">
        <v>1128</v>
      </c>
      <c r="F134" s="1">
        <v>1</v>
      </c>
      <c r="G134" s="1">
        <v>0</v>
      </c>
      <c r="H134" s="1" t="s">
        <v>662</v>
      </c>
      <c r="I134" s="1" t="s">
        <v>1129</v>
      </c>
      <c r="J134" s="1" t="s">
        <v>1130</v>
      </c>
      <c r="M134" s="1" t="s">
        <v>665</v>
      </c>
      <c r="O134" s="1">
        <v>1</v>
      </c>
      <c r="R134" s="1">
        <v>0</v>
      </c>
      <c r="S134" s="1">
        <v>0</v>
      </c>
      <c r="X134" s="1">
        <v>1</v>
      </c>
      <c r="AA134" s="1">
        <v>8.5</v>
      </c>
      <c r="AB134" s="1" t="s">
        <v>1131</v>
      </c>
      <c r="AC134" s="1" t="s">
        <v>1132</v>
      </c>
      <c r="AE134" s="1" t="s">
        <v>1133</v>
      </c>
      <c r="AN134" s="1">
        <v>0</v>
      </c>
      <c r="AP134" s="1" t="s">
        <v>669</v>
      </c>
      <c r="AQ134" s="1" t="s">
        <v>684</v>
      </c>
      <c r="AR134" s="1">
        <v>1</v>
      </c>
      <c r="AS134" s="1">
        <v>1</v>
      </c>
      <c r="AT134" s="1" t="s">
        <v>671</v>
      </c>
      <c r="AU134" s="1" t="s">
        <v>672</v>
      </c>
      <c r="AV134" s="1">
        <v>1</v>
      </c>
      <c r="AW134" s="1">
        <v>1</v>
      </c>
      <c r="AX134" s="1" t="s">
        <v>4</v>
      </c>
      <c r="AY134" s="1" t="s">
        <v>14</v>
      </c>
      <c r="AZ134" s="1">
        <v>1</v>
      </c>
      <c r="BA134" s="1">
        <v>1</v>
      </c>
      <c r="BB134" s="1" t="s">
        <v>1134</v>
      </c>
      <c r="BC134" s="1">
        <v>0</v>
      </c>
      <c r="BF134" s="1">
        <v>251</v>
      </c>
      <c r="BG134" s="1">
        <v>115</v>
      </c>
      <c r="BH134" s="1">
        <v>241</v>
      </c>
      <c r="BM134" s="1" t="s">
        <v>1135</v>
      </c>
      <c r="BQ134" s="1" t="s">
        <v>678</v>
      </c>
      <c r="BR134" s="1" t="s">
        <v>679</v>
      </c>
      <c r="BS134" s="1" t="s">
        <v>678</v>
      </c>
      <c r="BT134" s="1" t="s">
        <v>679</v>
      </c>
      <c r="BU134" s="1" t="s">
        <v>679</v>
      </c>
    </row>
    <row r="135" spans="1:73" ht="216" x14ac:dyDescent="0.3">
      <c r="A135" s="1">
        <v>1241</v>
      </c>
      <c r="B135" s="1" t="s">
        <v>661</v>
      </c>
      <c r="C135" s="1" t="s">
        <v>174</v>
      </c>
      <c r="E135" s="1" t="s">
        <v>1136</v>
      </c>
      <c r="F135" s="1">
        <v>1</v>
      </c>
      <c r="G135" s="1">
        <v>0</v>
      </c>
      <c r="H135" s="1" t="s">
        <v>662</v>
      </c>
      <c r="I135" s="1" t="s">
        <v>1137</v>
      </c>
      <c r="J135" s="1" t="s">
        <v>1130</v>
      </c>
      <c r="M135" s="1" t="s">
        <v>665</v>
      </c>
      <c r="O135" s="1">
        <v>1</v>
      </c>
      <c r="R135" s="1">
        <v>0</v>
      </c>
      <c r="S135" s="1">
        <v>0</v>
      </c>
      <c r="X135" s="1">
        <v>1</v>
      </c>
      <c r="AA135" s="1">
        <v>8.5</v>
      </c>
      <c r="AB135" s="1" t="s">
        <v>1138</v>
      </c>
      <c r="AC135" s="1" t="s">
        <v>1132</v>
      </c>
      <c r="AE135" s="1" t="s">
        <v>1139</v>
      </c>
      <c r="AN135" s="1">
        <v>0</v>
      </c>
      <c r="AP135" s="1" t="s">
        <v>4</v>
      </c>
      <c r="AQ135" s="1" t="s">
        <v>14</v>
      </c>
      <c r="AR135" s="1">
        <v>1</v>
      </c>
      <c r="AS135" s="1">
        <v>1</v>
      </c>
      <c r="AT135" s="1" t="s">
        <v>671</v>
      </c>
      <c r="AU135" s="1" t="s">
        <v>728</v>
      </c>
      <c r="AV135" s="1">
        <v>1</v>
      </c>
      <c r="AW135" s="1">
        <v>1</v>
      </c>
      <c r="AX135" s="1" t="s">
        <v>669</v>
      </c>
      <c r="AY135" s="1" t="s">
        <v>684</v>
      </c>
      <c r="AZ135" s="1">
        <v>1</v>
      </c>
      <c r="BA135" s="1">
        <v>1</v>
      </c>
      <c r="BB135" s="1" t="s">
        <v>1134</v>
      </c>
      <c r="BC135" s="1">
        <v>0</v>
      </c>
      <c r="BF135" s="1">
        <v>256</v>
      </c>
      <c r="BG135" s="1">
        <v>120</v>
      </c>
      <c r="BH135" s="1">
        <v>245</v>
      </c>
      <c r="BM135" s="1" t="s">
        <v>1135</v>
      </c>
      <c r="BQ135" s="1" t="s">
        <v>678</v>
      </c>
      <c r="BR135" s="1" t="s">
        <v>679</v>
      </c>
      <c r="BS135" s="1" t="s">
        <v>678</v>
      </c>
      <c r="BT135" s="1" t="s">
        <v>679</v>
      </c>
      <c r="BU135" s="1" t="s">
        <v>679</v>
      </c>
    </row>
    <row r="136" spans="1:73" ht="216" x14ac:dyDescent="0.3">
      <c r="A136" s="1">
        <v>1243</v>
      </c>
      <c r="B136" s="1" t="s">
        <v>661</v>
      </c>
      <c r="C136" s="1" t="s">
        <v>175</v>
      </c>
      <c r="E136" s="1" t="s">
        <v>1140</v>
      </c>
      <c r="F136" s="1">
        <v>1</v>
      </c>
      <c r="G136" s="1">
        <v>0</v>
      </c>
      <c r="H136" s="1" t="s">
        <v>662</v>
      </c>
      <c r="I136" s="1" t="s">
        <v>1137</v>
      </c>
      <c r="J136" s="1" t="s">
        <v>1130</v>
      </c>
      <c r="M136" s="1" t="s">
        <v>665</v>
      </c>
      <c r="O136" s="1">
        <v>1</v>
      </c>
      <c r="R136" s="1">
        <v>0</v>
      </c>
      <c r="S136" s="1">
        <v>0</v>
      </c>
      <c r="X136" s="1">
        <v>1</v>
      </c>
      <c r="AA136" s="1">
        <v>8.5</v>
      </c>
      <c r="AB136" s="1" t="s">
        <v>1131</v>
      </c>
      <c r="AC136" s="1" t="s">
        <v>1132</v>
      </c>
      <c r="AE136" s="1" t="s">
        <v>1141</v>
      </c>
      <c r="AN136" s="1">
        <v>0</v>
      </c>
      <c r="AP136" s="1" t="s">
        <v>669</v>
      </c>
      <c r="AQ136" s="1" t="s">
        <v>684</v>
      </c>
      <c r="AR136" s="1">
        <v>1</v>
      </c>
      <c r="AS136" s="1">
        <v>1</v>
      </c>
      <c r="AT136" s="1" t="s">
        <v>671</v>
      </c>
      <c r="AU136" s="1" t="s">
        <v>789</v>
      </c>
      <c r="AV136" s="1">
        <v>1</v>
      </c>
      <c r="AW136" s="1">
        <v>1</v>
      </c>
      <c r="AX136" s="1" t="s">
        <v>4</v>
      </c>
      <c r="AY136" s="1" t="s">
        <v>14</v>
      </c>
      <c r="AZ136" s="1">
        <v>1</v>
      </c>
      <c r="BA136" s="1">
        <v>1</v>
      </c>
      <c r="BB136" s="1" t="s">
        <v>1134</v>
      </c>
      <c r="BC136" s="1">
        <v>0</v>
      </c>
      <c r="BF136" s="1">
        <v>249</v>
      </c>
      <c r="BG136" s="1">
        <v>111</v>
      </c>
      <c r="BH136" s="1">
        <v>239</v>
      </c>
      <c r="BM136" s="1" t="s">
        <v>1135</v>
      </c>
      <c r="BQ136" s="1" t="s">
        <v>678</v>
      </c>
      <c r="BR136" s="1" t="s">
        <v>679</v>
      </c>
      <c r="BS136" s="1" t="s">
        <v>678</v>
      </c>
      <c r="BT136" s="1" t="s">
        <v>679</v>
      </c>
      <c r="BU136" s="1" t="s">
        <v>679</v>
      </c>
    </row>
    <row r="137" spans="1:73" ht="216" x14ac:dyDescent="0.3">
      <c r="A137" s="1">
        <v>1246</v>
      </c>
      <c r="B137" s="1" t="s">
        <v>661</v>
      </c>
      <c r="C137" s="1" t="s">
        <v>176</v>
      </c>
      <c r="E137" s="1" t="s">
        <v>1142</v>
      </c>
      <c r="F137" s="1">
        <v>1</v>
      </c>
      <c r="G137" s="1">
        <v>0</v>
      </c>
      <c r="H137" s="1" t="s">
        <v>662</v>
      </c>
      <c r="I137" s="1" t="s">
        <v>1137</v>
      </c>
      <c r="J137" s="1" t="s">
        <v>1130</v>
      </c>
      <c r="M137" s="1" t="s">
        <v>665</v>
      </c>
      <c r="O137" s="1">
        <v>1</v>
      </c>
      <c r="R137" s="1">
        <v>0</v>
      </c>
      <c r="S137" s="1">
        <v>0</v>
      </c>
      <c r="X137" s="1">
        <v>1</v>
      </c>
      <c r="AA137" s="1">
        <v>8.5</v>
      </c>
      <c r="AB137" s="1" t="s">
        <v>1131</v>
      </c>
      <c r="AC137" s="1" t="s">
        <v>1132</v>
      </c>
      <c r="AE137" s="1" t="s">
        <v>1143</v>
      </c>
      <c r="AN137" s="1">
        <v>0</v>
      </c>
      <c r="AP137" s="1" t="s">
        <v>669</v>
      </c>
      <c r="AQ137" s="1" t="s">
        <v>684</v>
      </c>
      <c r="AR137" s="1">
        <v>1</v>
      </c>
      <c r="AS137" s="1">
        <v>1</v>
      </c>
      <c r="AT137" s="1" t="s">
        <v>671</v>
      </c>
      <c r="AU137" s="1" t="s">
        <v>1051</v>
      </c>
      <c r="AV137" s="1">
        <v>1</v>
      </c>
      <c r="AW137" s="1">
        <v>1</v>
      </c>
      <c r="AX137" s="1" t="s">
        <v>4</v>
      </c>
      <c r="AY137" s="1" t="s">
        <v>14</v>
      </c>
      <c r="AZ137" s="1">
        <v>1</v>
      </c>
      <c r="BA137" s="1">
        <v>1</v>
      </c>
      <c r="BB137" s="1" t="s">
        <v>1134</v>
      </c>
      <c r="BC137" s="1">
        <v>0</v>
      </c>
      <c r="BF137" s="1">
        <v>246</v>
      </c>
      <c r="BG137" s="1">
        <v>108</v>
      </c>
      <c r="BH137" s="1">
        <v>235</v>
      </c>
      <c r="BM137" s="1" t="s">
        <v>1135</v>
      </c>
      <c r="BQ137" s="1" t="s">
        <v>678</v>
      </c>
      <c r="BR137" s="1" t="s">
        <v>679</v>
      </c>
      <c r="BS137" s="1" t="s">
        <v>678</v>
      </c>
      <c r="BT137" s="1" t="s">
        <v>679</v>
      </c>
      <c r="BU137" s="1" t="s">
        <v>679</v>
      </c>
    </row>
    <row r="138" spans="1:73" ht="216" x14ac:dyDescent="0.3">
      <c r="A138" s="1">
        <v>1247</v>
      </c>
      <c r="B138" s="1" t="s">
        <v>661</v>
      </c>
      <c r="C138" s="1" t="s">
        <v>177</v>
      </c>
      <c r="E138" s="1" t="s">
        <v>1144</v>
      </c>
      <c r="F138" s="1">
        <v>1</v>
      </c>
      <c r="G138" s="1">
        <v>0</v>
      </c>
      <c r="H138" s="1" t="s">
        <v>662</v>
      </c>
      <c r="I138" s="1" t="s">
        <v>1137</v>
      </c>
      <c r="J138" s="1" t="s">
        <v>1130</v>
      </c>
      <c r="M138" s="1" t="s">
        <v>665</v>
      </c>
      <c r="O138" s="1">
        <v>1</v>
      </c>
      <c r="R138" s="1">
        <v>0</v>
      </c>
      <c r="S138" s="1">
        <v>0</v>
      </c>
      <c r="X138" s="1">
        <v>1</v>
      </c>
      <c r="AA138" s="1">
        <v>8.5</v>
      </c>
      <c r="AB138" s="1" t="s">
        <v>1131</v>
      </c>
      <c r="AC138" s="1" t="s">
        <v>1132</v>
      </c>
      <c r="AE138" s="1" t="s">
        <v>1145</v>
      </c>
      <c r="AN138" s="1">
        <v>0</v>
      </c>
      <c r="AP138" s="1" t="s">
        <v>669</v>
      </c>
      <c r="AQ138" s="1" t="s">
        <v>684</v>
      </c>
      <c r="AR138" s="1">
        <v>1</v>
      </c>
      <c r="AS138" s="1">
        <v>1</v>
      </c>
      <c r="AT138" s="1" t="s">
        <v>671</v>
      </c>
      <c r="AU138" s="1" t="s">
        <v>891</v>
      </c>
      <c r="AV138" s="1">
        <v>1</v>
      </c>
      <c r="AW138" s="1">
        <v>1</v>
      </c>
      <c r="AX138" s="1" t="s">
        <v>4</v>
      </c>
      <c r="AY138" s="1" t="s">
        <v>14</v>
      </c>
      <c r="AZ138" s="1">
        <v>1</v>
      </c>
      <c r="BA138" s="1">
        <v>1</v>
      </c>
      <c r="BB138" s="1" t="s">
        <v>1134</v>
      </c>
      <c r="BC138" s="1">
        <v>0</v>
      </c>
      <c r="BF138" s="1">
        <v>232</v>
      </c>
      <c r="BG138" s="1">
        <v>98</v>
      </c>
      <c r="BH138" s="1">
        <v>223</v>
      </c>
      <c r="BM138" s="1" t="s">
        <v>1135</v>
      </c>
      <c r="BQ138" s="1" t="s">
        <v>678</v>
      </c>
      <c r="BR138" s="1" t="s">
        <v>679</v>
      </c>
      <c r="BS138" s="1" t="s">
        <v>678</v>
      </c>
      <c r="BT138" s="1" t="s">
        <v>679</v>
      </c>
      <c r="BU138" s="1" t="s">
        <v>679</v>
      </c>
    </row>
    <row r="139" spans="1:73" ht="216" x14ac:dyDescent="0.3">
      <c r="A139" s="1">
        <v>1249</v>
      </c>
      <c r="B139" s="1" t="s">
        <v>661</v>
      </c>
      <c r="C139" s="1" t="s">
        <v>178</v>
      </c>
      <c r="E139" s="1" t="s">
        <v>1146</v>
      </c>
      <c r="F139" s="1">
        <v>1</v>
      </c>
      <c r="G139" s="1">
        <v>0</v>
      </c>
      <c r="H139" s="1" t="s">
        <v>662</v>
      </c>
      <c r="I139" s="1" t="s">
        <v>1137</v>
      </c>
      <c r="J139" s="1" t="s">
        <v>1130</v>
      </c>
      <c r="M139" s="1" t="s">
        <v>665</v>
      </c>
      <c r="O139" s="1">
        <v>1</v>
      </c>
      <c r="R139" s="1">
        <v>0</v>
      </c>
      <c r="S139" s="1">
        <v>0</v>
      </c>
      <c r="X139" s="1">
        <v>1</v>
      </c>
      <c r="AA139" s="1">
        <v>8.5</v>
      </c>
      <c r="AB139" s="1" t="s">
        <v>1131</v>
      </c>
      <c r="AC139" s="1" t="s">
        <v>1132</v>
      </c>
      <c r="AE139" s="1" t="s">
        <v>1147</v>
      </c>
      <c r="AN139" s="1">
        <v>0</v>
      </c>
      <c r="AP139" s="1" t="s">
        <v>669</v>
      </c>
      <c r="AQ139" s="1" t="s">
        <v>684</v>
      </c>
      <c r="AR139" s="1">
        <v>1</v>
      </c>
      <c r="AS139" s="1">
        <v>1</v>
      </c>
      <c r="AT139" s="1" t="s">
        <v>671</v>
      </c>
      <c r="AU139" s="1" t="s">
        <v>893</v>
      </c>
      <c r="AV139" s="1">
        <v>1</v>
      </c>
      <c r="AW139" s="1">
        <v>1</v>
      </c>
      <c r="AX139" s="1" t="s">
        <v>4</v>
      </c>
      <c r="AY139" s="1" t="s">
        <v>14</v>
      </c>
      <c r="AZ139" s="1">
        <v>1</v>
      </c>
      <c r="BA139" s="1">
        <v>1</v>
      </c>
      <c r="BB139" s="1" t="s">
        <v>1134</v>
      </c>
      <c r="BC139" s="1">
        <v>0</v>
      </c>
      <c r="BF139" s="1">
        <v>225</v>
      </c>
      <c r="BG139" s="1">
        <v>91</v>
      </c>
      <c r="BH139" s="1">
        <v>215</v>
      </c>
      <c r="BM139" s="1" t="s">
        <v>1135</v>
      </c>
      <c r="BQ139" s="1" t="s">
        <v>678</v>
      </c>
      <c r="BR139" s="1" t="s">
        <v>679</v>
      </c>
      <c r="BS139" s="1" t="s">
        <v>678</v>
      </c>
      <c r="BT139" s="1" t="s">
        <v>679</v>
      </c>
      <c r="BU139" s="1" t="s">
        <v>679</v>
      </c>
    </row>
    <row r="140" spans="1:73" ht="216" x14ac:dyDescent="0.3">
      <c r="A140" s="1">
        <v>1252</v>
      </c>
      <c r="B140" s="1" t="s">
        <v>661</v>
      </c>
      <c r="C140" s="1" t="s">
        <v>179</v>
      </c>
      <c r="E140" s="1" t="s">
        <v>1148</v>
      </c>
      <c r="F140" s="1">
        <v>1</v>
      </c>
      <c r="G140" s="1">
        <v>0</v>
      </c>
      <c r="H140" s="1" t="s">
        <v>662</v>
      </c>
      <c r="I140" s="1" t="s">
        <v>1137</v>
      </c>
      <c r="J140" s="1" t="s">
        <v>1130</v>
      </c>
      <c r="M140" s="1" t="s">
        <v>665</v>
      </c>
      <c r="O140" s="1">
        <v>1</v>
      </c>
      <c r="R140" s="1">
        <v>0</v>
      </c>
      <c r="S140" s="1">
        <v>0</v>
      </c>
      <c r="X140" s="1">
        <v>1</v>
      </c>
      <c r="AA140" s="1">
        <v>8.5</v>
      </c>
      <c r="AB140" s="1" t="s">
        <v>1131</v>
      </c>
      <c r="AC140" s="1" t="s">
        <v>1132</v>
      </c>
      <c r="AE140" s="1" t="s">
        <v>1149</v>
      </c>
      <c r="AN140" s="1">
        <v>0</v>
      </c>
      <c r="AP140" s="1" t="s">
        <v>669</v>
      </c>
      <c r="AQ140" s="1" t="s">
        <v>684</v>
      </c>
      <c r="AR140" s="1">
        <v>1</v>
      </c>
      <c r="AS140" s="1">
        <v>1</v>
      </c>
      <c r="AT140" s="1" t="s">
        <v>671</v>
      </c>
      <c r="AU140" s="1" t="s">
        <v>792</v>
      </c>
      <c r="AV140" s="1">
        <v>1</v>
      </c>
      <c r="AW140" s="1">
        <v>1</v>
      </c>
      <c r="AX140" s="1" t="s">
        <v>4</v>
      </c>
      <c r="AY140" s="1" t="s">
        <v>14</v>
      </c>
      <c r="AZ140" s="1">
        <v>1</v>
      </c>
      <c r="BA140" s="1">
        <v>1</v>
      </c>
      <c r="BB140" s="1" t="s">
        <v>1134</v>
      </c>
      <c r="BC140" s="1">
        <v>0</v>
      </c>
      <c r="BF140" s="1">
        <v>236</v>
      </c>
      <c r="BG140" s="1">
        <v>101</v>
      </c>
      <c r="BH140" s="1">
        <v>224</v>
      </c>
      <c r="BM140" s="1" t="s">
        <v>1135</v>
      </c>
      <c r="BQ140" s="1" t="s">
        <v>678</v>
      </c>
      <c r="BR140" s="1" t="s">
        <v>679</v>
      </c>
      <c r="BS140" s="1" t="s">
        <v>678</v>
      </c>
      <c r="BT140" s="1" t="s">
        <v>679</v>
      </c>
      <c r="BU140" s="1" t="s">
        <v>679</v>
      </c>
    </row>
    <row r="141" spans="1:73" ht="216" x14ac:dyDescent="0.3">
      <c r="A141" s="1">
        <v>1254</v>
      </c>
      <c r="B141" s="1" t="s">
        <v>661</v>
      </c>
      <c r="C141" s="1" t="s">
        <v>180</v>
      </c>
      <c r="E141" s="1" t="s">
        <v>1150</v>
      </c>
      <c r="F141" s="1">
        <v>1</v>
      </c>
      <c r="G141" s="1">
        <v>0</v>
      </c>
      <c r="H141" s="1" t="s">
        <v>662</v>
      </c>
      <c r="I141" s="1" t="s">
        <v>1137</v>
      </c>
      <c r="J141" s="1" t="s">
        <v>1130</v>
      </c>
      <c r="M141" s="1" t="s">
        <v>665</v>
      </c>
      <c r="O141" s="1">
        <v>1</v>
      </c>
      <c r="R141" s="1">
        <v>0</v>
      </c>
      <c r="S141" s="1">
        <v>0</v>
      </c>
      <c r="X141" s="1">
        <v>1</v>
      </c>
      <c r="AA141" s="1">
        <v>8.5</v>
      </c>
      <c r="AB141" s="1" t="s">
        <v>1131</v>
      </c>
      <c r="AC141" s="1" t="s">
        <v>1132</v>
      </c>
      <c r="AE141" s="1" t="s">
        <v>1151</v>
      </c>
      <c r="AN141" s="1">
        <v>0</v>
      </c>
      <c r="AP141" s="1" t="s">
        <v>669</v>
      </c>
      <c r="AQ141" s="1" t="s">
        <v>684</v>
      </c>
      <c r="AR141" s="1">
        <v>1</v>
      </c>
      <c r="AS141" s="1">
        <v>1</v>
      </c>
      <c r="AT141" s="1" t="s">
        <v>671</v>
      </c>
      <c r="AU141" s="1" t="s">
        <v>728</v>
      </c>
      <c r="AV141" s="1">
        <v>1</v>
      </c>
      <c r="AW141" s="1">
        <v>1</v>
      </c>
      <c r="AX141" s="1" t="s">
        <v>4</v>
      </c>
      <c r="AY141" s="1" t="s">
        <v>14</v>
      </c>
      <c r="AZ141" s="1">
        <v>1</v>
      </c>
      <c r="BA141" s="1">
        <v>1</v>
      </c>
      <c r="BB141" s="1" t="s">
        <v>1134</v>
      </c>
      <c r="BC141" s="1">
        <v>0</v>
      </c>
      <c r="BF141" s="1">
        <v>233</v>
      </c>
      <c r="BG141" s="1">
        <v>95</v>
      </c>
      <c r="BH141" s="1">
        <v>220</v>
      </c>
      <c r="BM141" s="1" t="s">
        <v>1135</v>
      </c>
      <c r="BQ141" s="1" t="s">
        <v>678</v>
      </c>
      <c r="BR141" s="1" t="s">
        <v>679</v>
      </c>
      <c r="BS141" s="1" t="s">
        <v>678</v>
      </c>
      <c r="BT141" s="1" t="s">
        <v>679</v>
      </c>
      <c r="BU141" s="1" t="s">
        <v>679</v>
      </c>
    </row>
    <row r="142" spans="1:73" ht="216" x14ac:dyDescent="0.3">
      <c r="A142" s="1">
        <v>1271</v>
      </c>
      <c r="B142" s="1" t="s">
        <v>661</v>
      </c>
      <c r="C142" s="1" t="s">
        <v>181</v>
      </c>
      <c r="E142" s="1" t="s">
        <v>1152</v>
      </c>
      <c r="F142" s="1">
        <v>1</v>
      </c>
      <c r="G142" s="1">
        <v>0</v>
      </c>
      <c r="H142" s="1" t="s">
        <v>662</v>
      </c>
      <c r="I142" s="1" t="s">
        <v>1137</v>
      </c>
      <c r="J142" s="1" t="s">
        <v>1130</v>
      </c>
      <c r="M142" s="1" t="s">
        <v>665</v>
      </c>
      <c r="O142" s="1">
        <v>1</v>
      </c>
      <c r="R142" s="1">
        <v>0</v>
      </c>
      <c r="S142" s="1">
        <v>0</v>
      </c>
      <c r="X142" s="1">
        <v>1</v>
      </c>
      <c r="AA142" s="1">
        <v>8.5</v>
      </c>
      <c r="AB142" s="1" t="s">
        <v>1131</v>
      </c>
      <c r="AC142" s="1" t="s">
        <v>1132</v>
      </c>
      <c r="AE142" s="1" t="s">
        <v>1153</v>
      </c>
      <c r="AN142" s="1">
        <v>0</v>
      </c>
      <c r="AP142" s="1" t="s">
        <v>669</v>
      </c>
      <c r="AQ142" s="1" t="s">
        <v>684</v>
      </c>
      <c r="AR142" s="1">
        <v>1</v>
      </c>
      <c r="AS142" s="1">
        <v>1</v>
      </c>
      <c r="AT142" s="1" t="s">
        <v>671</v>
      </c>
      <c r="AU142" s="1" t="s">
        <v>1154</v>
      </c>
      <c r="AV142" s="1">
        <v>1</v>
      </c>
      <c r="AW142" s="1">
        <v>1</v>
      </c>
      <c r="AX142" s="1" t="s">
        <v>4</v>
      </c>
      <c r="AY142" s="1" t="s">
        <v>14</v>
      </c>
      <c r="AZ142" s="1">
        <v>1</v>
      </c>
      <c r="BA142" s="1">
        <v>1</v>
      </c>
      <c r="BB142" s="1" t="s">
        <v>1134</v>
      </c>
      <c r="BC142" s="1">
        <v>0</v>
      </c>
      <c r="BF142" s="1">
        <v>226</v>
      </c>
      <c r="BG142" s="1">
        <v>92</v>
      </c>
      <c r="BH142" s="1">
        <v>217</v>
      </c>
      <c r="BM142" s="1" t="s">
        <v>1135</v>
      </c>
      <c r="BQ142" s="1" t="s">
        <v>678</v>
      </c>
      <c r="BR142" s="1" t="s">
        <v>679</v>
      </c>
      <c r="BS142" s="1" t="s">
        <v>678</v>
      </c>
      <c r="BT142" s="1" t="s">
        <v>679</v>
      </c>
      <c r="BU142" s="1" t="s">
        <v>679</v>
      </c>
    </row>
    <row r="143" spans="1:73" ht="216" x14ac:dyDescent="0.3">
      <c r="A143" s="1">
        <v>1272</v>
      </c>
      <c r="B143" s="1" t="s">
        <v>661</v>
      </c>
      <c r="C143" s="1" t="s">
        <v>182</v>
      </c>
      <c r="E143" s="1" t="s">
        <v>1155</v>
      </c>
      <c r="F143" s="1">
        <v>1</v>
      </c>
      <c r="G143" s="1">
        <v>0</v>
      </c>
      <c r="H143" s="1" t="s">
        <v>662</v>
      </c>
      <c r="I143" s="1" t="s">
        <v>1137</v>
      </c>
      <c r="J143" s="1" t="s">
        <v>1130</v>
      </c>
      <c r="M143" s="1" t="s">
        <v>665</v>
      </c>
      <c r="O143" s="1">
        <v>1</v>
      </c>
      <c r="R143" s="1">
        <v>0</v>
      </c>
      <c r="S143" s="1">
        <v>0</v>
      </c>
      <c r="X143" s="1">
        <v>1</v>
      </c>
      <c r="AA143" s="1">
        <v>8.5</v>
      </c>
      <c r="AB143" s="1" t="s">
        <v>1131</v>
      </c>
      <c r="AC143" s="1" t="s">
        <v>1132</v>
      </c>
      <c r="AE143" s="1" t="s">
        <v>1156</v>
      </c>
      <c r="AN143" s="1">
        <v>0</v>
      </c>
      <c r="AP143" s="1" t="s">
        <v>669</v>
      </c>
      <c r="AQ143" s="1" t="s">
        <v>684</v>
      </c>
      <c r="AR143" s="1">
        <v>1</v>
      </c>
      <c r="AS143" s="1">
        <v>1</v>
      </c>
      <c r="AT143" s="1" t="s">
        <v>671</v>
      </c>
      <c r="AU143" s="1" t="s">
        <v>1157</v>
      </c>
      <c r="AV143" s="1">
        <v>1</v>
      </c>
      <c r="AW143" s="1">
        <v>1</v>
      </c>
      <c r="AX143" s="1" t="s">
        <v>4</v>
      </c>
      <c r="AY143" s="1" t="s">
        <v>14</v>
      </c>
      <c r="AZ143" s="1">
        <v>1</v>
      </c>
      <c r="BA143" s="1">
        <v>1</v>
      </c>
      <c r="BB143" s="1" t="s">
        <v>1134</v>
      </c>
      <c r="BC143" s="1">
        <v>0</v>
      </c>
      <c r="BF143" s="1">
        <v>236</v>
      </c>
      <c r="BG143" s="1">
        <v>102</v>
      </c>
      <c r="BH143" s="1">
        <v>226</v>
      </c>
      <c r="BM143" s="1" t="s">
        <v>1135</v>
      </c>
      <c r="BQ143" s="1" t="s">
        <v>678</v>
      </c>
      <c r="BR143" s="1" t="s">
        <v>679</v>
      </c>
      <c r="BS143" s="1" t="s">
        <v>678</v>
      </c>
      <c r="BT143" s="1" t="s">
        <v>679</v>
      </c>
      <c r="BU143" s="1" t="s">
        <v>679</v>
      </c>
    </row>
    <row r="144" spans="1:73" ht="216" x14ac:dyDescent="0.3">
      <c r="A144" s="1">
        <v>1273</v>
      </c>
      <c r="B144" s="1" t="s">
        <v>661</v>
      </c>
      <c r="C144" s="1" t="s">
        <v>182</v>
      </c>
      <c r="E144" s="1" t="s">
        <v>1158</v>
      </c>
      <c r="F144" s="1">
        <v>1</v>
      </c>
      <c r="G144" s="1">
        <v>0</v>
      </c>
      <c r="H144" s="1" t="s">
        <v>662</v>
      </c>
      <c r="I144" s="1" t="s">
        <v>1159</v>
      </c>
      <c r="J144" s="1" t="s">
        <v>1160</v>
      </c>
      <c r="M144" s="1" t="s">
        <v>665</v>
      </c>
      <c r="O144" s="1">
        <v>1</v>
      </c>
      <c r="R144" s="1">
        <v>0</v>
      </c>
      <c r="S144" s="1">
        <v>0</v>
      </c>
      <c r="X144" s="1">
        <v>1</v>
      </c>
      <c r="AA144" s="1">
        <v>8.99</v>
      </c>
      <c r="AB144" s="1" t="s">
        <v>1161</v>
      </c>
      <c r="AC144" s="1" t="s">
        <v>1162</v>
      </c>
      <c r="AE144" s="1" t="s">
        <v>1163</v>
      </c>
      <c r="AN144" s="1">
        <v>0</v>
      </c>
      <c r="AP144" s="1" t="s">
        <v>669</v>
      </c>
      <c r="AQ144" s="1" t="s">
        <v>819</v>
      </c>
      <c r="AR144" s="1">
        <v>1</v>
      </c>
      <c r="AS144" s="1">
        <v>1</v>
      </c>
      <c r="AT144" s="1" t="s">
        <v>671</v>
      </c>
      <c r="AU144" s="1" t="s">
        <v>672</v>
      </c>
      <c r="AV144" s="1">
        <v>1</v>
      </c>
      <c r="AW144" s="1">
        <v>1</v>
      </c>
      <c r="AX144" s="1" t="s">
        <v>4</v>
      </c>
      <c r="AY144" s="1" t="s">
        <v>14</v>
      </c>
      <c r="AZ144" s="1">
        <v>1</v>
      </c>
      <c r="BA144" s="1">
        <v>1</v>
      </c>
      <c r="BB144" s="1" t="s">
        <v>1164</v>
      </c>
      <c r="BC144" s="1">
        <v>0</v>
      </c>
      <c r="BF144" s="1">
        <v>237</v>
      </c>
      <c r="BG144" s="1">
        <v>98</v>
      </c>
      <c r="BH144" s="1">
        <v>225</v>
      </c>
      <c r="BM144" s="1" t="s">
        <v>1165</v>
      </c>
      <c r="BQ144" s="1" t="s">
        <v>678</v>
      </c>
      <c r="BR144" s="1" t="s">
        <v>679</v>
      </c>
      <c r="BS144" s="1" t="s">
        <v>678</v>
      </c>
      <c r="BT144" s="1" t="s">
        <v>679</v>
      </c>
      <c r="BU144" s="1" t="s">
        <v>679</v>
      </c>
    </row>
    <row r="145" spans="1:73" ht="216" x14ac:dyDescent="0.3">
      <c r="A145" s="1">
        <v>1274</v>
      </c>
      <c r="B145" s="1" t="s">
        <v>661</v>
      </c>
      <c r="C145" s="1" t="s">
        <v>186</v>
      </c>
      <c r="E145" s="1" t="s">
        <v>1166</v>
      </c>
      <c r="F145" s="1">
        <v>1</v>
      </c>
      <c r="G145" s="1">
        <v>0</v>
      </c>
      <c r="H145" s="1" t="s">
        <v>662</v>
      </c>
      <c r="I145" s="1" t="s">
        <v>1167</v>
      </c>
      <c r="J145" s="1" t="s">
        <v>1160</v>
      </c>
      <c r="M145" s="1" t="s">
        <v>665</v>
      </c>
      <c r="O145" s="1">
        <v>1</v>
      </c>
      <c r="R145" s="1">
        <v>0</v>
      </c>
      <c r="S145" s="1">
        <v>0</v>
      </c>
      <c r="X145" s="1">
        <v>1</v>
      </c>
      <c r="AA145" s="1">
        <v>8.99</v>
      </c>
      <c r="AB145" s="1" t="s">
        <v>1161</v>
      </c>
      <c r="AC145" s="1" t="s">
        <v>1162</v>
      </c>
      <c r="AE145" s="1" t="s">
        <v>1168</v>
      </c>
      <c r="AN145" s="1">
        <v>0</v>
      </c>
      <c r="AP145" s="1" t="s">
        <v>669</v>
      </c>
      <c r="AQ145" s="1" t="s">
        <v>819</v>
      </c>
      <c r="AR145" s="1">
        <v>1</v>
      </c>
      <c r="AS145" s="1">
        <v>1</v>
      </c>
      <c r="AT145" s="1" t="s">
        <v>671</v>
      </c>
      <c r="AU145" s="1" t="s">
        <v>731</v>
      </c>
      <c r="AV145" s="1">
        <v>1</v>
      </c>
      <c r="AW145" s="1">
        <v>1</v>
      </c>
      <c r="AX145" s="1" t="s">
        <v>4</v>
      </c>
      <c r="AY145" s="1" t="s">
        <v>14</v>
      </c>
      <c r="AZ145" s="1">
        <v>1</v>
      </c>
      <c r="BA145" s="1">
        <v>1</v>
      </c>
      <c r="BB145" s="1" t="s">
        <v>1164</v>
      </c>
      <c r="BC145" s="1">
        <v>0</v>
      </c>
      <c r="BF145" s="1">
        <v>226</v>
      </c>
      <c r="BG145" s="1">
        <v>92</v>
      </c>
      <c r="BH145" s="1">
        <v>217</v>
      </c>
      <c r="BM145" s="1" t="s">
        <v>1165</v>
      </c>
      <c r="BQ145" s="1" t="s">
        <v>678</v>
      </c>
      <c r="BR145" s="1" t="s">
        <v>679</v>
      </c>
      <c r="BS145" s="1" t="s">
        <v>678</v>
      </c>
      <c r="BT145" s="1" t="s">
        <v>679</v>
      </c>
      <c r="BU145" s="1" t="s">
        <v>679</v>
      </c>
    </row>
    <row r="146" spans="1:73" ht="216" x14ac:dyDescent="0.3">
      <c r="A146" s="1">
        <v>1275</v>
      </c>
      <c r="B146" s="1" t="s">
        <v>661</v>
      </c>
      <c r="C146" s="1" t="s">
        <v>187</v>
      </c>
      <c r="E146" s="1" t="s">
        <v>1169</v>
      </c>
      <c r="F146" s="1">
        <v>1</v>
      </c>
      <c r="G146" s="1">
        <v>0</v>
      </c>
      <c r="H146" s="1" t="s">
        <v>662</v>
      </c>
      <c r="I146" s="1" t="s">
        <v>1167</v>
      </c>
      <c r="J146" s="1" t="s">
        <v>1160</v>
      </c>
      <c r="M146" s="1" t="s">
        <v>665</v>
      </c>
      <c r="O146" s="1">
        <v>1</v>
      </c>
      <c r="R146" s="1">
        <v>0</v>
      </c>
      <c r="S146" s="1">
        <v>0</v>
      </c>
      <c r="X146" s="1">
        <v>1</v>
      </c>
      <c r="AA146" s="1">
        <v>8.99</v>
      </c>
      <c r="AB146" s="1" t="s">
        <v>1161</v>
      </c>
      <c r="AC146" s="1" t="s">
        <v>1162</v>
      </c>
      <c r="AE146" s="1" t="s">
        <v>1170</v>
      </c>
      <c r="AN146" s="1">
        <v>0</v>
      </c>
      <c r="AP146" s="1" t="s">
        <v>669</v>
      </c>
      <c r="AQ146" s="1" t="s">
        <v>819</v>
      </c>
      <c r="AR146" s="1">
        <v>1</v>
      </c>
      <c r="AS146" s="1">
        <v>1</v>
      </c>
      <c r="AT146" s="1" t="s">
        <v>671</v>
      </c>
      <c r="AU146" s="1" t="s">
        <v>696</v>
      </c>
      <c r="AV146" s="1">
        <v>1</v>
      </c>
      <c r="AW146" s="1">
        <v>1</v>
      </c>
      <c r="AX146" s="1" t="s">
        <v>4</v>
      </c>
      <c r="AY146" s="1" t="s">
        <v>14</v>
      </c>
      <c r="AZ146" s="1">
        <v>1</v>
      </c>
      <c r="BA146" s="1">
        <v>1</v>
      </c>
      <c r="BB146" s="1" t="s">
        <v>1164</v>
      </c>
      <c r="BC146" s="1">
        <v>0</v>
      </c>
      <c r="BF146" s="1">
        <v>233</v>
      </c>
      <c r="BG146" s="1">
        <v>96</v>
      </c>
      <c r="BH146" s="1">
        <v>221</v>
      </c>
      <c r="BM146" s="1" t="s">
        <v>1165</v>
      </c>
      <c r="BQ146" s="1" t="s">
        <v>678</v>
      </c>
      <c r="BR146" s="1" t="s">
        <v>679</v>
      </c>
      <c r="BS146" s="1" t="s">
        <v>678</v>
      </c>
      <c r="BT146" s="1" t="s">
        <v>679</v>
      </c>
      <c r="BU146" s="1" t="s">
        <v>679</v>
      </c>
    </row>
    <row r="147" spans="1:73" ht="216" x14ac:dyDescent="0.3">
      <c r="A147" s="1">
        <v>1276</v>
      </c>
      <c r="B147" s="1" t="s">
        <v>661</v>
      </c>
      <c r="C147" s="1" t="s">
        <v>188</v>
      </c>
      <c r="E147" s="1" t="s">
        <v>1171</v>
      </c>
      <c r="F147" s="1">
        <v>1</v>
      </c>
      <c r="G147" s="1">
        <v>0</v>
      </c>
      <c r="H147" s="1" t="s">
        <v>662</v>
      </c>
      <c r="I147" s="1" t="s">
        <v>1172</v>
      </c>
      <c r="J147" s="1" t="s">
        <v>1173</v>
      </c>
      <c r="M147" s="1" t="s">
        <v>665</v>
      </c>
      <c r="O147" s="1">
        <v>1</v>
      </c>
      <c r="R147" s="1">
        <v>0</v>
      </c>
      <c r="S147" s="1">
        <v>0</v>
      </c>
      <c r="X147" s="1">
        <v>1</v>
      </c>
      <c r="AA147" s="1">
        <v>7.5</v>
      </c>
      <c r="AB147" s="1" t="s">
        <v>1174</v>
      </c>
      <c r="AC147" s="1" t="s">
        <v>1175</v>
      </c>
      <c r="AE147" s="1" t="s">
        <v>1176</v>
      </c>
      <c r="AN147" s="1">
        <v>0</v>
      </c>
      <c r="AP147" s="1" t="s">
        <v>669</v>
      </c>
      <c r="AQ147" s="1" t="s">
        <v>835</v>
      </c>
      <c r="AR147" s="1">
        <v>1</v>
      </c>
      <c r="AS147" s="1">
        <v>1</v>
      </c>
      <c r="AT147" s="1" t="s">
        <v>671</v>
      </c>
      <c r="AU147" s="1" t="s">
        <v>672</v>
      </c>
      <c r="AV147" s="1">
        <v>1</v>
      </c>
      <c r="AW147" s="1">
        <v>1</v>
      </c>
      <c r="AX147" s="1" t="s">
        <v>4</v>
      </c>
      <c r="AY147" s="1" t="s">
        <v>14</v>
      </c>
      <c r="AZ147" s="1">
        <v>1</v>
      </c>
      <c r="BA147" s="1">
        <v>1</v>
      </c>
      <c r="BB147" s="1" t="s">
        <v>1177</v>
      </c>
      <c r="BC147" s="1">
        <v>0</v>
      </c>
      <c r="BF147" s="1">
        <v>229</v>
      </c>
      <c r="BG147" s="1">
        <v>95</v>
      </c>
      <c r="BH147" s="1">
        <v>218</v>
      </c>
      <c r="BM147" s="1" t="s">
        <v>1178</v>
      </c>
      <c r="BQ147" s="1" t="s">
        <v>678</v>
      </c>
      <c r="BR147" s="1" t="s">
        <v>679</v>
      </c>
      <c r="BS147" s="1" t="s">
        <v>678</v>
      </c>
      <c r="BT147" s="1" t="s">
        <v>679</v>
      </c>
      <c r="BU147" s="1" t="s">
        <v>679</v>
      </c>
    </row>
    <row r="148" spans="1:73" ht="216" x14ac:dyDescent="0.3">
      <c r="A148" s="1">
        <v>1277</v>
      </c>
      <c r="B148" s="1" t="s">
        <v>661</v>
      </c>
      <c r="C148" s="1" t="s">
        <v>191</v>
      </c>
      <c r="E148" s="1" t="s">
        <v>1179</v>
      </c>
      <c r="F148" s="1">
        <v>1</v>
      </c>
      <c r="G148" s="1">
        <v>0</v>
      </c>
      <c r="H148" s="1" t="s">
        <v>662</v>
      </c>
      <c r="I148" s="1" t="s">
        <v>1173</v>
      </c>
      <c r="J148" s="1" t="s">
        <v>1180</v>
      </c>
      <c r="M148" s="1" t="s">
        <v>665</v>
      </c>
      <c r="O148" s="1">
        <v>1</v>
      </c>
      <c r="R148" s="1">
        <v>0</v>
      </c>
      <c r="S148" s="1">
        <v>0</v>
      </c>
      <c r="X148" s="1">
        <v>1</v>
      </c>
      <c r="AA148" s="1">
        <v>7.5</v>
      </c>
      <c r="AB148" s="1" t="s">
        <v>1174</v>
      </c>
      <c r="AC148" s="1" t="s">
        <v>1175</v>
      </c>
      <c r="AE148" s="1" t="s">
        <v>1181</v>
      </c>
      <c r="AN148" s="1">
        <v>0</v>
      </c>
      <c r="AP148" s="1" t="s">
        <v>669</v>
      </c>
      <c r="AQ148" s="1" t="s">
        <v>835</v>
      </c>
      <c r="AR148" s="1">
        <v>1</v>
      </c>
      <c r="AS148" s="1">
        <v>1</v>
      </c>
      <c r="AT148" s="1" t="s">
        <v>671</v>
      </c>
      <c r="AU148" s="1" t="s">
        <v>728</v>
      </c>
      <c r="AV148" s="1">
        <v>1</v>
      </c>
      <c r="AW148" s="1">
        <v>1</v>
      </c>
      <c r="AX148" s="1" t="s">
        <v>4</v>
      </c>
      <c r="AY148" s="1" t="s">
        <v>14</v>
      </c>
      <c r="AZ148" s="1">
        <v>1</v>
      </c>
      <c r="BA148" s="1">
        <v>1</v>
      </c>
      <c r="BB148" s="1" t="s">
        <v>1182</v>
      </c>
      <c r="BC148" s="1">
        <v>0</v>
      </c>
      <c r="BF148" s="1">
        <v>221</v>
      </c>
      <c r="BG148" s="1">
        <v>86</v>
      </c>
      <c r="BH148" s="1">
        <v>213</v>
      </c>
      <c r="BM148" s="1" t="s">
        <v>1178</v>
      </c>
      <c r="BQ148" s="1" t="s">
        <v>678</v>
      </c>
      <c r="BR148" s="1" t="s">
        <v>679</v>
      </c>
      <c r="BS148" s="1" t="s">
        <v>678</v>
      </c>
      <c r="BT148" s="1" t="s">
        <v>679</v>
      </c>
      <c r="BU148" s="1" t="s">
        <v>679</v>
      </c>
    </row>
    <row r="149" spans="1:73" ht="216" x14ac:dyDescent="0.3">
      <c r="A149" s="1">
        <v>1281</v>
      </c>
      <c r="B149" s="1" t="s">
        <v>661</v>
      </c>
      <c r="C149" s="1" t="s">
        <v>192</v>
      </c>
      <c r="E149" s="1" t="s">
        <v>1183</v>
      </c>
      <c r="F149" s="1">
        <v>1</v>
      </c>
      <c r="G149" s="1">
        <v>0</v>
      </c>
      <c r="H149" s="1" t="s">
        <v>662</v>
      </c>
      <c r="I149" s="1" t="s">
        <v>1173</v>
      </c>
      <c r="J149" s="1" t="s">
        <v>1160</v>
      </c>
      <c r="M149" s="1" t="s">
        <v>665</v>
      </c>
      <c r="O149" s="1">
        <v>1</v>
      </c>
      <c r="R149" s="1">
        <v>0</v>
      </c>
      <c r="S149" s="1">
        <v>0</v>
      </c>
      <c r="X149" s="1">
        <v>1</v>
      </c>
      <c r="AA149" s="1">
        <v>7.5</v>
      </c>
      <c r="AB149" s="1" t="s">
        <v>1174</v>
      </c>
      <c r="AC149" s="1" t="s">
        <v>1175</v>
      </c>
      <c r="AE149" s="1" t="s">
        <v>1184</v>
      </c>
      <c r="AN149" s="1">
        <v>0</v>
      </c>
      <c r="AP149" s="1" t="s">
        <v>669</v>
      </c>
      <c r="AQ149" s="1" t="s">
        <v>835</v>
      </c>
      <c r="AR149" s="1">
        <v>1</v>
      </c>
      <c r="AS149" s="1">
        <v>1</v>
      </c>
      <c r="AT149" s="1" t="s">
        <v>671</v>
      </c>
      <c r="AU149" s="1" t="s">
        <v>728</v>
      </c>
      <c r="AV149" s="1">
        <v>1</v>
      </c>
      <c r="AW149" s="1">
        <v>1</v>
      </c>
      <c r="AX149" s="1" t="s">
        <v>4</v>
      </c>
      <c r="AY149" s="1" t="s">
        <v>14</v>
      </c>
      <c r="AZ149" s="1">
        <v>1</v>
      </c>
      <c r="BA149" s="1">
        <v>1</v>
      </c>
      <c r="BB149" s="1" t="s">
        <v>1182</v>
      </c>
      <c r="BC149" s="1">
        <v>0</v>
      </c>
      <c r="BF149" s="1">
        <v>225</v>
      </c>
      <c r="BG149" s="1">
        <v>91</v>
      </c>
      <c r="BH149" s="1">
        <v>215</v>
      </c>
      <c r="BM149" s="1" t="s">
        <v>1178</v>
      </c>
      <c r="BQ149" s="1" t="s">
        <v>678</v>
      </c>
      <c r="BR149" s="1" t="s">
        <v>679</v>
      </c>
      <c r="BS149" s="1" t="s">
        <v>678</v>
      </c>
      <c r="BT149" s="1" t="s">
        <v>679</v>
      </c>
      <c r="BU149" s="1" t="s">
        <v>679</v>
      </c>
    </row>
    <row r="150" spans="1:73" ht="216" x14ac:dyDescent="0.3">
      <c r="A150" s="1">
        <v>1283</v>
      </c>
      <c r="B150" s="1" t="s">
        <v>661</v>
      </c>
      <c r="C150" s="1" t="s">
        <v>193</v>
      </c>
      <c r="E150" s="1" t="s">
        <v>1185</v>
      </c>
      <c r="F150" s="1">
        <v>1</v>
      </c>
      <c r="G150" s="1">
        <v>0</v>
      </c>
      <c r="H150" s="1" t="s">
        <v>662</v>
      </c>
      <c r="I150" s="1" t="s">
        <v>1173</v>
      </c>
      <c r="J150" s="1" t="s">
        <v>1180</v>
      </c>
      <c r="M150" s="1" t="s">
        <v>665</v>
      </c>
      <c r="O150" s="1">
        <v>1</v>
      </c>
      <c r="R150" s="1">
        <v>0</v>
      </c>
      <c r="S150" s="1">
        <v>0</v>
      </c>
      <c r="X150" s="1">
        <v>1</v>
      </c>
      <c r="AA150" s="1">
        <v>7.5</v>
      </c>
      <c r="AB150" s="1" t="s">
        <v>1174</v>
      </c>
      <c r="AC150" s="1" t="s">
        <v>1175</v>
      </c>
      <c r="AE150" s="1" t="s">
        <v>1186</v>
      </c>
      <c r="AN150" s="1">
        <v>0</v>
      </c>
      <c r="AP150" s="1" t="s">
        <v>669</v>
      </c>
      <c r="AQ150" s="1" t="s">
        <v>835</v>
      </c>
      <c r="AR150" s="1">
        <v>1</v>
      </c>
      <c r="AS150" s="1">
        <v>1</v>
      </c>
      <c r="AT150" s="1" t="s">
        <v>671</v>
      </c>
      <c r="AU150" s="1" t="s">
        <v>696</v>
      </c>
      <c r="AV150" s="1">
        <v>1</v>
      </c>
      <c r="AW150" s="1">
        <v>1</v>
      </c>
      <c r="AX150" s="1" t="s">
        <v>4</v>
      </c>
      <c r="AY150" s="1" t="s">
        <v>14</v>
      </c>
      <c r="AZ150" s="1">
        <v>1</v>
      </c>
      <c r="BA150" s="1">
        <v>1</v>
      </c>
      <c r="BB150" s="1" t="s">
        <v>1182</v>
      </c>
      <c r="BC150" s="1">
        <v>0</v>
      </c>
      <c r="BF150" s="1">
        <v>230</v>
      </c>
      <c r="BG150" s="1">
        <v>96</v>
      </c>
      <c r="BH150" s="1">
        <v>218</v>
      </c>
      <c r="BM150" s="1" t="s">
        <v>1178</v>
      </c>
      <c r="BQ150" s="1" t="s">
        <v>678</v>
      </c>
      <c r="BR150" s="1" t="s">
        <v>679</v>
      </c>
      <c r="BS150" s="1" t="s">
        <v>678</v>
      </c>
      <c r="BT150" s="1" t="s">
        <v>679</v>
      </c>
      <c r="BU150" s="1" t="s">
        <v>679</v>
      </c>
    </row>
    <row r="151" spans="1:73" ht="216" x14ac:dyDescent="0.3">
      <c r="A151" s="1">
        <v>1284</v>
      </c>
      <c r="B151" s="1" t="s">
        <v>661</v>
      </c>
      <c r="C151" s="1" t="s">
        <v>194</v>
      </c>
      <c r="E151" s="1" t="s">
        <v>1187</v>
      </c>
      <c r="F151" s="1">
        <v>1</v>
      </c>
      <c r="G151" s="1">
        <v>0</v>
      </c>
      <c r="H151" s="1" t="s">
        <v>662</v>
      </c>
      <c r="I151" s="1" t="s">
        <v>1188</v>
      </c>
      <c r="J151" s="1" t="s">
        <v>1180</v>
      </c>
      <c r="M151" s="1" t="s">
        <v>665</v>
      </c>
      <c r="O151" s="1">
        <v>1</v>
      </c>
      <c r="R151" s="1">
        <v>0</v>
      </c>
      <c r="S151" s="1">
        <v>0</v>
      </c>
      <c r="X151" s="1">
        <v>1</v>
      </c>
      <c r="AA151" s="1">
        <v>7.5</v>
      </c>
      <c r="AB151" s="1" t="s">
        <v>1174</v>
      </c>
      <c r="AC151" s="1" t="s">
        <v>1175</v>
      </c>
      <c r="AE151" s="1" t="s">
        <v>1189</v>
      </c>
      <c r="AN151" s="1">
        <v>0</v>
      </c>
      <c r="AP151" s="1" t="s">
        <v>669</v>
      </c>
      <c r="AQ151" s="1" t="s">
        <v>835</v>
      </c>
      <c r="AR151" s="1">
        <v>1</v>
      </c>
      <c r="AS151" s="1">
        <v>1</v>
      </c>
      <c r="AT151" s="1" t="s">
        <v>671</v>
      </c>
      <c r="AU151" s="1" t="s">
        <v>789</v>
      </c>
      <c r="AV151" s="1">
        <v>1</v>
      </c>
      <c r="AW151" s="1">
        <v>1</v>
      </c>
      <c r="AX151" s="1" t="s">
        <v>4</v>
      </c>
      <c r="AY151" s="1" t="s">
        <v>14</v>
      </c>
      <c r="AZ151" s="1">
        <v>1</v>
      </c>
      <c r="BA151" s="1">
        <v>1</v>
      </c>
      <c r="BB151" s="1" t="s">
        <v>1182</v>
      </c>
      <c r="BC151" s="1">
        <v>0</v>
      </c>
      <c r="BF151" s="1">
        <v>235</v>
      </c>
      <c r="BG151" s="1">
        <v>100</v>
      </c>
      <c r="BH151" s="1">
        <v>226</v>
      </c>
      <c r="BM151" s="1" t="s">
        <v>1178</v>
      </c>
      <c r="BQ151" s="1" t="s">
        <v>678</v>
      </c>
      <c r="BR151" s="1" t="s">
        <v>679</v>
      </c>
      <c r="BS151" s="1" t="s">
        <v>678</v>
      </c>
      <c r="BT151" s="1" t="s">
        <v>679</v>
      </c>
      <c r="BU151" s="1" t="s">
        <v>679</v>
      </c>
    </row>
    <row r="152" spans="1:73" ht="216" x14ac:dyDescent="0.3">
      <c r="A152" s="1">
        <v>1285</v>
      </c>
      <c r="B152" s="1" t="s">
        <v>661</v>
      </c>
      <c r="C152" s="1" t="s">
        <v>195</v>
      </c>
      <c r="E152" s="1" t="s">
        <v>1190</v>
      </c>
      <c r="F152" s="1">
        <v>1</v>
      </c>
      <c r="G152" s="1">
        <v>0</v>
      </c>
      <c r="H152" s="1" t="s">
        <v>662</v>
      </c>
      <c r="I152" s="1" t="s">
        <v>1167</v>
      </c>
      <c r="J152" s="1" t="s">
        <v>1180</v>
      </c>
      <c r="M152" s="1" t="s">
        <v>665</v>
      </c>
      <c r="O152" s="1">
        <v>1</v>
      </c>
      <c r="R152" s="1">
        <v>0</v>
      </c>
      <c r="S152" s="1">
        <v>0</v>
      </c>
      <c r="X152" s="1">
        <v>1</v>
      </c>
      <c r="AA152" s="1">
        <v>7.5</v>
      </c>
      <c r="AB152" s="1" t="s">
        <v>1174</v>
      </c>
      <c r="AC152" s="1" t="s">
        <v>1175</v>
      </c>
      <c r="AE152" s="1" t="s">
        <v>1191</v>
      </c>
      <c r="AN152" s="1">
        <v>0</v>
      </c>
      <c r="AP152" s="1" t="s">
        <v>669</v>
      </c>
      <c r="AQ152" s="1" t="s">
        <v>835</v>
      </c>
      <c r="AR152" s="1">
        <v>1</v>
      </c>
      <c r="AS152" s="1">
        <v>1</v>
      </c>
      <c r="AT152" s="1" t="s">
        <v>671</v>
      </c>
      <c r="AU152" s="1" t="s">
        <v>792</v>
      </c>
      <c r="AV152" s="1">
        <v>1</v>
      </c>
      <c r="AW152" s="1">
        <v>1</v>
      </c>
      <c r="AX152" s="1" t="s">
        <v>4</v>
      </c>
      <c r="AY152" s="1" t="s">
        <v>14</v>
      </c>
      <c r="AZ152" s="1">
        <v>1</v>
      </c>
      <c r="BA152" s="1">
        <v>1</v>
      </c>
      <c r="BB152" s="1" t="s">
        <v>1182</v>
      </c>
      <c r="BC152" s="1">
        <v>0</v>
      </c>
      <c r="BF152" s="1">
        <v>437</v>
      </c>
      <c r="BG152" s="1">
        <v>166</v>
      </c>
      <c r="BH152" s="1">
        <v>425</v>
      </c>
      <c r="BM152" s="1" t="s">
        <v>1178</v>
      </c>
      <c r="BQ152" s="1" t="s">
        <v>678</v>
      </c>
      <c r="BR152" s="1" t="s">
        <v>679</v>
      </c>
      <c r="BS152" s="1" t="s">
        <v>678</v>
      </c>
      <c r="BT152" s="1" t="s">
        <v>679</v>
      </c>
      <c r="BU152" s="1" t="s">
        <v>679</v>
      </c>
    </row>
    <row r="153" spans="1:73" ht="216" x14ac:dyDescent="0.3">
      <c r="A153" s="1">
        <v>1286</v>
      </c>
      <c r="B153" s="1" t="s">
        <v>661</v>
      </c>
      <c r="C153" s="1" t="s">
        <v>196</v>
      </c>
      <c r="E153" s="1" t="s">
        <v>1192</v>
      </c>
      <c r="F153" s="1">
        <v>1</v>
      </c>
      <c r="G153" s="1">
        <v>0</v>
      </c>
      <c r="H153" s="1" t="s">
        <v>662</v>
      </c>
      <c r="I153" s="1" t="s">
        <v>1167</v>
      </c>
      <c r="J153" s="1" t="s">
        <v>1180</v>
      </c>
      <c r="M153" s="1" t="s">
        <v>665</v>
      </c>
      <c r="O153" s="1">
        <v>1</v>
      </c>
      <c r="R153" s="1">
        <v>0</v>
      </c>
      <c r="S153" s="1">
        <v>0</v>
      </c>
      <c r="X153" s="1">
        <v>1</v>
      </c>
      <c r="AA153" s="1">
        <v>7.5</v>
      </c>
      <c r="AB153" s="1" t="s">
        <v>1174</v>
      </c>
      <c r="AC153" s="1" t="s">
        <v>1175</v>
      </c>
      <c r="AE153" s="1" t="s">
        <v>1193</v>
      </c>
      <c r="AN153" s="1">
        <v>0</v>
      </c>
      <c r="AP153" s="1" t="s">
        <v>669</v>
      </c>
      <c r="AQ153" s="1" t="s">
        <v>835</v>
      </c>
      <c r="AR153" s="1">
        <v>1</v>
      </c>
      <c r="AS153" s="1">
        <v>1</v>
      </c>
      <c r="AT153" s="1" t="s">
        <v>4</v>
      </c>
      <c r="AU153" s="1" t="s">
        <v>14</v>
      </c>
      <c r="AV153" s="1">
        <v>1</v>
      </c>
      <c r="AW153" s="1">
        <v>1</v>
      </c>
      <c r="AX153" s="1" t="s">
        <v>671</v>
      </c>
      <c r="AY153" s="1" t="s">
        <v>728</v>
      </c>
      <c r="AZ153" s="1">
        <v>1</v>
      </c>
      <c r="BA153" s="1">
        <v>1</v>
      </c>
      <c r="BB153" s="1" t="s">
        <v>1182</v>
      </c>
      <c r="BC153" s="1">
        <v>0</v>
      </c>
      <c r="BF153" s="1">
        <v>229</v>
      </c>
      <c r="BG153" s="1">
        <v>95</v>
      </c>
      <c r="BH153" s="1">
        <v>219</v>
      </c>
      <c r="BM153" s="1" t="s">
        <v>1178</v>
      </c>
      <c r="BQ153" s="1" t="s">
        <v>678</v>
      </c>
      <c r="BR153" s="1" t="s">
        <v>679</v>
      </c>
      <c r="BS153" s="1" t="s">
        <v>678</v>
      </c>
      <c r="BT153" s="1" t="s">
        <v>679</v>
      </c>
      <c r="BU153" s="1" t="s">
        <v>679</v>
      </c>
    </row>
    <row r="154" spans="1:73" ht="216" x14ac:dyDescent="0.3">
      <c r="A154" s="1">
        <v>1287</v>
      </c>
      <c r="B154" s="1" t="s">
        <v>661</v>
      </c>
      <c r="C154" s="1" t="s">
        <v>197</v>
      </c>
      <c r="E154" s="1" t="s">
        <v>1194</v>
      </c>
      <c r="F154" s="1">
        <v>1</v>
      </c>
      <c r="G154" s="1">
        <v>0</v>
      </c>
      <c r="H154" s="1" t="s">
        <v>662</v>
      </c>
      <c r="I154" s="1" t="s">
        <v>1167</v>
      </c>
      <c r="J154" s="1" t="s">
        <v>1180</v>
      </c>
      <c r="M154" s="1" t="s">
        <v>665</v>
      </c>
      <c r="O154" s="1">
        <v>1</v>
      </c>
      <c r="R154" s="1">
        <v>0</v>
      </c>
      <c r="S154" s="1">
        <v>0</v>
      </c>
      <c r="X154" s="1">
        <v>1</v>
      </c>
      <c r="AA154" s="1">
        <v>7.5</v>
      </c>
      <c r="AB154" s="1" t="s">
        <v>1174</v>
      </c>
      <c r="AC154" s="1" t="s">
        <v>1175</v>
      </c>
      <c r="AE154" s="1" t="s">
        <v>1195</v>
      </c>
      <c r="AN154" s="1">
        <v>0</v>
      </c>
      <c r="AP154" s="1" t="s">
        <v>669</v>
      </c>
      <c r="AQ154" s="1" t="s">
        <v>835</v>
      </c>
      <c r="AR154" s="1">
        <v>1</v>
      </c>
      <c r="AS154" s="1">
        <v>1</v>
      </c>
      <c r="AT154" s="1" t="s">
        <v>4</v>
      </c>
      <c r="AU154" s="1" t="s">
        <v>14</v>
      </c>
      <c r="AV154" s="1">
        <v>1</v>
      </c>
      <c r="AW154" s="1">
        <v>1</v>
      </c>
      <c r="AX154" s="1" t="s">
        <v>671</v>
      </c>
      <c r="AY154" s="1" t="s">
        <v>87</v>
      </c>
      <c r="AZ154" s="1">
        <v>1</v>
      </c>
      <c r="BA154" s="1">
        <v>1</v>
      </c>
      <c r="BB154" s="1" t="s">
        <v>1182</v>
      </c>
      <c r="BC154" s="1">
        <v>0</v>
      </c>
      <c r="BF154" s="1">
        <v>226</v>
      </c>
      <c r="BG154" s="1">
        <v>92</v>
      </c>
      <c r="BH154" s="1">
        <v>215</v>
      </c>
      <c r="BM154" s="1" t="s">
        <v>1178</v>
      </c>
      <c r="BQ154" s="1" t="s">
        <v>678</v>
      </c>
      <c r="BR154" s="1" t="s">
        <v>679</v>
      </c>
      <c r="BS154" s="1" t="s">
        <v>678</v>
      </c>
      <c r="BT154" s="1" t="s">
        <v>679</v>
      </c>
      <c r="BU154" s="1" t="s">
        <v>679</v>
      </c>
    </row>
    <row r="155" spans="1:73" ht="216" x14ac:dyDescent="0.3">
      <c r="A155" s="1">
        <v>1288</v>
      </c>
      <c r="B155" s="1" t="s">
        <v>661</v>
      </c>
      <c r="C155" s="1" t="s">
        <v>198</v>
      </c>
      <c r="E155" s="1" t="s">
        <v>1196</v>
      </c>
      <c r="F155" s="1">
        <v>1</v>
      </c>
      <c r="G155" s="1">
        <v>0</v>
      </c>
      <c r="H155" s="1" t="s">
        <v>662</v>
      </c>
      <c r="I155" s="1" t="s">
        <v>1197</v>
      </c>
      <c r="J155" s="1" t="s">
        <v>1198</v>
      </c>
      <c r="M155" s="1" t="s">
        <v>665</v>
      </c>
      <c r="O155" s="1">
        <v>1</v>
      </c>
      <c r="R155" s="1">
        <v>0</v>
      </c>
      <c r="S155" s="1">
        <v>0</v>
      </c>
      <c r="X155" s="1">
        <v>1</v>
      </c>
      <c r="AA155" s="1">
        <v>7.5</v>
      </c>
      <c r="AB155" s="1" t="s">
        <v>1199</v>
      </c>
      <c r="AC155" s="1" t="s">
        <v>1200</v>
      </c>
      <c r="AE155" s="1" t="s">
        <v>1201</v>
      </c>
      <c r="AN155" s="1">
        <v>0</v>
      </c>
      <c r="AP155" s="1" t="s">
        <v>669</v>
      </c>
      <c r="AQ155" s="1" t="s">
        <v>869</v>
      </c>
      <c r="AR155" s="1">
        <v>1</v>
      </c>
      <c r="AS155" s="1">
        <v>1</v>
      </c>
      <c r="AT155" s="1" t="s">
        <v>671</v>
      </c>
      <c r="AU155" s="1" t="s">
        <v>672</v>
      </c>
      <c r="AV155" s="1">
        <v>1</v>
      </c>
      <c r="AW155" s="1">
        <v>1</v>
      </c>
      <c r="AX155" s="1" t="s">
        <v>4</v>
      </c>
      <c r="AY155" s="1" t="s">
        <v>14</v>
      </c>
      <c r="AZ155" s="1">
        <v>1</v>
      </c>
      <c r="BA155" s="1">
        <v>1</v>
      </c>
      <c r="BB155" s="1" t="s">
        <v>1202</v>
      </c>
      <c r="BC155" s="1">
        <v>0</v>
      </c>
      <c r="BF155" s="1">
        <v>238</v>
      </c>
      <c r="BG155" s="1">
        <v>101</v>
      </c>
      <c r="BH155" s="1">
        <v>225</v>
      </c>
      <c r="BM155" s="1" t="s">
        <v>1178</v>
      </c>
      <c r="BQ155" s="1" t="s">
        <v>678</v>
      </c>
      <c r="BR155" s="1" t="s">
        <v>679</v>
      </c>
      <c r="BS155" s="1" t="s">
        <v>678</v>
      </c>
      <c r="BT155" s="1" t="s">
        <v>679</v>
      </c>
      <c r="BU155" s="1" t="s">
        <v>679</v>
      </c>
    </row>
    <row r="156" spans="1:73" ht="216" x14ac:dyDescent="0.3">
      <c r="A156" s="1">
        <v>1293</v>
      </c>
      <c r="B156" s="1" t="s">
        <v>661</v>
      </c>
      <c r="C156" s="1" t="s">
        <v>199</v>
      </c>
      <c r="E156" s="1" t="s">
        <v>1203</v>
      </c>
      <c r="F156" s="1">
        <v>1</v>
      </c>
      <c r="G156" s="1">
        <v>0</v>
      </c>
      <c r="H156" s="1" t="s">
        <v>662</v>
      </c>
      <c r="I156" s="1" t="s">
        <v>1204</v>
      </c>
      <c r="J156" s="1" t="s">
        <v>1198</v>
      </c>
      <c r="M156" s="1" t="s">
        <v>665</v>
      </c>
      <c r="O156" s="1">
        <v>1</v>
      </c>
      <c r="R156" s="1">
        <v>0</v>
      </c>
      <c r="S156" s="1">
        <v>0</v>
      </c>
      <c r="X156" s="1">
        <v>1</v>
      </c>
      <c r="AA156" s="1">
        <v>7.5</v>
      </c>
      <c r="AB156" s="1" t="s">
        <v>1199</v>
      </c>
      <c r="AC156" s="1" t="s">
        <v>1200</v>
      </c>
      <c r="AE156" s="1" t="s">
        <v>1205</v>
      </c>
      <c r="AN156" s="1">
        <v>0</v>
      </c>
      <c r="AP156" s="1" t="s">
        <v>669</v>
      </c>
      <c r="AQ156" s="1" t="s">
        <v>869</v>
      </c>
      <c r="AR156" s="1">
        <v>1</v>
      </c>
      <c r="AS156" s="1">
        <v>1</v>
      </c>
      <c r="AT156" s="1" t="s">
        <v>671</v>
      </c>
      <c r="AU156" s="1" t="s">
        <v>728</v>
      </c>
      <c r="AV156" s="1">
        <v>1</v>
      </c>
      <c r="AW156" s="1">
        <v>1</v>
      </c>
      <c r="AX156" s="1" t="s">
        <v>4</v>
      </c>
      <c r="AY156" s="1" t="s">
        <v>14</v>
      </c>
      <c r="AZ156" s="1">
        <v>1</v>
      </c>
      <c r="BA156" s="1">
        <v>1</v>
      </c>
      <c r="BB156" s="1" t="s">
        <v>1206</v>
      </c>
      <c r="BC156" s="1">
        <v>0</v>
      </c>
      <c r="BF156" s="1">
        <v>219</v>
      </c>
      <c r="BG156" s="1">
        <v>85</v>
      </c>
      <c r="BH156" s="1">
        <v>211</v>
      </c>
      <c r="BM156" s="1" t="s">
        <v>1178</v>
      </c>
      <c r="BQ156" s="1" t="s">
        <v>678</v>
      </c>
      <c r="BR156" s="1" t="s">
        <v>679</v>
      </c>
      <c r="BS156" s="1" t="s">
        <v>678</v>
      </c>
      <c r="BT156" s="1" t="s">
        <v>679</v>
      </c>
      <c r="BU156" s="1" t="s">
        <v>679</v>
      </c>
    </row>
    <row r="157" spans="1:73" ht="216" x14ac:dyDescent="0.3">
      <c r="A157" s="1">
        <v>1294</v>
      </c>
      <c r="B157" s="1" t="s">
        <v>661</v>
      </c>
      <c r="C157" s="1" t="s">
        <v>200</v>
      </c>
      <c r="E157" s="1" t="s">
        <v>1207</v>
      </c>
      <c r="F157" s="1">
        <v>1</v>
      </c>
      <c r="G157" s="1">
        <v>0</v>
      </c>
      <c r="H157" s="1" t="s">
        <v>662</v>
      </c>
      <c r="I157" s="1" t="s">
        <v>1197</v>
      </c>
      <c r="J157" s="1" t="s">
        <v>1198</v>
      </c>
      <c r="M157" s="1" t="s">
        <v>665</v>
      </c>
      <c r="O157" s="1">
        <v>1</v>
      </c>
      <c r="R157" s="1">
        <v>0</v>
      </c>
      <c r="S157" s="1">
        <v>0</v>
      </c>
      <c r="X157" s="1">
        <v>1</v>
      </c>
      <c r="AA157" s="1">
        <v>7.5</v>
      </c>
      <c r="AB157" s="1" t="s">
        <v>1199</v>
      </c>
      <c r="AC157" s="1" t="s">
        <v>1200</v>
      </c>
      <c r="AE157" s="1" t="s">
        <v>1208</v>
      </c>
      <c r="AN157" s="1">
        <v>0</v>
      </c>
      <c r="AP157" s="1" t="s">
        <v>669</v>
      </c>
      <c r="AQ157" s="1" t="s">
        <v>869</v>
      </c>
      <c r="AR157" s="1">
        <v>1</v>
      </c>
      <c r="AS157" s="1">
        <v>1</v>
      </c>
      <c r="AT157" s="1" t="s">
        <v>671</v>
      </c>
      <c r="AU157" s="1" t="s">
        <v>696</v>
      </c>
      <c r="AV157" s="1">
        <v>1</v>
      </c>
      <c r="AW157" s="1">
        <v>1</v>
      </c>
      <c r="AX157" s="1" t="s">
        <v>4</v>
      </c>
      <c r="AY157" s="1" t="s">
        <v>14</v>
      </c>
      <c r="AZ157" s="1">
        <v>1</v>
      </c>
      <c r="BA157" s="1">
        <v>1</v>
      </c>
      <c r="BB157" s="1" t="s">
        <v>1206</v>
      </c>
      <c r="BC157" s="1">
        <v>0</v>
      </c>
      <c r="BF157" s="1">
        <v>227</v>
      </c>
      <c r="BG157" s="1">
        <v>93</v>
      </c>
      <c r="BH157" s="1">
        <v>216</v>
      </c>
      <c r="BM157" s="1" t="s">
        <v>1178</v>
      </c>
      <c r="BQ157" s="1" t="s">
        <v>678</v>
      </c>
      <c r="BR157" s="1" t="s">
        <v>679</v>
      </c>
      <c r="BS157" s="1" t="s">
        <v>678</v>
      </c>
      <c r="BT157" s="1" t="s">
        <v>679</v>
      </c>
      <c r="BU157" s="1" t="s">
        <v>679</v>
      </c>
    </row>
    <row r="158" spans="1:73" ht="216" x14ac:dyDescent="0.3">
      <c r="A158" s="1">
        <v>1295</v>
      </c>
      <c r="B158" s="1" t="s">
        <v>661</v>
      </c>
      <c r="C158" s="1" t="s">
        <v>201</v>
      </c>
      <c r="E158" s="1" t="s">
        <v>1209</v>
      </c>
      <c r="F158" s="1">
        <v>1</v>
      </c>
      <c r="G158" s="1">
        <v>0</v>
      </c>
      <c r="H158" s="1" t="s">
        <v>662</v>
      </c>
      <c r="I158" s="1" t="s">
        <v>1197</v>
      </c>
      <c r="J158" s="1" t="s">
        <v>1198</v>
      </c>
      <c r="M158" s="1" t="s">
        <v>665</v>
      </c>
      <c r="O158" s="1">
        <v>1</v>
      </c>
      <c r="R158" s="1">
        <v>0</v>
      </c>
      <c r="S158" s="1">
        <v>0</v>
      </c>
      <c r="X158" s="1">
        <v>1</v>
      </c>
      <c r="AA158" s="1">
        <v>7.5</v>
      </c>
      <c r="AB158" s="1" t="s">
        <v>1199</v>
      </c>
      <c r="AC158" s="1" t="s">
        <v>1200</v>
      </c>
      <c r="AE158" s="1" t="s">
        <v>1210</v>
      </c>
      <c r="AN158" s="1">
        <v>0</v>
      </c>
      <c r="AP158" s="1" t="s">
        <v>669</v>
      </c>
      <c r="AQ158" s="1" t="s">
        <v>869</v>
      </c>
      <c r="AR158" s="1">
        <v>1</v>
      </c>
      <c r="AS158" s="1">
        <v>1</v>
      </c>
      <c r="AT158" s="1" t="s">
        <v>671</v>
      </c>
      <c r="AU158" s="1" t="s">
        <v>893</v>
      </c>
      <c r="AV158" s="1">
        <v>1</v>
      </c>
      <c r="AW158" s="1">
        <v>1</v>
      </c>
      <c r="AX158" s="1" t="s">
        <v>4</v>
      </c>
      <c r="AY158" s="1" t="s">
        <v>14</v>
      </c>
      <c r="AZ158" s="1">
        <v>1</v>
      </c>
      <c r="BA158" s="1">
        <v>1</v>
      </c>
      <c r="BB158" s="1" t="s">
        <v>1206</v>
      </c>
      <c r="BC158" s="1">
        <v>0</v>
      </c>
      <c r="BF158" s="1">
        <v>225</v>
      </c>
      <c r="BG158" s="1">
        <v>91</v>
      </c>
      <c r="BH158" s="1">
        <v>215</v>
      </c>
      <c r="BM158" s="1" t="s">
        <v>1178</v>
      </c>
      <c r="BQ158" s="1" t="s">
        <v>678</v>
      </c>
      <c r="BR158" s="1" t="s">
        <v>679</v>
      </c>
      <c r="BS158" s="1" t="s">
        <v>678</v>
      </c>
      <c r="BT158" s="1" t="s">
        <v>679</v>
      </c>
      <c r="BU158" s="1" t="s">
        <v>679</v>
      </c>
    </row>
    <row r="159" spans="1:73" ht="216" x14ac:dyDescent="0.3">
      <c r="A159" s="1">
        <v>1296</v>
      </c>
      <c r="B159" s="1" t="s">
        <v>661</v>
      </c>
      <c r="C159" s="1" t="s">
        <v>202</v>
      </c>
      <c r="E159" s="1" t="s">
        <v>1211</v>
      </c>
      <c r="F159" s="1">
        <v>1</v>
      </c>
      <c r="G159" s="1">
        <v>0</v>
      </c>
      <c r="H159" s="1" t="s">
        <v>662</v>
      </c>
      <c r="I159" s="1" t="s">
        <v>1197</v>
      </c>
      <c r="J159" s="1" t="s">
        <v>1198</v>
      </c>
      <c r="M159" s="1" t="s">
        <v>665</v>
      </c>
      <c r="O159" s="1">
        <v>1</v>
      </c>
      <c r="R159" s="1">
        <v>0</v>
      </c>
      <c r="S159" s="1">
        <v>0</v>
      </c>
      <c r="X159" s="1">
        <v>1</v>
      </c>
      <c r="AA159" s="1">
        <v>7.5</v>
      </c>
      <c r="AB159" s="1" t="s">
        <v>1199</v>
      </c>
      <c r="AC159" s="1" t="s">
        <v>1200</v>
      </c>
      <c r="AE159" s="1" t="s">
        <v>1212</v>
      </c>
      <c r="AN159" s="1">
        <v>0</v>
      </c>
      <c r="AP159" s="1" t="s">
        <v>669</v>
      </c>
      <c r="AQ159" s="1" t="s">
        <v>869</v>
      </c>
      <c r="AR159" s="1">
        <v>1</v>
      </c>
      <c r="AS159" s="1">
        <v>1</v>
      </c>
      <c r="AT159" s="1" t="s">
        <v>671</v>
      </c>
      <c r="AU159" s="1" t="s">
        <v>792</v>
      </c>
      <c r="AV159" s="1">
        <v>1</v>
      </c>
      <c r="AW159" s="1">
        <v>1</v>
      </c>
      <c r="AX159" s="1" t="s">
        <v>4</v>
      </c>
      <c r="AY159" s="1" t="s">
        <v>14</v>
      </c>
      <c r="AZ159" s="1">
        <v>1</v>
      </c>
      <c r="BA159" s="1">
        <v>1</v>
      </c>
      <c r="BB159" s="1" t="s">
        <v>1206</v>
      </c>
      <c r="BC159" s="1">
        <v>0</v>
      </c>
      <c r="BF159" s="1">
        <v>225</v>
      </c>
      <c r="BG159" s="1">
        <v>90</v>
      </c>
      <c r="BH159" s="1">
        <v>215</v>
      </c>
      <c r="BM159" s="1" t="s">
        <v>1178</v>
      </c>
      <c r="BQ159" s="1" t="s">
        <v>678</v>
      </c>
      <c r="BR159" s="1" t="s">
        <v>679</v>
      </c>
      <c r="BS159" s="1" t="s">
        <v>678</v>
      </c>
      <c r="BT159" s="1" t="s">
        <v>679</v>
      </c>
      <c r="BU159" s="1" t="s">
        <v>679</v>
      </c>
    </row>
    <row r="160" spans="1:73" ht="216" x14ac:dyDescent="0.3">
      <c r="A160" s="1">
        <v>1312</v>
      </c>
      <c r="B160" s="1" t="s">
        <v>661</v>
      </c>
      <c r="C160" s="1" t="s">
        <v>203</v>
      </c>
      <c r="E160" s="1" t="s">
        <v>1213</v>
      </c>
      <c r="F160" s="1">
        <v>1</v>
      </c>
      <c r="G160" s="1">
        <v>0</v>
      </c>
      <c r="H160" s="1" t="s">
        <v>662</v>
      </c>
      <c r="I160" s="1" t="s">
        <v>1214</v>
      </c>
      <c r="J160" s="1" t="s">
        <v>1215</v>
      </c>
      <c r="M160" s="1" t="s">
        <v>665</v>
      </c>
      <c r="O160" s="1">
        <v>1</v>
      </c>
      <c r="R160" s="1">
        <v>0</v>
      </c>
      <c r="S160" s="1">
        <v>0</v>
      </c>
      <c r="X160" s="1">
        <v>1</v>
      </c>
      <c r="AA160" s="1">
        <v>18.5</v>
      </c>
      <c r="AB160" s="1" t="s">
        <v>1216</v>
      </c>
      <c r="AC160" s="1" t="s">
        <v>1217</v>
      </c>
      <c r="AE160" s="1" t="s">
        <v>1218</v>
      </c>
      <c r="AN160" s="1">
        <v>0</v>
      </c>
      <c r="AP160" s="1" t="s">
        <v>669</v>
      </c>
      <c r="AQ160" s="1" t="s">
        <v>1219</v>
      </c>
      <c r="AR160" s="1">
        <v>1</v>
      </c>
      <c r="AS160" s="1">
        <v>1</v>
      </c>
      <c r="AT160" s="1" t="s">
        <v>671</v>
      </c>
      <c r="AU160" s="1" t="s">
        <v>672</v>
      </c>
      <c r="AV160" s="1">
        <v>1</v>
      </c>
      <c r="AW160" s="1">
        <v>1</v>
      </c>
      <c r="AX160" s="1" t="s">
        <v>4</v>
      </c>
      <c r="AY160" s="1" t="s">
        <v>14</v>
      </c>
      <c r="AZ160" s="1">
        <v>1</v>
      </c>
      <c r="BA160" s="1">
        <v>1</v>
      </c>
      <c r="BB160" s="1" t="s">
        <v>1220</v>
      </c>
      <c r="BC160" s="1">
        <v>0</v>
      </c>
      <c r="BF160" s="1">
        <v>260</v>
      </c>
      <c r="BG160" s="1">
        <v>108</v>
      </c>
      <c r="BH160" s="1">
        <v>249</v>
      </c>
      <c r="BM160" s="1" t="s">
        <v>1221</v>
      </c>
      <c r="BQ160" s="1" t="s">
        <v>678</v>
      </c>
      <c r="BR160" s="1" t="s">
        <v>679</v>
      </c>
      <c r="BS160" s="1" t="s">
        <v>678</v>
      </c>
      <c r="BT160" s="1" t="s">
        <v>679</v>
      </c>
      <c r="BU160" s="1" t="s">
        <v>679</v>
      </c>
    </row>
    <row r="161" spans="1:84" ht="216" x14ac:dyDescent="0.3">
      <c r="A161" s="1">
        <v>1323</v>
      </c>
      <c r="B161" s="1" t="s">
        <v>661</v>
      </c>
      <c r="C161" s="1" t="s">
        <v>206</v>
      </c>
      <c r="E161" s="1" t="s">
        <v>1222</v>
      </c>
      <c r="F161" s="1">
        <v>1</v>
      </c>
      <c r="G161" s="1">
        <v>0</v>
      </c>
      <c r="H161" s="1" t="s">
        <v>662</v>
      </c>
      <c r="I161" s="1" t="s">
        <v>1223</v>
      </c>
      <c r="J161" s="1" t="s">
        <v>1215</v>
      </c>
      <c r="M161" s="1" t="s">
        <v>665</v>
      </c>
      <c r="O161" s="1">
        <v>1</v>
      </c>
      <c r="R161" s="1">
        <v>0</v>
      </c>
      <c r="S161" s="1">
        <v>0</v>
      </c>
      <c r="X161" s="1">
        <v>1</v>
      </c>
      <c r="AA161" s="1">
        <v>18.5</v>
      </c>
      <c r="AB161" s="1" t="s">
        <v>1216</v>
      </c>
      <c r="AC161" s="1" t="s">
        <v>1217</v>
      </c>
      <c r="AE161" s="1" t="s">
        <v>1224</v>
      </c>
      <c r="AN161" s="1">
        <v>0</v>
      </c>
      <c r="AP161" s="1" t="s">
        <v>669</v>
      </c>
      <c r="AQ161" s="1" t="s">
        <v>1219</v>
      </c>
      <c r="AR161" s="1">
        <v>1</v>
      </c>
      <c r="AS161" s="1">
        <v>1</v>
      </c>
      <c r="AT161" s="1" t="s">
        <v>671</v>
      </c>
      <c r="AU161" s="1" t="s">
        <v>696</v>
      </c>
      <c r="AV161" s="1">
        <v>1</v>
      </c>
      <c r="AW161" s="1">
        <v>1</v>
      </c>
      <c r="AX161" s="1" t="s">
        <v>4</v>
      </c>
      <c r="AY161" s="1" t="s">
        <v>14</v>
      </c>
      <c r="AZ161" s="1">
        <v>1</v>
      </c>
      <c r="BA161" s="1">
        <v>1</v>
      </c>
      <c r="BB161" s="1" t="s">
        <v>1220</v>
      </c>
      <c r="BC161" s="1">
        <v>0</v>
      </c>
      <c r="BF161" s="1">
        <v>415</v>
      </c>
      <c r="BG161" s="1">
        <v>149</v>
      </c>
      <c r="BH161" s="1">
        <v>404</v>
      </c>
      <c r="BM161" s="1" t="s">
        <v>1221</v>
      </c>
      <c r="BQ161" s="1" t="s">
        <v>678</v>
      </c>
      <c r="BR161" s="1" t="s">
        <v>679</v>
      </c>
      <c r="BS161" s="1" t="s">
        <v>678</v>
      </c>
      <c r="BT161" s="1" t="s">
        <v>679</v>
      </c>
      <c r="BU161" s="1" t="s">
        <v>679</v>
      </c>
    </row>
    <row r="162" spans="1:84" ht="216" x14ac:dyDescent="0.3">
      <c r="A162" s="1">
        <v>1325</v>
      </c>
      <c r="B162" s="1" t="s">
        <v>661</v>
      </c>
      <c r="C162" s="1" t="s">
        <v>207</v>
      </c>
      <c r="E162" s="1" t="s">
        <v>1225</v>
      </c>
      <c r="F162" s="1">
        <v>1</v>
      </c>
      <c r="G162" s="1">
        <v>0</v>
      </c>
      <c r="H162" s="1" t="s">
        <v>662</v>
      </c>
      <c r="I162" s="1" t="s">
        <v>1223</v>
      </c>
      <c r="J162" s="1" t="s">
        <v>1215</v>
      </c>
      <c r="M162" s="1" t="s">
        <v>665</v>
      </c>
      <c r="O162" s="1">
        <v>1</v>
      </c>
      <c r="R162" s="1">
        <v>0</v>
      </c>
      <c r="S162" s="1">
        <v>0</v>
      </c>
      <c r="X162" s="1">
        <v>1</v>
      </c>
      <c r="AA162" s="1">
        <v>18.5</v>
      </c>
      <c r="AB162" s="1" t="s">
        <v>1216</v>
      </c>
      <c r="AC162" s="1" t="s">
        <v>1217</v>
      </c>
      <c r="AE162" s="1" t="s">
        <v>1226</v>
      </c>
      <c r="AN162" s="1">
        <v>0</v>
      </c>
      <c r="AP162" s="1" t="s">
        <v>669</v>
      </c>
      <c r="AQ162" s="1" t="s">
        <v>1219</v>
      </c>
      <c r="AR162" s="1">
        <v>1</v>
      </c>
      <c r="AS162" s="1">
        <v>1</v>
      </c>
      <c r="AT162" s="1" t="s">
        <v>671</v>
      </c>
      <c r="AU162" s="1" t="s">
        <v>728</v>
      </c>
      <c r="AV162" s="1">
        <v>1</v>
      </c>
      <c r="AW162" s="1">
        <v>1</v>
      </c>
      <c r="AX162" s="1" t="s">
        <v>4</v>
      </c>
      <c r="AY162" s="1" t="s">
        <v>14</v>
      </c>
      <c r="AZ162" s="1">
        <v>1</v>
      </c>
      <c r="BA162" s="1">
        <v>1</v>
      </c>
      <c r="BB162" s="1" t="s">
        <v>1220</v>
      </c>
      <c r="BC162" s="1">
        <v>0</v>
      </c>
      <c r="BF162" s="1">
        <v>255</v>
      </c>
      <c r="BG162" s="1">
        <v>115</v>
      </c>
      <c r="BH162" s="1">
        <v>242</v>
      </c>
      <c r="BM162" s="1" t="s">
        <v>1221</v>
      </c>
      <c r="BQ162" s="1" t="s">
        <v>678</v>
      </c>
      <c r="BR162" s="1" t="s">
        <v>679</v>
      </c>
      <c r="BS162" s="1" t="s">
        <v>678</v>
      </c>
      <c r="BT162" s="1" t="s">
        <v>679</v>
      </c>
      <c r="BU162" s="1" t="s">
        <v>679</v>
      </c>
    </row>
    <row r="163" spans="1:84" ht="216" x14ac:dyDescent="0.3">
      <c r="A163" s="1">
        <v>1332</v>
      </c>
      <c r="B163" s="1" t="s">
        <v>661</v>
      </c>
      <c r="C163" s="1" t="s">
        <v>208</v>
      </c>
      <c r="E163" s="1" t="s">
        <v>1227</v>
      </c>
      <c r="F163" s="1">
        <v>1</v>
      </c>
      <c r="G163" s="1">
        <v>0</v>
      </c>
      <c r="H163" s="1" t="s">
        <v>662</v>
      </c>
      <c r="I163" s="1" t="s">
        <v>1214</v>
      </c>
      <c r="J163" s="1" t="s">
        <v>1215</v>
      </c>
      <c r="M163" s="1" t="s">
        <v>665</v>
      </c>
      <c r="O163" s="1">
        <v>1</v>
      </c>
      <c r="R163" s="1">
        <v>0</v>
      </c>
      <c r="S163" s="1">
        <v>0</v>
      </c>
      <c r="X163" s="1">
        <v>1</v>
      </c>
      <c r="AA163" s="1">
        <v>18.5</v>
      </c>
      <c r="AB163" s="1" t="s">
        <v>1216</v>
      </c>
      <c r="AC163" s="1" t="s">
        <v>1217</v>
      </c>
      <c r="AE163" s="1" t="s">
        <v>1228</v>
      </c>
      <c r="AN163" s="1">
        <v>0</v>
      </c>
      <c r="AP163" s="1" t="s">
        <v>669</v>
      </c>
      <c r="AQ163" s="1" t="s">
        <v>1219</v>
      </c>
      <c r="AR163" s="1">
        <v>1</v>
      </c>
      <c r="AS163" s="1">
        <v>1</v>
      </c>
      <c r="AT163" s="1" t="s">
        <v>671</v>
      </c>
      <c r="AU163" s="1" t="s">
        <v>792</v>
      </c>
      <c r="AV163" s="1">
        <v>1</v>
      </c>
      <c r="AW163" s="1">
        <v>1</v>
      </c>
      <c r="AX163" s="1" t="s">
        <v>4</v>
      </c>
      <c r="AY163" s="1" t="s">
        <v>14</v>
      </c>
      <c r="AZ163" s="1">
        <v>1</v>
      </c>
      <c r="BA163" s="1">
        <v>1</v>
      </c>
      <c r="BB163" s="1" t="s">
        <v>1220</v>
      </c>
      <c r="BC163" s="1">
        <v>0</v>
      </c>
      <c r="BF163" s="1">
        <v>238</v>
      </c>
      <c r="BG163" s="1">
        <v>102</v>
      </c>
      <c r="BH163" s="1">
        <v>228</v>
      </c>
      <c r="BM163" s="1" t="s">
        <v>1221</v>
      </c>
      <c r="BQ163" s="1" t="s">
        <v>678</v>
      </c>
      <c r="BR163" s="1" t="s">
        <v>679</v>
      </c>
      <c r="BS163" s="1" t="s">
        <v>678</v>
      </c>
      <c r="BT163" s="1" t="s">
        <v>679</v>
      </c>
      <c r="BU163" s="1" t="s">
        <v>679</v>
      </c>
    </row>
    <row r="164" spans="1:84" ht="216" x14ac:dyDescent="0.3">
      <c r="A164" s="1">
        <v>1335</v>
      </c>
      <c r="B164" s="1" t="s">
        <v>661</v>
      </c>
      <c r="C164" s="1" t="s">
        <v>209</v>
      </c>
      <c r="E164" s="1" t="s">
        <v>1229</v>
      </c>
      <c r="F164" s="1">
        <v>1</v>
      </c>
      <c r="G164" s="1">
        <v>0</v>
      </c>
      <c r="H164" s="1" t="s">
        <v>662</v>
      </c>
      <c r="I164" s="1" t="s">
        <v>1214</v>
      </c>
      <c r="J164" s="1" t="s">
        <v>1215</v>
      </c>
      <c r="M164" s="1" t="s">
        <v>665</v>
      </c>
      <c r="O164" s="1">
        <v>1</v>
      </c>
      <c r="R164" s="1">
        <v>0</v>
      </c>
      <c r="S164" s="1">
        <v>0</v>
      </c>
      <c r="X164" s="1">
        <v>1</v>
      </c>
      <c r="AA164" s="1">
        <v>18.5</v>
      </c>
      <c r="AB164" s="1" t="s">
        <v>1216</v>
      </c>
      <c r="AC164" s="1" t="s">
        <v>1217</v>
      </c>
      <c r="AE164" s="1" t="s">
        <v>1230</v>
      </c>
      <c r="AN164" s="1">
        <v>0</v>
      </c>
      <c r="AP164" s="1" t="s">
        <v>669</v>
      </c>
      <c r="AQ164" s="1" t="s">
        <v>1219</v>
      </c>
      <c r="AR164" s="1">
        <v>1</v>
      </c>
      <c r="AS164" s="1">
        <v>1</v>
      </c>
      <c r="AT164" s="1" t="s">
        <v>671</v>
      </c>
      <c r="AU164" s="1" t="s">
        <v>796</v>
      </c>
      <c r="AV164" s="1">
        <v>1</v>
      </c>
      <c r="AW164" s="1">
        <v>1</v>
      </c>
      <c r="AX164" s="1" t="s">
        <v>4</v>
      </c>
      <c r="AY164" s="1" t="s">
        <v>14</v>
      </c>
      <c r="AZ164" s="1">
        <v>1</v>
      </c>
      <c r="BA164" s="1">
        <v>1</v>
      </c>
      <c r="BB164" s="1" t="s">
        <v>1220</v>
      </c>
      <c r="BC164" s="1">
        <v>0</v>
      </c>
      <c r="BF164" s="1">
        <v>237</v>
      </c>
      <c r="BG164" s="1">
        <v>103</v>
      </c>
      <c r="BH164" s="1">
        <v>227</v>
      </c>
      <c r="BM164" s="1" t="s">
        <v>1221</v>
      </c>
      <c r="BQ164" s="1" t="s">
        <v>678</v>
      </c>
      <c r="BR164" s="1" t="s">
        <v>679</v>
      </c>
      <c r="BS164" s="1" t="s">
        <v>678</v>
      </c>
      <c r="BT164" s="1" t="s">
        <v>679</v>
      </c>
      <c r="BU164" s="1" t="s">
        <v>679</v>
      </c>
    </row>
    <row r="165" spans="1:84" ht="216" x14ac:dyDescent="0.3">
      <c r="A165" s="1">
        <v>1337</v>
      </c>
      <c r="B165" s="1" t="s">
        <v>661</v>
      </c>
      <c r="C165" s="1" t="s">
        <v>210</v>
      </c>
      <c r="E165" s="1" t="s">
        <v>1231</v>
      </c>
      <c r="F165" s="1">
        <v>1</v>
      </c>
      <c r="G165" s="1">
        <v>0</v>
      </c>
      <c r="H165" s="1" t="s">
        <v>662</v>
      </c>
      <c r="I165" s="1" t="s">
        <v>1232</v>
      </c>
      <c r="J165" s="1" t="s">
        <v>1233</v>
      </c>
      <c r="M165" s="1" t="s">
        <v>665</v>
      </c>
      <c r="O165" s="1">
        <v>1</v>
      </c>
      <c r="R165" s="1">
        <v>0</v>
      </c>
      <c r="S165" s="1">
        <v>0</v>
      </c>
      <c r="X165" s="1">
        <v>1</v>
      </c>
      <c r="AA165" s="1">
        <v>19.5</v>
      </c>
      <c r="AB165" s="1" t="s">
        <v>1216</v>
      </c>
      <c r="AC165" s="1" t="s">
        <v>1234</v>
      </c>
      <c r="AE165" s="1" t="s">
        <v>1235</v>
      </c>
      <c r="AN165" s="1">
        <v>0</v>
      </c>
      <c r="AP165" s="1" t="s">
        <v>669</v>
      </c>
      <c r="AQ165" s="1" t="s">
        <v>1236</v>
      </c>
      <c r="AR165" s="1">
        <v>1</v>
      </c>
      <c r="AS165" s="1">
        <v>1</v>
      </c>
      <c r="AT165" s="1" t="s">
        <v>671</v>
      </c>
      <c r="AU165" s="1" t="s">
        <v>1083</v>
      </c>
      <c r="AV165" s="1">
        <v>1</v>
      </c>
      <c r="AW165" s="1">
        <v>1</v>
      </c>
      <c r="AX165" s="1" t="s">
        <v>4</v>
      </c>
      <c r="AY165" s="1" t="s">
        <v>14</v>
      </c>
      <c r="AZ165" s="1">
        <v>1</v>
      </c>
      <c r="BA165" s="1">
        <v>1</v>
      </c>
      <c r="BB165" s="1" t="s">
        <v>1237</v>
      </c>
      <c r="BC165" s="1">
        <v>0</v>
      </c>
      <c r="BF165" s="1">
        <v>230</v>
      </c>
      <c r="BG165" s="1">
        <v>95</v>
      </c>
      <c r="BH165" s="1">
        <v>220</v>
      </c>
      <c r="BM165" s="1" t="s">
        <v>1238</v>
      </c>
      <c r="BQ165" s="1" t="s">
        <v>678</v>
      </c>
      <c r="BR165" s="1" t="s">
        <v>679</v>
      </c>
      <c r="BS165" s="1" t="s">
        <v>678</v>
      </c>
      <c r="BT165" s="1" t="s">
        <v>679</v>
      </c>
      <c r="BU165" s="1" t="s">
        <v>679</v>
      </c>
    </row>
    <row r="166" spans="1:84" ht="216" x14ac:dyDescent="0.3">
      <c r="A166" s="1">
        <v>1341</v>
      </c>
      <c r="B166" s="1" t="s">
        <v>661</v>
      </c>
      <c r="C166" s="1" t="s">
        <v>213</v>
      </c>
      <c r="E166" s="1" t="s">
        <v>1239</v>
      </c>
      <c r="F166" s="1">
        <v>1</v>
      </c>
      <c r="G166" s="1">
        <v>0</v>
      </c>
      <c r="H166" s="1" t="s">
        <v>662</v>
      </c>
      <c r="I166" s="1" t="s">
        <v>1240</v>
      </c>
      <c r="J166" s="1" t="s">
        <v>1233</v>
      </c>
      <c r="M166" s="1" t="s">
        <v>665</v>
      </c>
      <c r="O166" s="1">
        <v>1</v>
      </c>
      <c r="R166" s="1">
        <v>0</v>
      </c>
      <c r="S166" s="1">
        <v>0</v>
      </c>
      <c r="X166" s="1">
        <v>1</v>
      </c>
      <c r="AA166" s="1">
        <v>19.5</v>
      </c>
      <c r="AB166" s="1" t="s">
        <v>1216</v>
      </c>
      <c r="AC166" s="1" t="s">
        <v>1234</v>
      </c>
      <c r="AE166" s="1" t="s">
        <v>1241</v>
      </c>
      <c r="AN166" s="1">
        <v>0</v>
      </c>
      <c r="AP166" s="1" t="s">
        <v>669</v>
      </c>
      <c r="AQ166" s="1" t="s">
        <v>1236</v>
      </c>
      <c r="AR166" s="1">
        <v>1</v>
      </c>
      <c r="AS166" s="1">
        <v>1</v>
      </c>
      <c r="AT166" s="1" t="s">
        <v>671</v>
      </c>
      <c r="AU166" s="1" t="s">
        <v>789</v>
      </c>
      <c r="AV166" s="1">
        <v>1</v>
      </c>
      <c r="AW166" s="1">
        <v>1</v>
      </c>
      <c r="AX166" s="1" t="s">
        <v>4</v>
      </c>
      <c r="AY166" s="1" t="s">
        <v>14</v>
      </c>
      <c r="AZ166" s="1">
        <v>1</v>
      </c>
      <c r="BA166" s="1">
        <v>1</v>
      </c>
      <c r="BB166" s="1" t="s">
        <v>1237</v>
      </c>
      <c r="BC166" s="1">
        <v>0</v>
      </c>
      <c r="BF166" s="1">
        <v>7365</v>
      </c>
      <c r="BG166" s="1">
        <v>7075</v>
      </c>
      <c r="BH166" s="1">
        <v>7338</v>
      </c>
      <c r="BM166" s="1" t="s">
        <v>1238</v>
      </c>
      <c r="BQ166" s="1" t="s">
        <v>678</v>
      </c>
      <c r="BR166" s="1" t="s">
        <v>679</v>
      </c>
      <c r="BS166" s="1" t="s">
        <v>678</v>
      </c>
      <c r="BT166" s="1" t="s">
        <v>679</v>
      </c>
      <c r="BU166" s="1" t="s">
        <v>679</v>
      </c>
    </row>
    <row r="167" spans="1:84" ht="216" x14ac:dyDescent="0.3">
      <c r="A167" s="1">
        <v>1342</v>
      </c>
      <c r="B167" s="1" t="s">
        <v>661</v>
      </c>
      <c r="C167" s="1" t="s">
        <v>214</v>
      </c>
      <c r="E167" s="1" t="s">
        <v>1242</v>
      </c>
      <c r="F167" s="1">
        <v>1</v>
      </c>
      <c r="G167" s="1">
        <v>0</v>
      </c>
      <c r="H167" s="1" t="s">
        <v>662</v>
      </c>
      <c r="I167" s="1" t="s">
        <v>1240</v>
      </c>
      <c r="J167" s="1" t="s">
        <v>1233</v>
      </c>
      <c r="M167" s="1" t="s">
        <v>665</v>
      </c>
      <c r="O167" s="1">
        <v>1</v>
      </c>
      <c r="R167" s="1">
        <v>0</v>
      </c>
      <c r="S167" s="1">
        <v>0</v>
      </c>
      <c r="X167" s="1">
        <v>1</v>
      </c>
      <c r="AA167" s="1">
        <v>19.5</v>
      </c>
      <c r="AB167" s="1" t="s">
        <v>1216</v>
      </c>
      <c r="AC167" s="1" t="s">
        <v>1234</v>
      </c>
      <c r="AE167" s="1" t="s">
        <v>1243</v>
      </c>
      <c r="AN167" s="1">
        <v>0</v>
      </c>
      <c r="AP167" s="1" t="s">
        <v>669</v>
      </c>
      <c r="AQ167" s="1" t="s">
        <v>1236</v>
      </c>
      <c r="AR167" s="1">
        <v>1</v>
      </c>
      <c r="AS167" s="1">
        <v>1</v>
      </c>
      <c r="AT167" s="1" t="s">
        <v>671</v>
      </c>
      <c r="AU167" s="1" t="s">
        <v>728</v>
      </c>
      <c r="AV167" s="1">
        <v>1</v>
      </c>
      <c r="AW167" s="1">
        <v>1</v>
      </c>
      <c r="AX167" s="1" t="s">
        <v>4</v>
      </c>
      <c r="AY167" s="1" t="s">
        <v>14</v>
      </c>
      <c r="AZ167" s="1">
        <v>1</v>
      </c>
      <c r="BA167" s="1">
        <v>1</v>
      </c>
      <c r="BB167" s="1" t="s">
        <v>1237</v>
      </c>
      <c r="BC167" s="1">
        <v>0</v>
      </c>
      <c r="BF167" s="1">
        <v>7066</v>
      </c>
      <c r="BG167" s="1">
        <v>6930</v>
      </c>
      <c r="BH167" s="1">
        <v>7039</v>
      </c>
      <c r="BM167" s="1" t="s">
        <v>1238</v>
      </c>
      <c r="BQ167" s="1" t="s">
        <v>678</v>
      </c>
      <c r="BR167" s="1" t="s">
        <v>679</v>
      </c>
      <c r="BS167" s="1" t="s">
        <v>678</v>
      </c>
      <c r="BT167" s="1" t="s">
        <v>679</v>
      </c>
      <c r="BU167" s="1" t="s">
        <v>679</v>
      </c>
    </row>
    <row r="168" spans="1:84" ht="216" x14ac:dyDescent="0.3">
      <c r="A168" s="1">
        <v>1343</v>
      </c>
      <c r="B168" s="1" t="s">
        <v>661</v>
      </c>
      <c r="C168" s="1" t="s">
        <v>215</v>
      </c>
      <c r="E168" s="1" t="s">
        <v>1244</v>
      </c>
      <c r="F168" s="1">
        <v>1</v>
      </c>
      <c r="G168" s="1">
        <v>0</v>
      </c>
      <c r="H168" s="1" t="s">
        <v>662</v>
      </c>
      <c r="I168" s="1" t="s">
        <v>1240</v>
      </c>
      <c r="J168" s="1" t="s">
        <v>1233</v>
      </c>
      <c r="M168" s="1" t="s">
        <v>665</v>
      </c>
      <c r="O168" s="1">
        <v>1</v>
      </c>
      <c r="R168" s="1">
        <v>0</v>
      </c>
      <c r="S168" s="1">
        <v>0</v>
      </c>
      <c r="X168" s="1">
        <v>1</v>
      </c>
      <c r="AA168" s="1">
        <v>19.5</v>
      </c>
      <c r="AB168" s="1" t="s">
        <v>1216</v>
      </c>
      <c r="AC168" s="1" t="s">
        <v>1234</v>
      </c>
      <c r="AE168" s="1" t="s">
        <v>1245</v>
      </c>
      <c r="AN168" s="1">
        <v>0</v>
      </c>
      <c r="AP168" s="1" t="s">
        <v>669</v>
      </c>
      <c r="AQ168" s="1" t="s">
        <v>1236</v>
      </c>
      <c r="AR168" s="1">
        <v>1</v>
      </c>
      <c r="AS168" s="1">
        <v>1</v>
      </c>
      <c r="AT168" s="1" t="s">
        <v>671</v>
      </c>
      <c r="AU168" s="1" t="s">
        <v>891</v>
      </c>
      <c r="AV168" s="1">
        <v>1</v>
      </c>
      <c r="AW168" s="1">
        <v>1</v>
      </c>
      <c r="AX168" s="1" t="s">
        <v>4</v>
      </c>
      <c r="AY168" s="1" t="s">
        <v>14</v>
      </c>
      <c r="AZ168" s="1">
        <v>1</v>
      </c>
      <c r="BA168" s="1">
        <v>1</v>
      </c>
      <c r="BB168" s="1" t="s">
        <v>1237</v>
      </c>
      <c r="BC168" s="1">
        <v>0</v>
      </c>
      <c r="BF168" s="1">
        <v>7199</v>
      </c>
      <c r="BG168" s="1">
        <v>7062</v>
      </c>
      <c r="BH168" s="1">
        <v>7168</v>
      </c>
      <c r="BM168" s="1" t="s">
        <v>1238</v>
      </c>
      <c r="BQ168" s="1" t="s">
        <v>678</v>
      </c>
      <c r="BR168" s="1" t="s">
        <v>679</v>
      </c>
      <c r="BS168" s="1" t="s">
        <v>678</v>
      </c>
      <c r="BT168" s="1" t="s">
        <v>679</v>
      </c>
      <c r="BU168" s="1" t="s">
        <v>679</v>
      </c>
    </row>
    <row r="169" spans="1:84" ht="216" x14ac:dyDescent="0.3">
      <c r="A169" s="1">
        <v>1344</v>
      </c>
      <c r="B169" s="1" t="s">
        <v>661</v>
      </c>
      <c r="C169" s="1" t="s">
        <v>216</v>
      </c>
      <c r="E169" s="1" t="s">
        <v>1246</v>
      </c>
      <c r="F169" s="1">
        <v>1</v>
      </c>
      <c r="G169" s="1">
        <v>0</v>
      </c>
      <c r="H169" s="1" t="s">
        <v>662</v>
      </c>
      <c r="I169" s="1" t="s">
        <v>1240</v>
      </c>
      <c r="J169" s="1" t="s">
        <v>1233</v>
      </c>
      <c r="M169" s="1" t="s">
        <v>665</v>
      </c>
      <c r="O169" s="1">
        <v>1</v>
      </c>
      <c r="R169" s="1">
        <v>0</v>
      </c>
      <c r="S169" s="1">
        <v>0</v>
      </c>
      <c r="X169" s="1">
        <v>1</v>
      </c>
      <c r="AA169" s="1">
        <v>19.5</v>
      </c>
      <c r="AB169" s="1" t="s">
        <v>1216</v>
      </c>
      <c r="AC169" s="1" t="s">
        <v>1234</v>
      </c>
      <c r="AE169" s="1" t="s">
        <v>1247</v>
      </c>
      <c r="AN169" s="1">
        <v>0</v>
      </c>
      <c r="AP169" s="1" t="s">
        <v>669</v>
      </c>
      <c r="AQ169" s="1" t="s">
        <v>1236</v>
      </c>
      <c r="AR169" s="1">
        <v>1</v>
      </c>
      <c r="AS169" s="1">
        <v>1</v>
      </c>
      <c r="AT169" s="1" t="s">
        <v>671</v>
      </c>
      <c r="AU169" s="1" t="s">
        <v>696</v>
      </c>
      <c r="AV169" s="1">
        <v>1</v>
      </c>
      <c r="AW169" s="1">
        <v>1</v>
      </c>
      <c r="AX169" s="1" t="s">
        <v>4</v>
      </c>
      <c r="AY169" s="1" t="s">
        <v>14</v>
      </c>
      <c r="AZ169" s="1">
        <v>1</v>
      </c>
      <c r="BA169" s="1">
        <v>1</v>
      </c>
      <c r="BB169" s="1" t="s">
        <v>1237</v>
      </c>
      <c r="BC169" s="1">
        <v>0</v>
      </c>
      <c r="BF169" s="1">
        <v>7323</v>
      </c>
      <c r="BG169" s="1">
        <v>7187</v>
      </c>
      <c r="BH169" s="1">
        <v>7297</v>
      </c>
      <c r="BM169" s="1" t="s">
        <v>1238</v>
      </c>
      <c r="BQ169" s="1" t="s">
        <v>678</v>
      </c>
      <c r="BR169" s="1" t="s">
        <v>679</v>
      </c>
      <c r="BS169" s="1" t="s">
        <v>678</v>
      </c>
      <c r="BT169" s="1" t="s">
        <v>679</v>
      </c>
      <c r="BU169" s="1" t="s">
        <v>679</v>
      </c>
    </row>
    <row r="170" spans="1:84" ht="345.6" x14ac:dyDescent="0.3">
      <c r="A170" s="1">
        <v>1369</v>
      </c>
      <c r="B170" s="1" t="s">
        <v>661</v>
      </c>
      <c r="C170" s="1" t="s">
        <v>217</v>
      </c>
      <c r="E170" s="1" t="s">
        <v>1248</v>
      </c>
      <c r="F170" s="1">
        <v>1</v>
      </c>
      <c r="G170" s="1">
        <v>0</v>
      </c>
      <c r="H170" s="1" t="s">
        <v>662</v>
      </c>
      <c r="I170" s="1" t="s">
        <v>1249</v>
      </c>
      <c r="J170" s="1" t="s">
        <v>1250</v>
      </c>
      <c r="M170" s="1" t="s">
        <v>665</v>
      </c>
      <c r="O170" s="1">
        <v>1</v>
      </c>
      <c r="R170" s="1">
        <v>0</v>
      </c>
      <c r="S170" s="1">
        <v>0</v>
      </c>
      <c r="X170" s="1">
        <v>1</v>
      </c>
      <c r="AA170" s="1">
        <v>16.989999999999998</v>
      </c>
      <c r="AB170" s="1" t="s">
        <v>666</v>
      </c>
      <c r="AC170" s="1" t="s">
        <v>667</v>
      </c>
      <c r="AE170" s="1" t="s">
        <v>1251</v>
      </c>
      <c r="AN170" s="1">
        <v>0</v>
      </c>
      <c r="AP170" s="1" t="s">
        <v>669</v>
      </c>
      <c r="AQ170" s="1" t="s">
        <v>670</v>
      </c>
      <c r="AR170" s="1">
        <v>1</v>
      </c>
      <c r="AS170" s="1">
        <v>1</v>
      </c>
      <c r="AT170" s="1" t="s">
        <v>671</v>
      </c>
      <c r="AU170" s="1" t="s">
        <v>728</v>
      </c>
      <c r="AV170" s="1">
        <v>1</v>
      </c>
      <c r="AW170" s="1">
        <v>1</v>
      </c>
      <c r="AX170" s="1" t="s">
        <v>4</v>
      </c>
      <c r="AY170" s="1" t="s">
        <v>14</v>
      </c>
      <c r="AZ170" s="1">
        <v>1</v>
      </c>
      <c r="BA170" s="1">
        <v>1</v>
      </c>
      <c r="BB170" s="1" t="s">
        <v>673</v>
      </c>
      <c r="BC170" s="1">
        <v>1</v>
      </c>
      <c r="BF170" s="1">
        <v>7099</v>
      </c>
      <c r="BG170" s="1">
        <v>6896</v>
      </c>
      <c r="BH170" s="1">
        <v>7070</v>
      </c>
      <c r="BI170" s="1" t="s">
        <v>674</v>
      </c>
      <c r="BJ170" s="1" t="s">
        <v>675</v>
      </c>
      <c r="BK170" s="1" t="s">
        <v>676</v>
      </c>
      <c r="BL170" s="1">
        <v>1</v>
      </c>
      <c r="BM170" s="1" t="s">
        <v>1252</v>
      </c>
      <c r="BQ170" s="1" t="s">
        <v>678</v>
      </c>
      <c r="BR170" s="1" t="s">
        <v>679</v>
      </c>
      <c r="BS170" s="1" t="s">
        <v>678</v>
      </c>
      <c r="BT170" s="1" t="s">
        <v>679</v>
      </c>
      <c r="BU170" s="1" t="s">
        <v>679</v>
      </c>
    </row>
    <row r="171" spans="1:84" ht="216" x14ac:dyDescent="0.3">
      <c r="A171" s="1">
        <v>1804</v>
      </c>
      <c r="B171" s="1" t="s">
        <v>661</v>
      </c>
      <c r="C171" s="1" t="s">
        <v>170</v>
      </c>
      <c r="E171" s="1" t="s">
        <v>1253</v>
      </c>
      <c r="F171" s="1">
        <v>1</v>
      </c>
      <c r="G171" s="1">
        <v>0</v>
      </c>
      <c r="H171" s="1" t="s">
        <v>662</v>
      </c>
      <c r="I171" s="1" t="s">
        <v>1073</v>
      </c>
      <c r="J171" s="1" t="s">
        <v>1087</v>
      </c>
      <c r="M171" s="1" t="s">
        <v>665</v>
      </c>
      <c r="O171" s="1">
        <v>1</v>
      </c>
      <c r="R171" s="1">
        <v>0</v>
      </c>
      <c r="S171" s="1">
        <v>0</v>
      </c>
      <c r="X171" s="1">
        <v>1</v>
      </c>
      <c r="AA171" s="1">
        <v>17.5</v>
      </c>
      <c r="AB171" s="1" t="s">
        <v>1075</v>
      </c>
      <c r="AC171" s="1" t="s">
        <v>1076</v>
      </c>
      <c r="AE171" s="1" t="s">
        <v>1254</v>
      </c>
      <c r="AN171" s="1">
        <v>0</v>
      </c>
      <c r="AP171" s="1" t="s">
        <v>669</v>
      </c>
      <c r="AQ171" s="1" t="s">
        <v>869</v>
      </c>
      <c r="AR171" s="1">
        <v>1</v>
      </c>
      <c r="AS171" s="1">
        <v>1</v>
      </c>
      <c r="AT171" s="1" t="s">
        <v>671</v>
      </c>
      <c r="AU171" s="1" t="s">
        <v>792</v>
      </c>
      <c r="AV171" s="1">
        <v>1</v>
      </c>
      <c r="AW171" s="1">
        <v>1</v>
      </c>
      <c r="AX171" s="1" t="s">
        <v>4</v>
      </c>
      <c r="AY171" s="1" t="s">
        <v>151</v>
      </c>
      <c r="AZ171" s="1">
        <v>1</v>
      </c>
      <c r="BA171" s="1">
        <v>1</v>
      </c>
      <c r="BB171" s="1" t="s">
        <v>1078</v>
      </c>
      <c r="BC171" s="1">
        <v>0</v>
      </c>
      <c r="BF171" s="1">
        <v>2934</v>
      </c>
      <c r="BG171" s="1">
        <v>2783</v>
      </c>
      <c r="BH171" s="1">
        <v>2918</v>
      </c>
      <c r="BM171" s="1" t="s">
        <v>1037</v>
      </c>
      <c r="BQ171" s="1" t="s">
        <v>678</v>
      </c>
      <c r="BR171" s="1" t="s">
        <v>679</v>
      </c>
      <c r="BS171" s="1" t="s">
        <v>678</v>
      </c>
      <c r="BT171" s="1" t="s">
        <v>679</v>
      </c>
      <c r="BU171" s="1" t="s">
        <v>679</v>
      </c>
      <c r="CB171" s="1" t="s">
        <v>685</v>
      </c>
      <c r="CC171" s="1" t="s">
        <v>41</v>
      </c>
      <c r="CD171" s="1">
        <v>1</v>
      </c>
      <c r="CE171" s="1">
        <v>1</v>
      </c>
    </row>
    <row r="172" spans="1:84" ht="259.2" x14ac:dyDescent="0.3">
      <c r="A172" s="1">
        <v>3618</v>
      </c>
      <c r="B172" s="1" t="s">
        <v>661</v>
      </c>
      <c r="C172" s="1" t="s">
        <v>219</v>
      </c>
      <c r="E172" s="1" t="s">
        <v>1255</v>
      </c>
      <c r="F172" s="1">
        <v>1</v>
      </c>
      <c r="G172" s="1">
        <v>0</v>
      </c>
      <c r="H172" s="1" t="s">
        <v>662</v>
      </c>
      <c r="I172" s="1" t="s">
        <v>1256</v>
      </c>
      <c r="J172" s="1" t="s">
        <v>1257</v>
      </c>
      <c r="M172" s="1" t="s">
        <v>665</v>
      </c>
      <c r="O172" s="1">
        <v>1</v>
      </c>
      <c r="R172" s="1">
        <v>0</v>
      </c>
      <c r="S172" s="1">
        <v>0</v>
      </c>
      <c r="X172" s="1">
        <v>1</v>
      </c>
      <c r="AA172" s="1">
        <v>4.58</v>
      </c>
      <c r="AB172" s="1" t="s">
        <v>1258</v>
      </c>
      <c r="AC172" s="1" t="s">
        <v>1259</v>
      </c>
      <c r="AE172" s="1" t="s">
        <v>1260</v>
      </c>
      <c r="AN172" s="1">
        <v>0</v>
      </c>
      <c r="AP172" s="1" t="s">
        <v>669</v>
      </c>
      <c r="AQ172" s="1" t="s">
        <v>684</v>
      </c>
      <c r="AR172" s="1">
        <v>1</v>
      </c>
      <c r="AS172" s="1">
        <v>1</v>
      </c>
      <c r="AT172" s="1" t="s">
        <v>671</v>
      </c>
      <c r="AU172" s="1" t="s">
        <v>672</v>
      </c>
      <c r="AV172" s="1">
        <v>1</v>
      </c>
      <c r="AW172" s="1">
        <v>1</v>
      </c>
      <c r="BB172" s="1" t="s">
        <v>1261</v>
      </c>
      <c r="BC172" s="1">
        <v>0</v>
      </c>
      <c r="BF172" s="1">
        <v>16</v>
      </c>
      <c r="BG172" s="1">
        <v>13</v>
      </c>
      <c r="BH172" s="1">
        <v>15</v>
      </c>
      <c r="BM172" s="1" t="s">
        <v>1121</v>
      </c>
      <c r="BQ172" s="1" t="s">
        <v>678</v>
      </c>
      <c r="BR172" s="1" t="s">
        <v>679</v>
      </c>
      <c r="BS172" s="1" t="s">
        <v>678</v>
      </c>
      <c r="BT172" s="1" t="s">
        <v>679</v>
      </c>
      <c r="BU172" s="1" t="s">
        <v>679</v>
      </c>
      <c r="CF172" s="1" t="s">
        <v>1262</v>
      </c>
    </row>
    <row r="173" spans="1:84" ht="259.2" x14ac:dyDescent="0.3">
      <c r="A173" s="1">
        <v>3623</v>
      </c>
      <c r="B173" s="1" t="s">
        <v>661</v>
      </c>
      <c r="C173" s="1" t="s">
        <v>224</v>
      </c>
      <c r="E173" s="1" t="s">
        <v>1263</v>
      </c>
      <c r="F173" s="1">
        <v>1</v>
      </c>
      <c r="G173" s="1">
        <v>0</v>
      </c>
      <c r="H173" s="1" t="s">
        <v>662</v>
      </c>
      <c r="I173" s="1" t="s">
        <v>1256</v>
      </c>
      <c r="J173" s="1" t="s">
        <v>1257</v>
      </c>
      <c r="M173" s="1" t="s">
        <v>665</v>
      </c>
      <c r="O173" s="1">
        <v>1</v>
      </c>
      <c r="R173" s="1">
        <v>0</v>
      </c>
      <c r="S173" s="1">
        <v>0</v>
      </c>
      <c r="X173" s="1">
        <v>1</v>
      </c>
      <c r="AA173" s="1">
        <v>4.58</v>
      </c>
      <c r="AB173" s="1" t="s">
        <v>1258</v>
      </c>
      <c r="AC173" s="1" t="s">
        <v>1259</v>
      </c>
      <c r="AE173" s="1" t="s">
        <v>1264</v>
      </c>
      <c r="AN173" s="1">
        <v>0</v>
      </c>
      <c r="AP173" s="1" t="s">
        <v>669</v>
      </c>
      <c r="AQ173" s="1" t="s">
        <v>684</v>
      </c>
      <c r="AR173" s="1">
        <v>1</v>
      </c>
      <c r="AS173" s="1">
        <v>1</v>
      </c>
      <c r="AT173" s="1" t="s">
        <v>671</v>
      </c>
      <c r="AU173" s="1" t="s">
        <v>796</v>
      </c>
      <c r="AV173" s="1">
        <v>1</v>
      </c>
      <c r="AW173" s="1">
        <v>1</v>
      </c>
      <c r="BB173" s="1" t="s">
        <v>1261</v>
      </c>
      <c r="BC173" s="1">
        <v>0</v>
      </c>
      <c r="BF173" s="1">
        <v>16</v>
      </c>
      <c r="BG173" s="1">
        <v>12</v>
      </c>
      <c r="BH173" s="1">
        <v>14</v>
      </c>
      <c r="BM173" s="1" t="s">
        <v>1121</v>
      </c>
      <c r="BQ173" s="1" t="s">
        <v>678</v>
      </c>
      <c r="BR173" s="1" t="s">
        <v>679</v>
      </c>
      <c r="BS173" s="1" t="s">
        <v>678</v>
      </c>
      <c r="BT173" s="1" t="s">
        <v>679</v>
      </c>
      <c r="BU173" s="1" t="s">
        <v>679</v>
      </c>
      <c r="CF173" s="1" t="s">
        <v>1262</v>
      </c>
    </row>
    <row r="174" spans="1:84" ht="259.2" x14ac:dyDescent="0.3">
      <c r="A174" s="1">
        <v>3630</v>
      </c>
      <c r="B174" s="1" t="s">
        <v>661</v>
      </c>
      <c r="C174" s="1" t="s">
        <v>225</v>
      </c>
      <c r="E174" s="1" t="s">
        <v>1265</v>
      </c>
      <c r="F174" s="1">
        <v>1</v>
      </c>
      <c r="G174" s="1">
        <v>0</v>
      </c>
      <c r="H174" s="1" t="s">
        <v>662</v>
      </c>
      <c r="I174" s="1" t="s">
        <v>1256</v>
      </c>
      <c r="J174" s="1" t="s">
        <v>1257</v>
      </c>
      <c r="M174" s="1" t="s">
        <v>665</v>
      </c>
      <c r="O174" s="1">
        <v>1</v>
      </c>
      <c r="R174" s="1">
        <v>0</v>
      </c>
      <c r="S174" s="1">
        <v>0</v>
      </c>
      <c r="X174" s="1">
        <v>1</v>
      </c>
      <c r="AA174" s="1">
        <v>4.58</v>
      </c>
      <c r="AB174" s="1" t="s">
        <v>1258</v>
      </c>
      <c r="AC174" s="1" t="s">
        <v>1259</v>
      </c>
      <c r="AE174" s="1" t="s">
        <v>1266</v>
      </c>
      <c r="AN174" s="1">
        <v>0</v>
      </c>
      <c r="AP174" s="1" t="s">
        <v>669</v>
      </c>
      <c r="AQ174" s="1" t="s">
        <v>684</v>
      </c>
      <c r="AR174" s="1">
        <v>1</v>
      </c>
      <c r="AS174" s="1">
        <v>1</v>
      </c>
      <c r="AT174" s="1" t="s">
        <v>671</v>
      </c>
      <c r="AU174" s="1" t="s">
        <v>792</v>
      </c>
      <c r="AV174" s="1">
        <v>1</v>
      </c>
      <c r="AW174" s="1">
        <v>1</v>
      </c>
      <c r="BB174" s="1" t="s">
        <v>1261</v>
      </c>
      <c r="BC174" s="1">
        <v>0</v>
      </c>
      <c r="BF174" s="1">
        <v>14</v>
      </c>
      <c r="BG174" s="1">
        <v>11</v>
      </c>
      <c r="BH174" s="1">
        <v>13</v>
      </c>
      <c r="BM174" s="1" t="s">
        <v>1121</v>
      </c>
      <c r="BQ174" s="1" t="s">
        <v>678</v>
      </c>
      <c r="BR174" s="1" t="s">
        <v>679</v>
      </c>
      <c r="BS174" s="1" t="s">
        <v>678</v>
      </c>
      <c r="BT174" s="1" t="s">
        <v>679</v>
      </c>
      <c r="BU174" s="1" t="s">
        <v>679</v>
      </c>
      <c r="CF174" s="1" t="s">
        <v>1262</v>
      </c>
    </row>
    <row r="175" spans="1:84" ht="259.2" x14ac:dyDescent="0.3">
      <c r="A175" s="1">
        <v>3632</v>
      </c>
      <c r="B175" s="1" t="s">
        <v>661</v>
      </c>
      <c r="C175" s="1" t="s">
        <v>226</v>
      </c>
      <c r="E175" s="1" t="s">
        <v>1267</v>
      </c>
      <c r="F175" s="1">
        <v>1</v>
      </c>
      <c r="G175" s="1">
        <v>0</v>
      </c>
      <c r="H175" s="1" t="s">
        <v>662</v>
      </c>
      <c r="I175" s="1" t="s">
        <v>1256</v>
      </c>
      <c r="J175" s="1" t="s">
        <v>1257</v>
      </c>
      <c r="M175" s="1" t="s">
        <v>665</v>
      </c>
      <c r="O175" s="1">
        <v>1</v>
      </c>
      <c r="R175" s="1">
        <v>0</v>
      </c>
      <c r="S175" s="1">
        <v>0</v>
      </c>
      <c r="X175" s="1">
        <v>1</v>
      </c>
      <c r="AA175" s="1">
        <v>4.58</v>
      </c>
      <c r="AB175" s="1" t="s">
        <v>1268</v>
      </c>
      <c r="AC175" s="1" t="s">
        <v>1259</v>
      </c>
      <c r="AE175" s="1" t="s">
        <v>1269</v>
      </c>
      <c r="AN175" s="1">
        <v>0</v>
      </c>
      <c r="AP175" s="1" t="s">
        <v>669</v>
      </c>
      <c r="AQ175" s="1" t="s">
        <v>684</v>
      </c>
      <c r="AR175" s="1">
        <v>1</v>
      </c>
      <c r="AS175" s="1">
        <v>1</v>
      </c>
      <c r="AT175" s="1" t="s">
        <v>671</v>
      </c>
      <c r="AU175" s="1" t="s">
        <v>1051</v>
      </c>
      <c r="AV175" s="1">
        <v>1</v>
      </c>
      <c r="AW175" s="1">
        <v>1</v>
      </c>
      <c r="BB175" s="1" t="s">
        <v>1261</v>
      </c>
      <c r="BC175" s="1">
        <v>0</v>
      </c>
      <c r="BF175" s="1">
        <v>19</v>
      </c>
      <c r="BG175" s="1">
        <v>16</v>
      </c>
      <c r="BH175" s="1">
        <v>16</v>
      </c>
      <c r="BM175" s="1" t="s">
        <v>1121</v>
      </c>
      <c r="BQ175" s="1" t="s">
        <v>678</v>
      </c>
      <c r="BR175" s="1" t="s">
        <v>679</v>
      </c>
      <c r="BS175" s="1" t="s">
        <v>678</v>
      </c>
      <c r="BT175" s="1" t="s">
        <v>679</v>
      </c>
      <c r="BU175" s="1" t="s">
        <v>679</v>
      </c>
      <c r="CF175" s="1" t="s">
        <v>1262</v>
      </c>
    </row>
    <row r="176" spans="1:84" ht="259.2" x14ac:dyDescent="0.3">
      <c r="A176" s="1">
        <v>3634</v>
      </c>
      <c r="B176" s="1" t="s">
        <v>661</v>
      </c>
      <c r="C176" s="1" t="s">
        <v>227</v>
      </c>
      <c r="E176" s="1" t="s">
        <v>1270</v>
      </c>
      <c r="F176" s="1">
        <v>1</v>
      </c>
      <c r="G176" s="1">
        <v>0</v>
      </c>
      <c r="H176" s="1" t="s">
        <v>662</v>
      </c>
      <c r="I176" s="1" t="s">
        <v>1256</v>
      </c>
      <c r="J176" s="1" t="s">
        <v>1257</v>
      </c>
      <c r="M176" s="1" t="s">
        <v>665</v>
      </c>
      <c r="O176" s="1">
        <v>1</v>
      </c>
      <c r="R176" s="1">
        <v>0</v>
      </c>
      <c r="S176" s="1">
        <v>0</v>
      </c>
      <c r="X176" s="1">
        <v>1</v>
      </c>
      <c r="AA176" s="1">
        <v>4.58</v>
      </c>
      <c r="AB176" s="1" t="s">
        <v>1268</v>
      </c>
      <c r="AC176" s="1" t="s">
        <v>1259</v>
      </c>
      <c r="AE176" s="1" t="s">
        <v>1271</v>
      </c>
      <c r="AN176" s="1">
        <v>0</v>
      </c>
      <c r="AP176" s="1" t="s">
        <v>669</v>
      </c>
      <c r="AQ176" s="1" t="s">
        <v>684</v>
      </c>
      <c r="AR176" s="1">
        <v>1</v>
      </c>
      <c r="AS176" s="1">
        <v>1</v>
      </c>
      <c r="AT176" s="1" t="s">
        <v>671</v>
      </c>
      <c r="AU176" s="1" t="s">
        <v>789</v>
      </c>
      <c r="AV176" s="1">
        <v>1</v>
      </c>
      <c r="AW176" s="1">
        <v>1</v>
      </c>
      <c r="BB176" s="1" t="s">
        <v>1261</v>
      </c>
      <c r="BC176" s="1">
        <v>0</v>
      </c>
      <c r="BF176" s="1">
        <v>13</v>
      </c>
      <c r="BG176" s="1">
        <v>10</v>
      </c>
      <c r="BH176" s="1">
        <v>12</v>
      </c>
      <c r="BM176" s="1" t="s">
        <v>1121</v>
      </c>
      <c r="BQ176" s="1" t="s">
        <v>678</v>
      </c>
      <c r="BR176" s="1" t="s">
        <v>679</v>
      </c>
      <c r="BS176" s="1" t="s">
        <v>678</v>
      </c>
      <c r="BT176" s="1" t="s">
        <v>679</v>
      </c>
      <c r="BU176" s="1" t="s">
        <v>679</v>
      </c>
      <c r="CF176" s="1" t="s">
        <v>1262</v>
      </c>
    </row>
    <row r="177" spans="1:85" ht="259.2" x14ac:dyDescent="0.3">
      <c r="A177" s="1">
        <v>3638</v>
      </c>
      <c r="B177" s="1" t="s">
        <v>661</v>
      </c>
      <c r="C177" s="1" t="s">
        <v>228</v>
      </c>
      <c r="E177" s="1" t="s">
        <v>1272</v>
      </c>
      <c r="F177" s="1">
        <v>1</v>
      </c>
      <c r="G177" s="1">
        <v>0</v>
      </c>
      <c r="H177" s="1" t="s">
        <v>662</v>
      </c>
      <c r="I177" s="1" t="s">
        <v>1256</v>
      </c>
      <c r="J177" s="1" t="s">
        <v>1257</v>
      </c>
      <c r="M177" s="1" t="s">
        <v>665</v>
      </c>
      <c r="O177" s="1">
        <v>1</v>
      </c>
      <c r="R177" s="1">
        <v>0</v>
      </c>
      <c r="S177" s="1">
        <v>0</v>
      </c>
      <c r="X177" s="1">
        <v>1</v>
      </c>
      <c r="AA177" s="1">
        <v>4.58</v>
      </c>
      <c r="AB177" s="1" t="s">
        <v>1268</v>
      </c>
      <c r="AC177" s="1" t="s">
        <v>1259</v>
      </c>
      <c r="AE177" s="1" t="s">
        <v>1273</v>
      </c>
      <c r="AN177" s="1">
        <v>0</v>
      </c>
      <c r="AP177" s="1" t="s">
        <v>669</v>
      </c>
      <c r="AQ177" s="1" t="s">
        <v>684</v>
      </c>
      <c r="AR177" s="1">
        <v>1</v>
      </c>
      <c r="AS177" s="1">
        <v>1</v>
      </c>
      <c r="AT177" s="1" t="s">
        <v>671</v>
      </c>
      <c r="AU177" s="1" t="s">
        <v>672</v>
      </c>
      <c r="AV177" s="1">
        <v>1</v>
      </c>
      <c r="AW177" s="1">
        <v>1</v>
      </c>
      <c r="BB177" s="1" t="s">
        <v>1261</v>
      </c>
      <c r="BC177" s="1">
        <v>0</v>
      </c>
      <c r="BF177" s="1">
        <v>19</v>
      </c>
      <c r="BG177" s="1">
        <v>16</v>
      </c>
      <c r="BH177" s="1">
        <v>16</v>
      </c>
      <c r="BM177" s="1" t="s">
        <v>1121</v>
      </c>
      <c r="BQ177" s="1" t="s">
        <v>678</v>
      </c>
      <c r="BR177" s="1" t="s">
        <v>679</v>
      </c>
      <c r="BS177" s="1" t="s">
        <v>678</v>
      </c>
      <c r="BT177" s="1" t="s">
        <v>679</v>
      </c>
      <c r="BU177" s="1" t="s">
        <v>679</v>
      </c>
      <c r="CF177" s="1" t="s">
        <v>1262</v>
      </c>
    </row>
    <row r="178" spans="1:85" ht="259.2" x14ac:dyDescent="0.3">
      <c r="A178" s="1">
        <v>3640</v>
      </c>
      <c r="B178" s="1" t="s">
        <v>661</v>
      </c>
      <c r="C178" s="1" t="s">
        <v>229</v>
      </c>
      <c r="E178" s="1" t="s">
        <v>1274</v>
      </c>
      <c r="F178" s="1">
        <v>1</v>
      </c>
      <c r="G178" s="1">
        <v>0</v>
      </c>
      <c r="H178" s="1" t="s">
        <v>662</v>
      </c>
      <c r="I178" s="1" t="s">
        <v>1256</v>
      </c>
      <c r="J178" s="1" t="s">
        <v>1257</v>
      </c>
      <c r="M178" s="1" t="s">
        <v>665</v>
      </c>
      <c r="O178" s="1">
        <v>1</v>
      </c>
      <c r="R178" s="1">
        <v>0</v>
      </c>
      <c r="S178" s="1">
        <v>0</v>
      </c>
      <c r="X178" s="1">
        <v>1</v>
      </c>
      <c r="AA178" s="1">
        <v>4.58</v>
      </c>
      <c r="AB178" s="1" t="s">
        <v>1268</v>
      </c>
      <c r="AC178" s="1" t="s">
        <v>1259</v>
      </c>
      <c r="AE178" s="1" t="s">
        <v>1275</v>
      </c>
      <c r="AN178" s="1">
        <v>0</v>
      </c>
      <c r="AP178" s="1" t="s">
        <v>669</v>
      </c>
      <c r="AQ178" s="1" t="s">
        <v>684</v>
      </c>
      <c r="AR178" s="1">
        <v>1</v>
      </c>
      <c r="AS178" s="1">
        <v>1</v>
      </c>
      <c r="AT178" s="1" t="s">
        <v>671</v>
      </c>
      <c r="AU178" s="1" t="s">
        <v>728</v>
      </c>
      <c r="AV178" s="1">
        <v>1</v>
      </c>
      <c r="AW178" s="1">
        <v>1</v>
      </c>
      <c r="BB178" s="1" t="s">
        <v>1261</v>
      </c>
      <c r="BC178" s="1">
        <v>0</v>
      </c>
      <c r="BF178" s="1">
        <v>14</v>
      </c>
      <c r="BG178" s="1">
        <v>11</v>
      </c>
      <c r="BH178" s="1">
        <v>13</v>
      </c>
      <c r="BM178" s="1" t="s">
        <v>1276</v>
      </c>
      <c r="BQ178" s="1" t="s">
        <v>678</v>
      </c>
      <c r="BR178" s="1" t="s">
        <v>679</v>
      </c>
      <c r="BS178" s="1" t="s">
        <v>678</v>
      </c>
      <c r="BT178" s="1" t="s">
        <v>679</v>
      </c>
      <c r="BU178" s="1" t="s">
        <v>679</v>
      </c>
      <c r="CF178" s="1" t="s">
        <v>1262</v>
      </c>
    </row>
    <row r="179" spans="1:85" ht="259.2" x14ac:dyDescent="0.3">
      <c r="A179" s="1">
        <v>3643</v>
      </c>
      <c r="B179" s="1" t="s">
        <v>661</v>
      </c>
      <c r="C179" s="1" t="s">
        <v>229</v>
      </c>
      <c r="E179" s="1" t="s">
        <v>1274</v>
      </c>
      <c r="F179" s="1">
        <v>1</v>
      </c>
      <c r="G179" s="1">
        <v>0</v>
      </c>
      <c r="H179" s="1" t="s">
        <v>662</v>
      </c>
      <c r="I179" s="1" t="s">
        <v>1256</v>
      </c>
      <c r="J179" s="1" t="s">
        <v>1257</v>
      </c>
      <c r="M179" s="1" t="s">
        <v>665</v>
      </c>
      <c r="O179" s="1">
        <v>1</v>
      </c>
      <c r="R179" s="1">
        <v>0</v>
      </c>
      <c r="S179" s="1">
        <v>0</v>
      </c>
      <c r="X179" s="1">
        <v>1</v>
      </c>
      <c r="AA179" s="1">
        <v>4.58</v>
      </c>
      <c r="AB179" s="1" t="s">
        <v>1258</v>
      </c>
      <c r="AC179" s="1" t="s">
        <v>1259</v>
      </c>
      <c r="AE179" s="1" t="s">
        <v>1275</v>
      </c>
      <c r="AN179" s="1">
        <v>0</v>
      </c>
      <c r="AP179" s="1" t="s">
        <v>669</v>
      </c>
      <c r="AQ179" s="1" t="s">
        <v>684</v>
      </c>
      <c r="AR179" s="1">
        <v>1</v>
      </c>
      <c r="AS179" s="1">
        <v>1</v>
      </c>
      <c r="AT179" s="1" t="s">
        <v>671</v>
      </c>
      <c r="AU179" s="1" t="s">
        <v>728</v>
      </c>
      <c r="AV179" s="1">
        <v>1</v>
      </c>
      <c r="AW179" s="1">
        <v>1</v>
      </c>
      <c r="BB179" s="1" t="s">
        <v>1261</v>
      </c>
      <c r="BC179" s="1">
        <v>0</v>
      </c>
      <c r="BF179" s="1">
        <v>42</v>
      </c>
      <c r="BG179" s="1">
        <v>25</v>
      </c>
      <c r="BH179" s="1">
        <v>41</v>
      </c>
      <c r="BQ179" s="1" t="s">
        <v>678</v>
      </c>
      <c r="BR179" s="1" t="s">
        <v>679</v>
      </c>
      <c r="BS179" s="1" t="s">
        <v>678</v>
      </c>
      <c r="BT179" s="1" t="s">
        <v>679</v>
      </c>
      <c r="BU179" s="1" t="s">
        <v>679</v>
      </c>
      <c r="CF179" s="1" t="s">
        <v>1262</v>
      </c>
      <c r="CG179" s="3">
        <v>46090</v>
      </c>
    </row>
    <row r="180" spans="1:85" ht="403.2" x14ac:dyDescent="0.3">
      <c r="A180" s="1">
        <v>4185</v>
      </c>
      <c r="B180" s="1" t="s">
        <v>661</v>
      </c>
      <c r="C180" s="1" t="s">
        <v>230</v>
      </c>
      <c r="E180" s="1" t="s">
        <v>1277</v>
      </c>
      <c r="F180" s="1">
        <v>1</v>
      </c>
      <c r="G180" s="1">
        <v>0</v>
      </c>
      <c r="H180" s="1" t="s">
        <v>662</v>
      </c>
      <c r="I180" s="1" t="s">
        <v>724</v>
      </c>
      <c r="M180" s="1" t="s">
        <v>665</v>
      </c>
      <c r="O180" s="1">
        <v>1</v>
      </c>
      <c r="R180" s="1">
        <v>0</v>
      </c>
      <c r="S180" s="1">
        <v>0</v>
      </c>
      <c r="X180" s="1">
        <v>1</v>
      </c>
      <c r="AA180" s="1">
        <v>8.99</v>
      </c>
      <c r="AB180" s="1" t="s">
        <v>681</v>
      </c>
      <c r="AC180" s="1" t="s">
        <v>718</v>
      </c>
      <c r="AE180" s="1" t="s">
        <v>1278</v>
      </c>
      <c r="AN180" s="1">
        <v>0</v>
      </c>
      <c r="AP180" s="1" t="s">
        <v>669</v>
      </c>
      <c r="AQ180" s="1" t="s">
        <v>684</v>
      </c>
      <c r="AR180" s="1">
        <v>1</v>
      </c>
      <c r="AS180" s="1">
        <v>1</v>
      </c>
      <c r="AT180" s="1" t="s">
        <v>671</v>
      </c>
      <c r="AU180" s="1" t="s">
        <v>696</v>
      </c>
      <c r="AV180" s="1">
        <v>1</v>
      </c>
      <c r="AW180" s="1">
        <v>1</v>
      </c>
      <c r="AX180" s="1" t="s">
        <v>685</v>
      </c>
      <c r="AY180" s="1" t="s">
        <v>686</v>
      </c>
      <c r="AZ180" s="1">
        <v>1</v>
      </c>
      <c r="BA180" s="1">
        <v>1</v>
      </c>
      <c r="BB180" s="1" t="s">
        <v>721</v>
      </c>
      <c r="BC180" s="1">
        <v>0</v>
      </c>
      <c r="BF180" s="1">
        <v>143</v>
      </c>
      <c r="BG180" s="1">
        <v>95</v>
      </c>
      <c r="BH180" s="1">
        <v>132</v>
      </c>
      <c r="BM180" s="1" t="s">
        <v>1279</v>
      </c>
      <c r="BQ180" s="1" t="s">
        <v>678</v>
      </c>
      <c r="BR180" s="1" t="s">
        <v>679</v>
      </c>
      <c r="BS180" s="1" t="s">
        <v>678</v>
      </c>
      <c r="BT180" s="1" t="s">
        <v>679</v>
      </c>
      <c r="BU180" s="1" t="s">
        <v>679</v>
      </c>
      <c r="CB180" s="1" t="s">
        <v>4</v>
      </c>
      <c r="CC180" s="1" t="s">
        <v>19</v>
      </c>
      <c r="CD180" s="1">
        <v>1</v>
      </c>
      <c r="CE180" s="1">
        <v>1</v>
      </c>
    </row>
    <row r="181" spans="1:85" ht="403.2" x14ac:dyDescent="0.3">
      <c r="A181" s="1">
        <v>4188</v>
      </c>
      <c r="B181" s="1" t="s">
        <v>661</v>
      </c>
      <c r="C181" s="1" t="s">
        <v>231</v>
      </c>
      <c r="E181" s="1" t="s">
        <v>1280</v>
      </c>
      <c r="F181" s="1">
        <v>1</v>
      </c>
      <c r="G181" s="1">
        <v>0</v>
      </c>
      <c r="H181" s="1" t="s">
        <v>662</v>
      </c>
      <c r="I181" s="1" t="s">
        <v>724</v>
      </c>
      <c r="M181" s="1" t="s">
        <v>665</v>
      </c>
      <c r="O181" s="1">
        <v>1</v>
      </c>
      <c r="R181" s="1">
        <v>0</v>
      </c>
      <c r="S181" s="1">
        <v>0</v>
      </c>
      <c r="X181" s="1">
        <v>1</v>
      </c>
      <c r="AA181" s="1">
        <v>8.99</v>
      </c>
      <c r="AB181" s="1" t="s">
        <v>681</v>
      </c>
      <c r="AC181" s="1" t="s">
        <v>718</v>
      </c>
      <c r="AE181" s="1" t="s">
        <v>1281</v>
      </c>
      <c r="AN181" s="1">
        <v>0</v>
      </c>
      <c r="AP181" s="1" t="s">
        <v>669</v>
      </c>
      <c r="AQ181" s="1" t="s">
        <v>684</v>
      </c>
      <c r="AR181" s="1">
        <v>1</v>
      </c>
      <c r="AS181" s="1">
        <v>1</v>
      </c>
      <c r="AT181" s="1" t="s">
        <v>671</v>
      </c>
      <c r="AU181" s="1" t="s">
        <v>789</v>
      </c>
      <c r="AV181" s="1">
        <v>1</v>
      </c>
      <c r="AW181" s="1">
        <v>1</v>
      </c>
      <c r="AX181" s="1" t="s">
        <v>685</v>
      </c>
      <c r="AY181" s="1" t="s">
        <v>686</v>
      </c>
      <c r="AZ181" s="1">
        <v>1</v>
      </c>
      <c r="BA181" s="1">
        <v>1</v>
      </c>
      <c r="BB181" s="1" t="s">
        <v>721</v>
      </c>
      <c r="BC181" s="1">
        <v>0</v>
      </c>
      <c r="BF181" s="1">
        <v>139</v>
      </c>
      <c r="BG181" s="1">
        <v>90</v>
      </c>
      <c r="BH181" s="1">
        <v>128</v>
      </c>
      <c r="BM181" s="1" t="s">
        <v>1279</v>
      </c>
      <c r="BQ181" s="1" t="s">
        <v>678</v>
      </c>
      <c r="BR181" s="1" t="s">
        <v>679</v>
      </c>
      <c r="BS181" s="1" t="s">
        <v>678</v>
      </c>
      <c r="BT181" s="1" t="s">
        <v>679</v>
      </c>
      <c r="BU181" s="1" t="s">
        <v>679</v>
      </c>
      <c r="CB181" s="1" t="s">
        <v>4</v>
      </c>
      <c r="CC181" s="1" t="s">
        <v>19</v>
      </c>
      <c r="CD181" s="1">
        <v>1</v>
      </c>
      <c r="CE181" s="1">
        <v>1</v>
      </c>
    </row>
    <row r="182" spans="1:85" ht="403.2" x14ac:dyDescent="0.3">
      <c r="A182" s="1">
        <v>4190</v>
      </c>
      <c r="B182" s="1" t="s">
        <v>661</v>
      </c>
      <c r="C182" s="1" t="s">
        <v>232</v>
      </c>
      <c r="E182" s="1" t="s">
        <v>1282</v>
      </c>
      <c r="F182" s="1">
        <v>1</v>
      </c>
      <c r="G182" s="1">
        <v>0</v>
      </c>
      <c r="H182" s="1" t="s">
        <v>662</v>
      </c>
      <c r="I182" s="1" t="s">
        <v>724</v>
      </c>
      <c r="M182" s="1" t="s">
        <v>665</v>
      </c>
      <c r="O182" s="1">
        <v>1</v>
      </c>
      <c r="R182" s="1">
        <v>0</v>
      </c>
      <c r="S182" s="1">
        <v>0</v>
      </c>
      <c r="X182" s="1">
        <v>1</v>
      </c>
      <c r="AA182" s="1">
        <v>8.99</v>
      </c>
      <c r="AB182" s="1" t="s">
        <v>681</v>
      </c>
      <c r="AC182" s="1" t="s">
        <v>718</v>
      </c>
      <c r="AE182" s="1" t="s">
        <v>1283</v>
      </c>
      <c r="AN182" s="1">
        <v>0</v>
      </c>
      <c r="AP182" s="1" t="s">
        <v>669</v>
      </c>
      <c r="AQ182" s="1" t="s">
        <v>684</v>
      </c>
      <c r="AR182" s="1">
        <v>1</v>
      </c>
      <c r="AS182" s="1">
        <v>1</v>
      </c>
      <c r="AT182" s="1" t="s">
        <v>671</v>
      </c>
      <c r="AU182" s="1" t="s">
        <v>1051</v>
      </c>
      <c r="AV182" s="1">
        <v>1</v>
      </c>
      <c r="AW182" s="1">
        <v>1</v>
      </c>
      <c r="AX182" s="1" t="s">
        <v>685</v>
      </c>
      <c r="AY182" s="1" t="s">
        <v>686</v>
      </c>
      <c r="AZ182" s="1">
        <v>1</v>
      </c>
      <c r="BA182" s="1">
        <v>1</v>
      </c>
      <c r="BB182" s="1" t="s">
        <v>721</v>
      </c>
      <c r="BC182" s="1">
        <v>0</v>
      </c>
      <c r="BF182" s="1">
        <v>139</v>
      </c>
      <c r="BG182" s="1">
        <v>90</v>
      </c>
      <c r="BH182" s="1">
        <v>127</v>
      </c>
      <c r="BM182" s="1" t="s">
        <v>1279</v>
      </c>
      <c r="BQ182" s="1" t="s">
        <v>678</v>
      </c>
      <c r="BR182" s="1" t="s">
        <v>679</v>
      </c>
      <c r="BS182" s="1" t="s">
        <v>678</v>
      </c>
      <c r="BT182" s="1" t="s">
        <v>679</v>
      </c>
      <c r="BU182" s="1" t="s">
        <v>679</v>
      </c>
      <c r="CB182" s="1" t="s">
        <v>4</v>
      </c>
      <c r="CC182" s="1" t="s">
        <v>19</v>
      </c>
      <c r="CD182" s="1">
        <v>1</v>
      </c>
      <c r="CE182" s="1">
        <v>1</v>
      </c>
    </row>
    <row r="183" spans="1:85" ht="403.2" x14ac:dyDescent="0.3">
      <c r="A183" s="1">
        <v>4192</v>
      </c>
      <c r="B183" s="1" t="s">
        <v>661</v>
      </c>
      <c r="C183" s="1" t="s">
        <v>233</v>
      </c>
      <c r="E183" s="1" t="s">
        <v>1284</v>
      </c>
      <c r="F183" s="1">
        <v>1</v>
      </c>
      <c r="G183" s="1">
        <v>0</v>
      </c>
      <c r="H183" s="1" t="s">
        <v>662</v>
      </c>
      <c r="I183" s="1" t="s">
        <v>724</v>
      </c>
      <c r="M183" s="1" t="s">
        <v>665</v>
      </c>
      <c r="O183" s="1">
        <v>1</v>
      </c>
      <c r="R183" s="1">
        <v>0</v>
      </c>
      <c r="S183" s="1">
        <v>0</v>
      </c>
      <c r="X183" s="1">
        <v>1</v>
      </c>
      <c r="AA183" s="1">
        <v>8.99</v>
      </c>
      <c r="AB183" s="1" t="s">
        <v>681</v>
      </c>
      <c r="AC183" s="1" t="s">
        <v>718</v>
      </c>
      <c r="AE183" s="1" t="s">
        <v>1285</v>
      </c>
      <c r="AN183" s="1">
        <v>0</v>
      </c>
      <c r="AP183" s="1" t="s">
        <v>669</v>
      </c>
      <c r="AQ183" s="1" t="s">
        <v>684</v>
      </c>
      <c r="AR183" s="1">
        <v>1</v>
      </c>
      <c r="AS183" s="1">
        <v>1</v>
      </c>
      <c r="AT183" s="1" t="s">
        <v>671</v>
      </c>
      <c r="AU183" s="1" t="s">
        <v>893</v>
      </c>
      <c r="AV183" s="1">
        <v>1</v>
      </c>
      <c r="AW183" s="1">
        <v>1</v>
      </c>
      <c r="AX183" s="1" t="s">
        <v>685</v>
      </c>
      <c r="AY183" s="1" t="s">
        <v>686</v>
      </c>
      <c r="AZ183" s="1">
        <v>1</v>
      </c>
      <c r="BA183" s="1">
        <v>1</v>
      </c>
      <c r="BB183" s="1" t="s">
        <v>721</v>
      </c>
      <c r="BC183" s="1">
        <v>0</v>
      </c>
      <c r="BF183" s="1">
        <v>137</v>
      </c>
      <c r="BG183" s="1">
        <v>88</v>
      </c>
      <c r="BH183" s="1">
        <v>125</v>
      </c>
      <c r="BM183" s="1" t="s">
        <v>1279</v>
      </c>
      <c r="BQ183" s="1" t="s">
        <v>678</v>
      </c>
      <c r="BR183" s="1" t="s">
        <v>679</v>
      </c>
      <c r="BS183" s="1" t="s">
        <v>678</v>
      </c>
      <c r="BT183" s="1" t="s">
        <v>679</v>
      </c>
      <c r="BU183" s="1" t="s">
        <v>679</v>
      </c>
      <c r="CB183" s="1" t="s">
        <v>4</v>
      </c>
      <c r="CC183" s="1" t="s">
        <v>19</v>
      </c>
      <c r="CD183" s="1">
        <v>1</v>
      </c>
      <c r="CE183" s="1">
        <v>1</v>
      </c>
    </row>
    <row r="184" spans="1:85" ht="403.2" x14ac:dyDescent="0.3">
      <c r="A184" s="1">
        <v>4194</v>
      </c>
      <c r="B184" s="1" t="s">
        <v>661</v>
      </c>
      <c r="C184" s="1" t="s">
        <v>234</v>
      </c>
      <c r="E184" s="1" t="s">
        <v>1286</v>
      </c>
      <c r="F184" s="1">
        <v>1</v>
      </c>
      <c r="G184" s="1">
        <v>0</v>
      </c>
      <c r="H184" s="1" t="s">
        <v>662</v>
      </c>
      <c r="I184" s="1" t="s">
        <v>724</v>
      </c>
      <c r="M184" s="1" t="s">
        <v>665</v>
      </c>
      <c r="O184" s="1">
        <v>1</v>
      </c>
      <c r="R184" s="1">
        <v>0</v>
      </c>
      <c r="S184" s="1">
        <v>0</v>
      </c>
      <c r="X184" s="1">
        <v>1</v>
      </c>
      <c r="AA184" s="1">
        <v>8.99</v>
      </c>
      <c r="AB184" s="1" t="s">
        <v>681</v>
      </c>
      <c r="AC184" s="1" t="s">
        <v>718</v>
      </c>
      <c r="AE184" s="1" t="s">
        <v>1287</v>
      </c>
      <c r="AN184" s="1">
        <v>0</v>
      </c>
      <c r="AP184" s="1" t="s">
        <v>669</v>
      </c>
      <c r="AQ184" s="1" t="s">
        <v>684</v>
      </c>
      <c r="AR184" s="1">
        <v>1</v>
      </c>
      <c r="AS184" s="1">
        <v>1</v>
      </c>
      <c r="AT184" s="1" t="s">
        <v>671</v>
      </c>
      <c r="AU184" s="1" t="s">
        <v>792</v>
      </c>
      <c r="AV184" s="1">
        <v>1</v>
      </c>
      <c r="AW184" s="1">
        <v>1</v>
      </c>
      <c r="AX184" s="1" t="s">
        <v>685</v>
      </c>
      <c r="AY184" s="1" t="s">
        <v>686</v>
      </c>
      <c r="AZ184" s="1">
        <v>1</v>
      </c>
      <c r="BA184" s="1">
        <v>1</v>
      </c>
      <c r="BB184" s="1" t="s">
        <v>721</v>
      </c>
      <c r="BC184" s="1">
        <v>0</v>
      </c>
      <c r="BF184" s="1">
        <v>134</v>
      </c>
      <c r="BG184" s="1">
        <v>86</v>
      </c>
      <c r="BH184" s="1">
        <v>124</v>
      </c>
      <c r="BM184" s="1" t="s">
        <v>1279</v>
      </c>
      <c r="BQ184" s="1" t="s">
        <v>678</v>
      </c>
      <c r="BR184" s="1" t="s">
        <v>679</v>
      </c>
      <c r="BS184" s="1" t="s">
        <v>678</v>
      </c>
      <c r="BT184" s="1" t="s">
        <v>679</v>
      </c>
      <c r="BU184" s="1" t="s">
        <v>679</v>
      </c>
      <c r="CB184" s="1" t="s">
        <v>4</v>
      </c>
      <c r="CC184" s="1" t="s">
        <v>19</v>
      </c>
      <c r="CD184" s="1">
        <v>1</v>
      </c>
      <c r="CE184" s="1">
        <v>1</v>
      </c>
    </row>
    <row r="185" spans="1:85" ht="403.2" x14ac:dyDescent="0.3">
      <c r="A185" s="1">
        <v>4196</v>
      </c>
      <c r="B185" s="1" t="s">
        <v>661</v>
      </c>
      <c r="C185" s="1" t="s">
        <v>235</v>
      </c>
      <c r="E185" s="1" t="s">
        <v>1288</v>
      </c>
      <c r="F185" s="1">
        <v>1</v>
      </c>
      <c r="G185" s="1">
        <v>0</v>
      </c>
      <c r="H185" s="1" t="s">
        <v>662</v>
      </c>
      <c r="I185" s="1" t="s">
        <v>1289</v>
      </c>
      <c r="M185" s="1" t="s">
        <v>665</v>
      </c>
      <c r="O185" s="1">
        <v>1</v>
      </c>
      <c r="R185" s="1">
        <v>0</v>
      </c>
      <c r="S185" s="1">
        <v>0</v>
      </c>
      <c r="X185" s="1">
        <v>1</v>
      </c>
      <c r="AA185" s="1">
        <v>8.99</v>
      </c>
      <c r="AB185" s="1" t="s">
        <v>681</v>
      </c>
      <c r="AC185" s="1" t="s">
        <v>718</v>
      </c>
      <c r="AE185" s="1" t="s">
        <v>1290</v>
      </c>
      <c r="AN185" s="1">
        <v>0</v>
      </c>
      <c r="AP185" s="1" t="s">
        <v>669</v>
      </c>
      <c r="AQ185" s="1" t="s">
        <v>684</v>
      </c>
      <c r="AR185" s="1">
        <v>1</v>
      </c>
      <c r="AS185" s="1">
        <v>1</v>
      </c>
      <c r="AT185" s="1" t="s">
        <v>671</v>
      </c>
      <c r="AU185" s="1" t="s">
        <v>728</v>
      </c>
      <c r="AV185" s="1">
        <v>1</v>
      </c>
      <c r="AW185" s="1">
        <v>1</v>
      </c>
      <c r="AX185" s="1" t="s">
        <v>685</v>
      </c>
      <c r="AY185" s="1" t="s">
        <v>686</v>
      </c>
      <c r="AZ185" s="1">
        <v>1</v>
      </c>
      <c r="BA185" s="1">
        <v>1</v>
      </c>
      <c r="BB185" s="1" t="s">
        <v>721</v>
      </c>
      <c r="BC185" s="1">
        <v>0</v>
      </c>
      <c r="BF185" s="1">
        <v>143</v>
      </c>
      <c r="BG185" s="1">
        <v>95</v>
      </c>
      <c r="BH185" s="1">
        <v>130</v>
      </c>
      <c r="BM185" s="1" t="s">
        <v>1279</v>
      </c>
      <c r="BQ185" s="1" t="s">
        <v>678</v>
      </c>
      <c r="BR185" s="1" t="s">
        <v>679</v>
      </c>
      <c r="BS185" s="1" t="s">
        <v>678</v>
      </c>
      <c r="BT185" s="1" t="s">
        <v>679</v>
      </c>
      <c r="BU185" s="1" t="s">
        <v>679</v>
      </c>
      <c r="CB185" s="1" t="s">
        <v>4</v>
      </c>
      <c r="CC185" s="1" t="s">
        <v>19</v>
      </c>
      <c r="CD185" s="1">
        <v>1</v>
      </c>
      <c r="CE185" s="1">
        <v>1</v>
      </c>
    </row>
    <row r="186" spans="1:85" ht="403.2" x14ac:dyDescent="0.3">
      <c r="A186" s="1">
        <v>4198</v>
      </c>
      <c r="B186" s="1" t="s">
        <v>661</v>
      </c>
      <c r="C186" s="1" t="s">
        <v>236</v>
      </c>
      <c r="E186" s="1" t="s">
        <v>1291</v>
      </c>
      <c r="F186" s="1">
        <v>1</v>
      </c>
      <c r="G186" s="1">
        <v>0</v>
      </c>
      <c r="H186" s="1" t="s">
        <v>662</v>
      </c>
      <c r="I186" s="1" t="s">
        <v>1289</v>
      </c>
      <c r="M186" s="1" t="s">
        <v>665</v>
      </c>
      <c r="O186" s="1">
        <v>1</v>
      </c>
      <c r="R186" s="1">
        <v>0</v>
      </c>
      <c r="S186" s="1">
        <v>0</v>
      </c>
      <c r="X186" s="1">
        <v>1</v>
      </c>
      <c r="AA186" s="1">
        <v>8.99</v>
      </c>
      <c r="AB186" s="1" t="s">
        <v>681</v>
      </c>
      <c r="AC186" s="1" t="s">
        <v>718</v>
      </c>
      <c r="AE186" s="1" t="s">
        <v>1292</v>
      </c>
      <c r="AN186" s="1">
        <v>0</v>
      </c>
      <c r="AP186" s="1" t="s">
        <v>669</v>
      </c>
      <c r="AQ186" s="1" t="s">
        <v>684</v>
      </c>
      <c r="AR186" s="1">
        <v>1</v>
      </c>
      <c r="AS186" s="1">
        <v>1</v>
      </c>
      <c r="AT186" s="1" t="s">
        <v>671</v>
      </c>
      <c r="AU186" s="1" t="s">
        <v>796</v>
      </c>
      <c r="AV186" s="1">
        <v>1</v>
      </c>
      <c r="AW186" s="1">
        <v>1</v>
      </c>
      <c r="AX186" s="1" t="s">
        <v>685</v>
      </c>
      <c r="AY186" s="1" t="s">
        <v>686</v>
      </c>
      <c r="AZ186" s="1">
        <v>1</v>
      </c>
      <c r="BA186" s="1">
        <v>1</v>
      </c>
      <c r="BB186" s="1" t="s">
        <v>721</v>
      </c>
      <c r="BC186" s="1">
        <v>0</v>
      </c>
      <c r="BF186" s="1">
        <v>131</v>
      </c>
      <c r="BG186" s="1">
        <v>81</v>
      </c>
      <c r="BH186" s="1">
        <v>121</v>
      </c>
      <c r="BM186" s="1" t="s">
        <v>1279</v>
      </c>
      <c r="BQ186" s="1" t="s">
        <v>678</v>
      </c>
      <c r="BR186" s="1" t="s">
        <v>679</v>
      </c>
      <c r="BS186" s="1" t="s">
        <v>678</v>
      </c>
      <c r="BT186" s="1" t="s">
        <v>679</v>
      </c>
      <c r="BU186" s="1" t="s">
        <v>679</v>
      </c>
      <c r="CB186" s="1" t="s">
        <v>4</v>
      </c>
      <c r="CC186" s="1" t="s">
        <v>19</v>
      </c>
      <c r="CD186" s="1">
        <v>1</v>
      </c>
      <c r="CE186" s="1">
        <v>1</v>
      </c>
    </row>
    <row r="187" spans="1:85" ht="403.2" x14ac:dyDescent="0.3">
      <c r="A187" s="1">
        <v>4200</v>
      </c>
      <c r="B187" s="1" t="s">
        <v>661</v>
      </c>
      <c r="C187" s="1" t="s">
        <v>237</v>
      </c>
      <c r="E187" s="1" t="s">
        <v>1293</v>
      </c>
      <c r="F187" s="1">
        <v>1</v>
      </c>
      <c r="G187" s="1">
        <v>0</v>
      </c>
      <c r="H187" s="1" t="s">
        <v>662</v>
      </c>
      <c r="I187" s="1" t="s">
        <v>1289</v>
      </c>
      <c r="M187" s="1" t="s">
        <v>665</v>
      </c>
      <c r="O187" s="1">
        <v>1</v>
      </c>
      <c r="R187" s="1">
        <v>0</v>
      </c>
      <c r="S187" s="1">
        <v>0</v>
      </c>
      <c r="X187" s="1">
        <v>1</v>
      </c>
      <c r="AA187" s="1">
        <v>8.99</v>
      </c>
      <c r="AB187" s="1" t="s">
        <v>681</v>
      </c>
      <c r="AC187" s="1" t="s">
        <v>718</v>
      </c>
      <c r="AE187" s="1" t="s">
        <v>1294</v>
      </c>
      <c r="AN187" s="1">
        <v>0</v>
      </c>
      <c r="AP187" s="1" t="s">
        <v>669</v>
      </c>
      <c r="AQ187" s="1" t="s">
        <v>684</v>
      </c>
      <c r="AR187" s="1">
        <v>1</v>
      </c>
      <c r="AS187" s="1">
        <v>1</v>
      </c>
      <c r="AT187" s="1" t="s">
        <v>671</v>
      </c>
      <c r="AU187" s="1" t="s">
        <v>1154</v>
      </c>
      <c r="AV187" s="1">
        <v>1</v>
      </c>
      <c r="AW187" s="1">
        <v>1</v>
      </c>
      <c r="AX187" s="1" t="s">
        <v>685</v>
      </c>
      <c r="AY187" s="1" t="s">
        <v>686</v>
      </c>
      <c r="AZ187" s="1">
        <v>1</v>
      </c>
      <c r="BA187" s="1">
        <v>1</v>
      </c>
      <c r="BB187" s="1" t="s">
        <v>721</v>
      </c>
      <c r="BC187" s="1">
        <v>0</v>
      </c>
      <c r="BF187" s="1">
        <v>129</v>
      </c>
      <c r="BG187" s="1">
        <v>78</v>
      </c>
      <c r="BH187" s="1">
        <v>118</v>
      </c>
      <c r="BM187" s="1" t="s">
        <v>1279</v>
      </c>
      <c r="BQ187" s="1" t="s">
        <v>678</v>
      </c>
      <c r="BR187" s="1" t="s">
        <v>679</v>
      </c>
      <c r="BS187" s="1" t="s">
        <v>678</v>
      </c>
      <c r="BT187" s="1" t="s">
        <v>679</v>
      </c>
      <c r="BU187" s="1" t="s">
        <v>679</v>
      </c>
      <c r="CB187" s="1" t="s">
        <v>4</v>
      </c>
      <c r="CC187" s="1" t="s">
        <v>19</v>
      </c>
      <c r="CD187" s="1">
        <v>1</v>
      </c>
      <c r="CE187" s="1">
        <v>1</v>
      </c>
    </row>
    <row r="188" spans="1:85" ht="403.2" x14ac:dyDescent="0.3">
      <c r="A188" s="1">
        <v>4203</v>
      </c>
      <c r="B188" s="1" t="s">
        <v>661</v>
      </c>
      <c r="C188" s="1" t="s">
        <v>238</v>
      </c>
      <c r="E188" s="1" t="s">
        <v>1295</v>
      </c>
      <c r="F188" s="1">
        <v>1</v>
      </c>
      <c r="G188" s="1">
        <v>0</v>
      </c>
      <c r="H188" s="1" t="s">
        <v>662</v>
      </c>
      <c r="I188" s="1" t="s">
        <v>1289</v>
      </c>
      <c r="M188" s="1" t="s">
        <v>665</v>
      </c>
      <c r="O188" s="1">
        <v>1</v>
      </c>
      <c r="R188" s="1">
        <v>0</v>
      </c>
      <c r="S188" s="1">
        <v>0</v>
      </c>
      <c r="X188" s="1">
        <v>1</v>
      </c>
      <c r="AA188" s="1">
        <v>8.99</v>
      </c>
      <c r="AB188" s="1" t="s">
        <v>681</v>
      </c>
      <c r="AC188" s="1" t="s">
        <v>718</v>
      </c>
      <c r="AE188" s="1" t="s">
        <v>1296</v>
      </c>
      <c r="AN188" s="1">
        <v>0</v>
      </c>
      <c r="AP188" s="1" t="s">
        <v>669</v>
      </c>
      <c r="AQ188" s="1" t="s">
        <v>684</v>
      </c>
      <c r="AR188" s="1">
        <v>1</v>
      </c>
      <c r="AS188" s="1">
        <v>1</v>
      </c>
      <c r="AT188" s="1" t="s">
        <v>671</v>
      </c>
      <c r="AU188" s="1" t="s">
        <v>1157</v>
      </c>
      <c r="AV188" s="1">
        <v>1</v>
      </c>
      <c r="AW188" s="1">
        <v>1</v>
      </c>
      <c r="AX188" s="1" t="s">
        <v>685</v>
      </c>
      <c r="AY188" s="1" t="s">
        <v>686</v>
      </c>
      <c r="AZ188" s="1">
        <v>1</v>
      </c>
      <c r="BA188" s="1">
        <v>1</v>
      </c>
      <c r="BB188" s="1" t="s">
        <v>721</v>
      </c>
      <c r="BC188" s="1">
        <v>0</v>
      </c>
      <c r="BF188" s="1">
        <v>149</v>
      </c>
      <c r="BG188" s="1">
        <v>94</v>
      </c>
      <c r="BH188" s="1">
        <v>136</v>
      </c>
      <c r="BM188" s="1" t="s">
        <v>1279</v>
      </c>
      <c r="BQ188" s="1" t="s">
        <v>678</v>
      </c>
      <c r="BR188" s="1" t="s">
        <v>679</v>
      </c>
      <c r="BS188" s="1" t="s">
        <v>678</v>
      </c>
      <c r="BT188" s="1" t="s">
        <v>679</v>
      </c>
      <c r="BU188" s="1" t="s">
        <v>679</v>
      </c>
      <c r="CB188" s="1" t="s">
        <v>4</v>
      </c>
      <c r="CC188" s="1" t="s">
        <v>19</v>
      </c>
      <c r="CD188" s="1">
        <v>1</v>
      </c>
      <c r="CE188" s="1">
        <v>1</v>
      </c>
    </row>
    <row r="189" spans="1:85" ht="374.4" x14ac:dyDescent="0.3">
      <c r="A189" s="1">
        <v>4204</v>
      </c>
      <c r="B189" s="1" t="s">
        <v>661</v>
      </c>
      <c r="C189" s="1" t="s">
        <v>239</v>
      </c>
      <c r="E189" s="1" t="s">
        <v>1297</v>
      </c>
      <c r="F189" s="1">
        <v>1</v>
      </c>
      <c r="G189" s="1">
        <v>0</v>
      </c>
      <c r="H189" s="1" t="s">
        <v>662</v>
      </c>
      <c r="I189" s="1" t="s">
        <v>1298</v>
      </c>
      <c r="M189" s="1" t="s">
        <v>665</v>
      </c>
      <c r="O189" s="1">
        <v>1</v>
      </c>
      <c r="R189" s="1">
        <v>0</v>
      </c>
      <c r="S189" s="1">
        <v>0</v>
      </c>
      <c r="X189" s="1">
        <v>1</v>
      </c>
      <c r="AA189" s="1">
        <v>9.99</v>
      </c>
      <c r="AB189" s="1" t="s">
        <v>1299</v>
      </c>
      <c r="AC189" s="1" t="s">
        <v>1300</v>
      </c>
      <c r="AE189" s="1" t="s">
        <v>1301</v>
      </c>
      <c r="AN189" s="1">
        <v>0</v>
      </c>
      <c r="AP189" s="1" t="s">
        <v>669</v>
      </c>
      <c r="AQ189" s="1" t="s">
        <v>819</v>
      </c>
      <c r="AR189" s="1">
        <v>1</v>
      </c>
      <c r="AS189" s="1">
        <v>1</v>
      </c>
      <c r="AT189" s="1" t="s">
        <v>671</v>
      </c>
      <c r="AU189" s="1" t="s">
        <v>672</v>
      </c>
      <c r="AV189" s="1">
        <v>1</v>
      </c>
      <c r="AW189" s="1">
        <v>1</v>
      </c>
      <c r="AX189" s="1" t="s">
        <v>685</v>
      </c>
      <c r="AY189" s="1" t="s">
        <v>686</v>
      </c>
      <c r="AZ189" s="1">
        <v>1</v>
      </c>
      <c r="BA189" s="1">
        <v>1</v>
      </c>
      <c r="BB189" s="1" t="s">
        <v>1302</v>
      </c>
      <c r="BC189" s="1">
        <v>0</v>
      </c>
      <c r="BF189" s="1">
        <v>139</v>
      </c>
      <c r="BG189" s="1">
        <v>91</v>
      </c>
      <c r="BH189" s="1">
        <v>128</v>
      </c>
      <c r="BM189" s="1" t="s">
        <v>1303</v>
      </c>
      <c r="BQ189" s="1" t="s">
        <v>678</v>
      </c>
      <c r="BR189" s="1" t="s">
        <v>679</v>
      </c>
      <c r="BS189" s="1" t="s">
        <v>678</v>
      </c>
      <c r="BT189" s="1" t="s">
        <v>679</v>
      </c>
      <c r="BU189" s="1" t="s">
        <v>679</v>
      </c>
      <c r="CB189" s="1" t="s">
        <v>4</v>
      </c>
      <c r="CC189" s="1" t="s">
        <v>19</v>
      </c>
      <c r="CD189" s="1">
        <v>1</v>
      </c>
      <c r="CE189" s="1">
        <v>1</v>
      </c>
    </row>
    <row r="190" spans="1:85" ht="374.4" x14ac:dyDescent="0.3">
      <c r="A190" s="1">
        <v>4207</v>
      </c>
      <c r="B190" s="1" t="s">
        <v>661</v>
      </c>
      <c r="C190" s="1" t="s">
        <v>242</v>
      </c>
      <c r="E190" s="1" t="s">
        <v>1304</v>
      </c>
      <c r="F190" s="1">
        <v>1</v>
      </c>
      <c r="G190" s="1">
        <v>0</v>
      </c>
      <c r="H190" s="1" t="s">
        <v>662</v>
      </c>
      <c r="I190" s="1" t="s">
        <v>1298</v>
      </c>
      <c r="M190" s="1" t="s">
        <v>665</v>
      </c>
      <c r="O190" s="1">
        <v>1</v>
      </c>
      <c r="R190" s="1">
        <v>0</v>
      </c>
      <c r="S190" s="1">
        <v>0</v>
      </c>
      <c r="X190" s="1">
        <v>1</v>
      </c>
      <c r="AA190" s="1">
        <v>9.99</v>
      </c>
      <c r="AB190" s="1" t="s">
        <v>1299</v>
      </c>
      <c r="AC190" s="1" t="s">
        <v>1300</v>
      </c>
      <c r="AE190" s="1" t="s">
        <v>1305</v>
      </c>
      <c r="AN190" s="1">
        <v>0</v>
      </c>
      <c r="AP190" s="1" t="s">
        <v>669</v>
      </c>
      <c r="AQ190" s="1" t="s">
        <v>819</v>
      </c>
      <c r="AR190" s="1">
        <v>1</v>
      </c>
      <c r="AS190" s="1">
        <v>1</v>
      </c>
      <c r="AT190" s="1" t="s">
        <v>671</v>
      </c>
      <c r="AU190" s="1" t="s">
        <v>728</v>
      </c>
      <c r="AV190" s="1">
        <v>1</v>
      </c>
      <c r="AW190" s="1">
        <v>1</v>
      </c>
      <c r="AX190" s="1" t="s">
        <v>685</v>
      </c>
      <c r="AY190" s="1" t="s">
        <v>686</v>
      </c>
      <c r="AZ190" s="1">
        <v>1</v>
      </c>
      <c r="BA190" s="1">
        <v>1</v>
      </c>
      <c r="BB190" s="1" t="s">
        <v>1302</v>
      </c>
      <c r="BC190" s="1">
        <v>0</v>
      </c>
      <c r="BF190" s="1">
        <v>138</v>
      </c>
      <c r="BG190" s="1">
        <v>89</v>
      </c>
      <c r="BH190" s="1">
        <v>127</v>
      </c>
      <c r="BM190" s="1" t="s">
        <v>1303</v>
      </c>
      <c r="BQ190" s="1" t="s">
        <v>678</v>
      </c>
      <c r="BR190" s="1" t="s">
        <v>679</v>
      </c>
      <c r="BS190" s="1" t="s">
        <v>678</v>
      </c>
      <c r="BT190" s="1" t="s">
        <v>679</v>
      </c>
      <c r="BU190" s="1" t="s">
        <v>679</v>
      </c>
      <c r="CB190" s="1" t="s">
        <v>4</v>
      </c>
      <c r="CC190" s="1" t="s">
        <v>19</v>
      </c>
      <c r="CD190" s="1">
        <v>1</v>
      </c>
      <c r="CE190" s="1">
        <v>1</v>
      </c>
    </row>
    <row r="191" spans="1:85" ht="374.4" x14ac:dyDescent="0.3">
      <c r="A191" s="1">
        <v>4210</v>
      </c>
      <c r="B191" s="1" t="s">
        <v>661</v>
      </c>
      <c r="C191" s="1" t="s">
        <v>243</v>
      </c>
      <c r="E191" s="1" t="s">
        <v>1306</v>
      </c>
      <c r="F191" s="1">
        <v>1</v>
      </c>
      <c r="G191" s="1">
        <v>0</v>
      </c>
      <c r="H191" s="1" t="s">
        <v>662</v>
      </c>
      <c r="I191" s="1" t="s">
        <v>1298</v>
      </c>
      <c r="M191" s="1" t="s">
        <v>665</v>
      </c>
      <c r="O191" s="1">
        <v>1</v>
      </c>
      <c r="R191" s="1">
        <v>0</v>
      </c>
      <c r="S191" s="1">
        <v>0</v>
      </c>
      <c r="X191" s="1">
        <v>1</v>
      </c>
      <c r="AA191" s="1">
        <v>9.99</v>
      </c>
      <c r="AB191" s="1" t="s">
        <v>1299</v>
      </c>
      <c r="AC191" s="1" t="s">
        <v>1300</v>
      </c>
      <c r="AE191" s="1" t="s">
        <v>1307</v>
      </c>
      <c r="AN191" s="1">
        <v>0</v>
      </c>
      <c r="AP191" s="1" t="s">
        <v>669</v>
      </c>
      <c r="AQ191" s="1" t="s">
        <v>819</v>
      </c>
      <c r="AR191" s="1">
        <v>1</v>
      </c>
      <c r="AS191" s="1">
        <v>1</v>
      </c>
      <c r="AT191" s="1" t="s">
        <v>671</v>
      </c>
      <c r="AU191" s="1" t="s">
        <v>731</v>
      </c>
      <c r="AV191" s="1">
        <v>1</v>
      </c>
      <c r="AW191" s="1">
        <v>1</v>
      </c>
      <c r="AX191" s="1" t="s">
        <v>685</v>
      </c>
      <c r="AY191" s="1" t="s">
        <v>686</v>
      </c>
      <c r="AZ191" s="1">
        <v>1</v>
      </c>
      <c r="BA191" s="1">
        <v>1</v>
      </c>
      <c r="BB191" s="1" t="s">
        <v>1302</v>
      </c>
      <c r="BC191" s="1">
        <v>0</v>
      </c>
      <c r="BF191" s="1">
        <v>145</v>
      </c>
      <c r="BG191" s="1">
        <v>97</v>
      </c>
      <c r="BH191" s="1">
        <v>133</v>
      </c>
      <c r="BM191" s="1" t="s">
        <v>1303</v>
      </c>
      <c r="BQ191" s="1" t="s">
        <v>678</v>
      </c>
      <c r="BR191" s="1" t="s">
        <v>679</v>
      </c>
      <c r="BS191" s="1" t="s">
        <v>678</v>
      </c>
      <c r="BT191" s="1" t="s">
        <v>679</v>
      </c>
      <c r="BU191" s="1" t="s">
        <v>679</v>
      </c>
      <c r="CB191" s="1" t="s">
        <v>4</v>
      </c>
      <c r="CC191" s="1" t="s">
        <v>19</v>
      </c>
      <c r="CD191" s="1">
        <v>1</v>
      </c>
      <c r="CE191" s="1">
        <v>1</v>
      </c>
    </row>
    <row r="192" spans="1:85" ht="374.4" x14ac:dyDescent="0.3">
      <c r="A192" s="1">
        <v>4211</v>
      </c>
      <c r="B192" s="1" t="s">
        <v>661</v>
      </c>
      <c r="C192" s="1" t="s">
        <v>244</v>
      </c>
      <c r="E192" s="1" t="s">
        <v>1308</v>
      </c>
      <c r="F192" s="1">
        <v>1</v>
      </c>
      <c r="G192" s="1">
        <v>0</v>
      </c>
      <c r="H192" s="1" t="s">
        <v>662</v>
      </c>
      <c r="I192" s="1" t="s">
        <v>1298</v>
      </c>
      <c r="M192" s="1" t="s">
        <v>665</v>
      </c>
      <c r="O192" s="1">
        <v>1</v>
      </c>
      <c r="R192" s="1">
        <v>0</v>
      </c>
      <c r="S192" s="1">
        <v>0</v>
      </c>
      <c r="X192" s="1">
        <v>1</v>
      </c>
      <c r="AA192" s="1">
        <v>9.99</v>
      </c>
      <c r="AB192" s="1" t="s">
        <v>1299</v>
      </c>
      <c r="AC192" s="1" t="s">
        <v>1300</v>
      </c>
      <c r="AE192" s="1" t="s">
        <v>1309</v>
      </c>
      <c r="AN192" s="1">
        <v>0</v>
      </c>
      <c r="AP192" s="1" t="s">
        <v>669</v>
      </c>
      <c r="AQ192" s="1" t="s">
        <v>819</v>
      </c>
      <c r="AR192" s="1">
        <v>1</v>
      </c>
      <c r="AS192" s="1">
        <v>1</v>
      </c>
      <c r="AT192" s="1" t="s">
        <v>671</v>
      </c>
      <c r="AU192" s="1" t="s">
        <v>696</v>
      </c>
      <c r="AV192" s="1">
        <v>1</v>
      </c>
      <c r="AW192" s="1">
        <v>1</v>
      </c>
      <c r="AX192" s="1" t="s">
        <v>685</v>
      </c>
      <c r="AY192" s="1" t="s">
        <v>686</v>
      </c>
      <c r="AZ192" s="1">
        <v>1</v>
      </c>
      <c r="BA192" s="1">
        <v>1</v>
      </c>
      <c r="BB192" s="1" t="s">
        <v>1302</v>
      </c>
      <c r="BC192" s="1">
        <v>0</v>
      </c>
      <c r="BF192" s="1">
        <v>146</v>
      </c>
      <c r="BG192" s="1">
        <v>98</v>
      </c>
      <c r="BH192" s="1">
        <v>133</v>
      </c>
      <c r="BM192" s="1" t="s">
        <v>1303</v>
      </c>
      <c r="BQ192" s="1" t="s">
        <v>678</v>
      </c>
      <c r="BR192" s="1" t="s">
        <v>679</v>
      </c>
      <c r="BS192" s="1" t="s">
        <v>678</v>
      </c>
      <c r="BT192" s="1" t="s">
        <v>679</v>
      </c>
      <c r="BU192" s="1" t="s">
        <v>679</v>
      </c>
      <c r="CB192" s="1" t="s">
        <v>4</v>
      </c>
      <c r="CC192" s="1" t="s">
        <v>19</v>
      </c>
      <c r="CD192" s="1">
        <v>1</v>
      </c>
      <c r="CE192" s="1">
        <v>1</v>
      </c>
    </row>
    <row r="193" spans="1:85" ht="374.4" x14ac:dyDescent="0.3">
      <c r="A193" s="1">
        <v>4214</v>
      </c>
      <c r="B193" s="1" t="s">
        <v>661</v>
      </c>
      <c r="C193" s="1" t="s">
        <v>245</v>
      </c>
      <c r="E193" s="1" t="s">
        <v>1310</v>
      </c>
      <c r="F193" s="1">
        <v>1</v>
      </c>
      <c r="G193" s="1">
        <v>0</v>
      </c>
      <c r="H193" s="1" t="s">
        <v>662</v>
      </c>
      <c r="I193" s="1" t="s">
        <v>1298</v>
      </c>
      <c r="M193" s="1" t="s">
        <v>665</v>
      </c>
      <c r="O193" s="1">
        <v>1</v>
      </c>
      <c r="R193" s="1">
        <v>0</v>
      </c>
      <c r="S193" s="1">
        <v>0</v>
      </c>
      <c r="X193" s="1">
        <v>1</v>
      </c>
      <c r="AA193" s="1">
        <v>9.99</v>
      </c>
      <c r="AB193" s="1" t="s">
        <v>1299</v>
      </c>
      <c r="AC193" s="1" t="s">
        <v>1300</v>
      </c>
      <c r="AE193" s="1" t="s">
        <v>1311</v>
      </c>
      <c r="AN193" s="1">
        <v>0</v>
      </c>
      <c r="AP193" s="1" t="s">
        <v>669</v>
      </c>
      <c r="AQ193" s="1" t="s">
        <v>819</v>
      </c>
      <c r="AR193" s="1">
        <v>1</v>
      </c>
      <c r="AS193" s="1">
        <v>1</v>
      </c>
      <c r="AT193" s="1" t="s">
        <v>671</v>
      </c>
      <c r="AU193" s="1" t="s">
        <v>792</v>
      </c>
      <c r="AV193" s="1">
        <v>1</v>
      </c>
      <c r="AW193" s="1">
        <v>1</v>
      </c>
      <c r="AX193" s="1" t="s">
        <v>685</v>
      </c>
      <c r="AY193" s="1" t="s">
        <v>686</v>
      </c>
      <c r="AZ193" s="1">
        <v>1</v>
      </c>
      <c r="BA193" s="1">
        <v>1</v>
      </c>
      <c r="BB193" s="1" t="s">
        <v>1302</v>
      </c>
      <c r="BC193" s="1">
        <v>0</v>
      </c>
      <c r="BF193" s="1">
        <v>140</v>
      </c>
      <c r="BG193" s="1">
        <v>91</v>
      </c>
      <c r="BH193" s="1">
        <v>129</v>
      </c>
      <c r="BM193" s="1" t="s">
        <v>1303</v>
      </c>
      <c r="BQ193" s="1" t="s">
        <v>678</v>
      </c>
      <c r="BR193" s="1" t="s">
        <v>679</v>
      </c>
      <c r="BS193" s="1" t="s">
        <v>678</v>
      </c>
      <c r="BT193" s="1" t="s">
        <v>679</v>
      </c>
      <c r="BU193" s="1" t="s">
        <v>679</v>
      </c>
      <c r="CB193" s="1" t="s">
        <v>4</v>
      </c>
      <c r="CC193" s="1" t="s">
        <v>19</v>
      </c>
      <c r="CD193" s="1">
        <v>1</v>
      </c>
      <c r="CE193" s="1">
        <v>1</v>
      </c>
    </row>
    <row r="194" spans="1:85" ht="331.2" x14ac:dyDescent="0.3">
      <c r="A194" s="1">
        <v>4215</v>
      </c>
      <c r="B194" s="1" t="s">
        <v>661</v>
      </c>
      <c r="C194" s="1" t="s">
        <v>246</v>
      </c>
      <c r="E194" s="1" t="s">
        <v>1312</v>
      </c>
      <c r="F194" s="1">
        <v>1</v>
      </c>
      <c r="G194" s="1">
        <v>0</v>
      </c>
      <c r="H194" s="1" t="s">
        <v>662</v>
      </c>
      <c r="I194" s="1" t="s">
        <v>1313</v>
      </c>
      <c r="M194" s="1" t="s">
        <v>665</v>
      </c>
      <c r="O194" s="1">
        <v>1</v>
      </c>
      <c r="R194" s="1">
        <v>0</v>
      </c>
      <c r="S194" s="1">
        <v>0</v>
      </c>
      <c r="X194" s="1">
        <v>1</v>
      </c>
      <c r="AA194" s="1">
        <v>7.99</v>
      </c>
      <c r="AB194" s="1" t="s">
        <v>1314</v>
      </c>
      <c r="AC194" s="1" t="s">
        <v>1315</v>
      </c>
      <c r="AE194" s="1" t="s">
        <v>1316</v>
      </c>
      <c r="AN194" s="1">
        <v>0</v>
      </c>
      <c r="AP194" s="1" t="s">
        <v>669</v>
      </c>
      <c r="AQ194" s="1" t="s">
        <v>835</v>
      </c>
      <c r="AR194" s="1">
        <v>1</v>
      </c>
      <c r="AS194" s="1">
        <v>1</v>
      </c>
      <c r="AT194" s="1" t="s">
        <v>671</v>
      </c>
      <c r="AU194" s="1" t="s">
        <v>672</v>
      </c>
      <c r="AV194" s="1">
        <v>1</v>
      </c>
      <c r="AW194" s="1">
        <v>1</v>
      </c>
      <c r="AX194" s="1" t="s">
        <v>685</v>
      </c>
      <c r="AY194" s="1" t="s">
        <v>686</v>
      </c>
      <c r="AZ194" s="1">
        <v>1</v>
      </c>
      <c r="BA194" s="1">
        <v>1</v>
      </c>
      <c r="BB194" s="1" t="s">
        <v>1317</v>
      </c>
      <c r="BC194" s="1">
        <v>0</v>
      </c>
      <c r="BF194" s="1">
        <v>141</v>
      </c>
      <c r="BG194" s="1">
        <v>93</v>
      </c>
      <c r="BH194" s="1">
        <v>132</v>
      </c>
      <c r="BM194" s="1" t="s">
        <v>1318</v>
      </c>
      <c r="BQ194" s="1" t="s">
        <v>678</v>
      </c>
      <c r="BR194" s="1" t="s">
        <v>679</v>
      </c>
      <c r="BS194" s="1" t="s">
        <v>678</v>
      </c>
      <c r="BT194" s="1" t="s">
        <v>679</v>
      </c>
      <c r="BU194" s="1" t="s">
        <v>679</v>
      </c>
      <c r="CB194" s="1" t="s">
        <v>4</v>
      </c>
      <c r="CC194" s="1" t="s">
        <v>19</v>
      </c>
      <c r="CD194" s="1">
        <v>1</v>
      </c>
      <c r="CE194" s="1">
        <v>1</v>
      </c>
    </row>
    <row r="195" spans="1:85" ht="331.2" x14ac:dyDescent="0.3">
      <c r="A195" s="1">
        <v>4217</v>
      </c>
      <c r="B195" s="1" t="s">
        <v>661</v>
      </c>
      <c r="C195" s="1" t="s">
        <v>249</v>
      </c>
      <c r="E195" s="1" t="s">
        <v>1319</v>
      </c>
      <c r="F195" s="1">
        <v>1</v>
      </c>
      <c r="G195" s="1">
        <v>0</v>
      </c>
      <c r="H195" s="1" t="s">
        <v>662</v>
      </c>
      <c r="I195" s="1" t="s">
        <v>1313</v>
      </c>
      <c r="M195" s="1" t="s">
        <v>665</v>
      </c>
      <c r="O195" s="1">
        <v>1</v>
      </c>
      <c r="R195" s="1">
        <v>0</v>
      </c>
      <c r="S195" s="1">
        <v>0</v>
      </c>
      <c r="X195" s="1">
        <v>1</v>
      </c>
      <c r="AA195" s="1">
        <v>7.99</v>
      </c>
      <c r="AB195" s="1" t="s">
        <v>1314</v>
      </c>
      <c r="AC195" s="1" t="s">
        <v>1315</v>
      </c>
      <c r="AE195" s="1" t="s">
        <v>1320</v>
      </c>
      <c r="AN195" s="1">
        <v>0</v>
      </c>
      <c r="AP195" s="1" t="s">
        <v>669</v>
      </c>
      <c r="AQ195" s="1" t="s">
        <v>835</v>
      </c>
      <c r="AR195" s="1">
        <v>1</v>
      </c>
      <c r="AS195" s="1">
        <v>1</v>
      </c>
      <c r="AT195" s="1" t="s">
        <v>671</v>
      </c>
      <c r="AU195" s="1" t="s">
        <v>728</v>
      </c>
      <c r="AV195" s="1">
        <v>1</v>
      </c>
      <c r="AW195" s="1">
        <v>1</v>
      </c>
      <c r="AX195" s="1" t="s">
        <v>685</v>
      </c>
      <c r="AY195" s="1" t="s">
        <v>686</v>
      </c>
      <c r="AZ195" s="1">
        <v>1</v>
      </c>
      <c r="BA195" s="1">
        <v>1</v>
      </c>
      <c r="BB195" s="1" t="s">
        <v>1317</v>
      </c>
      <c r="BC195" s="1">
        <v>0</v>
      </c>
      <c r="BF195" s="1">
        <v>135</v>
      </c>
      <c r="BG195" s="1">
        <v>87</v>
      </c>
      <c r="BH195" s="1">
        <v>124</v>
      </c>
      <c r="BM195" s="1" t="s">
        <v>1318</v>
      </c>
      <c r="BQ195" s="1" t="s">
        <v>678</v>
      </c>
      <c r="BR195" s="1" t="s">
        <v>679</v>
      </c>
      <c r="BS195" s="1" t="s">
        <v>678</v>
      </c>
      <c r="BT195" s="1" t="s">
        <v>679</v>
      </c>
      <c r="BU195" s="1" t="s">
        <v>679</v>
      </c>
      <c r="CB195" s="1" t="s">
        <v>4</v>
      </c>
      <c r="CC195" s="1" t="s">
        <v>19</v>
      </c>
      <c r="CD195" s="1">
        <v>1</v>
      </c>
      <c r="CE195" s="1">
        <v>1</v>
      </c>
    </row>
    <row r="196" spans="1:85" ht="331.2" x14ac:dyDescent="0.3">
      <c r="A196" s="1">
        <v>4218</v>
      </c>
      <c r="B196" s="1" t="s">
        <v>661</v>
      </c>
      <c r="C196" s="1" t="s">
        <v>250</v>
      </c>
      <c r="E196" s="1" t="s">
        <v>1321</v>
      </c>
      <c r="F196" s="1">
        <v>1</v>
      </c>
      <c r="G196" s="1">
        <v>0</v>
      </c>
      <c r="H196" s="1" t="s">
        <v>662</v>
      </c>
      <c r="I196" s="1" t="s">
        <v>1313</v>
      </c>
      <c r="M196" s="1" t="s">
        <v>665</v>
      </c>
      <c r="O196" s="1">
        <v>1</v>
      </c>
      <c r="R196" s="1">
        <v>0</v>
      </c>
      <c r="S196" s="1">
        <v>0</v>
      </c>
      <c r="X196" s="1">
        <v>1</v>
      </c>
      <c r="AA196" s="1">
        <v>7.99</v>
      </c>
      <c r="AB196" s="1" t="s">
        <v>1314</v>
      </c>
      <c r="AC196" s="1" t="s">
        <v>1315</v>
      </c>
      <c r="AE196" s="1" t="s">
        <v>1322</v>
      </c>
      <c r="AN196" s="1">
        <v>0</v>
      </c>
      <c r="AP196" s="1" t="s">
        <v>669</v>
      </c>
      <c r="AQ196" s="1" t="s">
        <v>835</v>
      </c>
      <c r="AR196" s="1">
        <v>1</v>
      </c>
      <c r="AS196" s="1">
        <v>1</v>
      </c>
      <c r="AT196" s="1" t="s">
        <v>671</v>
      </c>
      <c r="AU196" s="1" t="s">
        <v>789</v>
      </c>
      <c r="AV196" s="1">
        <v>1</v>
      </c>
      <c r="AW196" s="1">
        <v>1</v>
      </c>
      <c r="AX196" s="1" t="s">
        <v>685</v>
      </c>
      <c r="AY196" s="1" t="s">
        <v>686</v>
      </c>
      <c r="AZ196" s="1">
        <v>1</v>
      </c>
      <c r="BA196" s="1">
        <v>1</v>
      </c>
      <c r="BB196" s="1" t="s">
        <v>1317</v>
      </c>
      <c r="BC196" s="1">
        <v>0</v>
      </c>
      <c r="BF196" s="1">
        <v>146</v>
      </c>
      <c r="BG196" s="1">
        <v>98</v>
      </c>
      <c r="BH196" s="1">
        <v>134</v>
      </c>
      <c r="BM196" s="1" t="s">
        <v>1318</v>
      </c>
      <c r="BQ196" s="1" t="s">
        <v>678</v>
      </c>
      <c r="BR196" s="1" t="s">
        <v>679</v>
      </c>
      <c r="BS196" s="1" t="s">
        <v>678</v>
      </c>
      <c r="BT196" s="1" t="s">
        <v>679</v>
      </c>
      <c r="BU196" s="1" t="s">
        <v>679</v>
      </c>
      <c r="CB196" s="1" t="s">
        <v>4</v>
      </c>
      <c r="CC196" s="1" t="s">
        <v>19</v>
      </c>
      <c r="CD196" s="1">
        <v>1</v>
      </c>
      <c r="CE196" s="1">
        <v>1</v>
      </c>
    </row>
    <row r="197" spans="1:85" ht="331.2" x14ac:dyDescent="0.3">
      <c r="A197" s="1">
        <v>4221</v>
      </c>
      <c r="B197" s="1" t="s">
        <v>661</v>
      </c>
      <c r="C197" s="1" t="s">
        <v>251</v>
      </c>
      <c r="E197" s="1" t="s">
        <v>1323</v>
      </c>
      <c r="F197" s="1">
        <v>1</v>
      </c>
      <c r="G197" s="1">
        <v>0</v>
      </c>
      <c r="H197" s="1" t="s">
        <v>662</v>
      </c>
      <c r="I197" s="1" t="s">
        <v>1313</v>
      </c>
      <c r="M197" s="1" t="s">
        <v>665</v>
      </c>
      <c r="O197" s="1">
        <v>1</v>
      </c>
      <c r="R197" s="1">
        <v>0</v>
      </c>
      <c r="S197" s="1">
        <v>0</v>
      </c>
      <c r="X197" s="1">
        <v>1</v>
      </c>
      <c r="AA197" s="1">
        <v>7.99</v>
      </c>
      <c r="AB197" s="1" t="s">
        <v>1314</v>
      </c>
      <c r="AC197" s="1" t="s">
        <v>1315</v>
      </c>
      <c r="AE197" s="1" t="s">
        <v>1324</v>
      </c>
      <c r="AN197" s="1">
        <v>0</v>
      </c>
      <c r="AP197" s="1" t="s">
        <v>669</v>
      </c>
      <c r="AQ197" s="1" t="s">
        <v>835</v>
      </c>
      <c r="AR197" s="1">
        <v>1</v>
      </c>
      <c r="AS197" s="1">
        <v>1</v>
      </c>
      <c r="AT197" s="1" t="s">
        <v>671</v>
      </c>
      <c r="AU197" s="1" t="s">
        <v>792</v>
      </c>
      <c r="AV197" s="1">
        <v>1</v>
      </c>
      <c r="AW197" s="1">
        <v>1</v>
      </c>
      <c r="AX197" s="1" t="s">
        <v>685</v>
      </c>
      <c r="AY197" s="1" t="s">
        <v>686</v>
      </c>
      <c r="AZ197" s="1">
        <v>1</v>
      </c>
      <c r="BA197" s="1">
        <v>1</v>
      </c>
      <c r="BB197" s="1" t="s">
        <v>1317</v>
      </c>
      <c r="BC197" s="1">
        <v>0</v>
      </c>
      <c r="BF197" s="1">
        <v>143</v>
      </c>
      <c r="BG197" s="1">
        <v>95</v>
      </c>
      <c r="BH197" s="1">
        <v>131</v>
      </c>
      <c r="BM197" s="1" t="s">
        <v>1318</v>
      </c>
      <c r="BQ197" s="1" t="s">
        <v>678</v>
      </c>
      <c r="BR197" s="1" t="s">
        <v>679</v>
      </c>
      <c r="BS197" s="1" t="s">
        <v>678</v>
      </c>
      <c r="BT197" s="1" t="s">
        <v>679</v>
      </c>
      <c r="BU197" s="1" t="s">
        <v>679</v>
      </c>
      <c r="CB197" s="1" t="s">
        <v>4</v>
      </c>
      <c r="CC197" s="1" t="s">
        <v>19</v>
      </c>
      <c r="CD197" s="1">
        <v>1</v>
      </c>
      <c r="CE197" s="1">
        <v>1</v>
      </c>
    </row>
    <row r="198" spans="1:85" ht="374.4" x14ac:dyDescent="0.3">
      <c r="A198" s="1">
        <v>4223</v>
      </c>
      <c r="B198" s="1" t="s">
        <v>661</v>
      </c>
      <c r="C198" s="1" t="s">
        <v>252</v>
      </c>
      <c r="E198" s="1" t="s">
        <v>1325</v>
      </c>
      <c r="F198" s="1">
        <v>1</v>
      </c>
      <c r="G198" s="1">
        <v>0</v>
      </c>
      <c r="H198" s="1" t="s">
        <v>662</v>
      </c>
      <c r="I198" s="1" t="s">
        <v>1313</v>
      </c>
      <c r="M198" s="1" t="s">
        <v>665</v>
      </c>
      <c r="O198" s="1">
        <v>1</v>
      </c>
      <c r="R198" s="1">
        <v>0</v>
      </c>
      <c r="S198" s="1">
        <v>0</v>
      </c>
      <c r="X198" s="1">
        <v>1</v>
      </c>
      <c r="AA198" s="1">
        <v>7.99</v>
      </c>
      <c r="AB198" s="1" t="s">
        <v>1314</v>
      </c>
      <c r="AC198" s="1" t="s">
        <v>1315</v>
      </c>
      <c r="AE198" s="1" t="s">
        <v>1326</v>
      </c>
      <c r="AN198" s="1">
        <v>0</v>
      </c>
      <c r="AP198" s="1" t="s">
        <v>669</v>
      </c>
      <c r="AQ198" s="1" t="s">
        <v>835</v>
      </c>
      <c r="AR198" s="1">
        <v>1</v>
      </c>
      <c r="AS198" s="1">
        <v>1</v>
      </c>
      <c r="AT198" s="1" t="s">
        <v>671</v>
      </c>
      <c r="AU198" s="1" t="s">
        <v>728</v>
      </c>
      <c r="AV198" s="1">
        <v>1</v>
      </c>
      <c r="AW198" s="1">
        <v>1</v>
      </c>
      <c r="AX198" s="1" t="s">
        <v>685</v>
      </c>
      <c r="AY198" s="1" t="s">
        <v>686</v>
      </c>
      <c r="AZ198" s="1">
        <v>1</v>
      </c>
      <c r="BA198" s="1">
        <v>1</v>
      </c>
      <c r="BB198" s="1" t="s">
        <v>1327</v>
      </c>
      <c r="BC198" s="1">
        <v>0</v>
      </c>
      <c r="BF198" s="1">
        <v>142</v>
      </c>
      <c r="BG198" s="1">
        <v>94</v>
      </c>
      <c r="BH198" s="1">
        <v>131</v>
      </c>
      <c r="BM198" s="1" t="s">
        <v>1318</v>
      </c>
      <c r="BQ198" s="1" t="s">
        <v>678</v>
      </c>
      <c r="BR198" s="1" t="s">
        <v>679</v>
      </c>
      <c r="BS198" s="1" t="s">
        <v>678</v>
      </c>
      <c r="BT198" s="1" t="s">
        <v>679</v>
      </c>
      <c r="BU198" s="1" t="s">
        <v>679</v>
      </c>
      <c r="CB198" s="1" t="s">
        <v>4</v>
      </c>
      <c r="CC198" s="1" t="s">
        <v>19</v>
      </c>
      <c r="CD198" s="1">
        <v>1</v>
      </c>
      <c r="CE198" s="1">
        <v>1</v>
      </c>
    </row>
    <row r="199" spans="1:85" ht="388.8" x14ac:dyDescent="0.3">
      <c r="A199" s="1">
        <v>4225</v>
      </c>
      <c r="B199" s="1" t="s">
        <v>661</v>
      </c>
      <c r="C199" s="1" t="s">
        <v>253</v>
      </c>
      <c r="E199" s="1" t="s">
        <v>1328</v>
      </c>
      <c r="F199" s="1">
        <v>1</v>
      </c>
      <c r="G199" s="1">
        <v>0</v>
      </c>
      <c r="H199" s="1" t="s">
        <v>662</v>
      </c>
      <c r="I199" s="1" t="s">
        <v>1329</v>
      </c>
      <c r="M199" s="1" t="s">
        <v>665</v>
      </c>
      <c r="O199" s="1">
        <v>1</v>
      </c>
      <c r="R199" s="1">
        <v>0</v>
      </c>
      <c r="S199" s="1">
        <v>0</v>
      </c>
      <c r="X199" s="1">
        <v>1</v>
      </c>
      <c r="AA199" s="1">
        <v>7.99</v>
      </c>
      <c r="AB199" s="1" t="s">
        <v>1330</v>
      </c>
      <c r="AC199" s="1" t="s">
        <v>1331</v>
      </c>
      <c r="AE199" s="1" t="s">
        <v>1332</v>
      </c>
      <c r="AN199" s="1">
        <v>0</v>
      </c>
      <c r="AP199" s="1" t="s">
        <v>669</v>
      </c>
      <c r="AQ199" s="1" t="s">
        <v>869</v>
      </c>
      <c r="AR199" s="1">
        <v>1</v>
      </c>
      <c r="AS199" s="1">
        <v>1</v>
      </c>
      <c r="AT199" s="1" t="s">
        <v>671</v>
      </c>
      <c r="AU199" s="1" t="s">
        <v>672</v>
      </c>
      <c r="AV199" s="1">
        <v>1</v>
      </c>
      <c r="AW199" s="1">
        <v>1</v>
      </c>
      <c r="AX199" s="1" t="s">
        <v>685</v>
      </c>
      <c r="AY199" s="1" t="s">
        <v>686</v>
      </c>
      <c r="AZ199" s="1">
        <v>1</v>
      </c>
      <c r="BA199" s="1">
        <v>1</v>
      </c>
      <c r="BB199" s="1" t="s">
        <v>1333</v>
      </c>
      <c r="BC199" s="1">
        <v>0</v>
      </c>
      <c r="BF199" s="1">
        <v>152</v>
      </c>
      <c r="BG199" s="1">
        <v>103</v>
      </c>
      <c r="BH199" s="1">
        <v>139</v>
      </c>
      <c r="BM199" s="1" t="s">
        <v>1318</v>
      </c>
      <c r="BQ199" s="1" t="s">
        <v>678</v>
      </c>
      <c r="BR199" s="1" t="s">
        <v>679</v>
      </c>
      <c r="BS199" s="1" t="s">
        <v>678</v>
      </c>
      <c r="BT199" s="1" t="s">
        <v>679</v>
      </c>
      <c r="BU199" s="1" t="s">
        <v>679</v>
      </c>
      <c r="CB199" s="1" t="s">
        <v>4</v>
      </c>
      <c r="CC199" s="1" t="s">
        <v>19</v>
      </c>
      <c r="CD199" s="1">
        <v>1</v>
      </c>
      <c r="CE199" s="1">
        <v>1</v>
      </c>
    </row>
    <row r="200" spans="1:85" ht="388.8" x14ac:dyDescent="0.3">
      <c r="A200" s="1">
        <v>4227</v>
      </c>
      <c r="B200" s="1" t="s">
        <v>661</v>
      </c>
      <c r="C200" s="1" t="s">
        <v>255</v>
      </c>
      <c r="E200" s="1" t="s">
        <v>1334</v>
      </c>
      <c r="F200" s="1">
        <v>1</v>
      </c>
      <c r="G200" s="1">
        <v>0</v>
      </c>
      <c r="H200" s="1" t="s">
        <v>662</v>
      </c>
      <c r="I200" s="1" t="s">
        <v>1329</v>
      </c>
      <c r="M200" s="1" t="s">
        <v>665</v>
      </c>
      <c r="O200" s="1">
        <v>1</v>
      </c>
      <c r="R200" s="1">
        <v>0</v>
      </c>
      <c r="S200" s="1">
        <v>0</v>
      </c>
      <c r="X200" s="1">
        <v>1</v>
      </c>
      <c r="AA200" s="1">
        <v>7.99</v>
      </c>
      <c r="AB200" s="1" t="s">
        <v>1330</v>
      </c>
      <c r="AC200" s="1" t="s">
        <v>1331</v>
      </c>
      <c r="AE200" s="1" t="s">
        <v>1335</v>
      </c>
      <c r="AN200" s="1">
        <v>0</v>
      </c>
      <c r="AP200" s="1" t="s">
        <v>669</v>
      </c>
      <c r="AQ200" s="1" t="s">
        <v>869</v>
      </c>
      <c r="AR200" s="1">
        <v>1</v>
      </c>
      <c r="AS200" s="1">
        <v>1</v>
      </c>
      <c r="AT200" s="1" t="s">
        <v>671</v>
      </c>
      <c r="AU200" s="1" t="s">
        <v>728</v>
      </c>
      <c r="AV200" s="1">
        <v>1</v>
      </c>
      <c r="AW200" s="1">
        <v>1</v>
      </c>
      <c r="AX200" s="1" t="s">
        <v>685</v>
      </c>
      <c r="AY200" s="1" t="s">
        <v>686</v>
      </c>
      <c r="AZ200" s="1">
        <v>1</v>
      </c>
      <c r="BA200" s="1">
        <v>1</v>
      </c>
      <c r="BB200" s="1" t="s">
        <v>1333</v>
      </c>
      <c r="BC200" s="1">
        <v>0</v>
      </c>
      <c r="BF200" s="1">
        <v>158</v>
      </c>
      <c r="BG200" s="1">
        <v>108</v>
      </c>
      <c r="BH200" s="1">
        <v>146</v>
      </c>
      <c r="BM200" s="1" t="s">
        <v>1318</v>
      </c>
      <c r="BQ200" s="1" t="s">
        <v>678</v>
      </c>
      <c r="BR200" s="1" t="s">
        <v>679</v>
      </c>
      <c r="BS200" s="1" t="s">
        <v>678</v>
      </c>
      <c r="BT200" s="1" t="s">
        <v>679</v>
      </c>
      <c r="BU200" s="1" t="s">
        <v>679</v>
      </c>
      <c r="CB200" s="1" t="s">
        <v>4</v>
      </c>
      <c r="CC200" s="1" t="s">
        <v>19</v>
      </c>
      <c r="CD200" s="1">
        <v>1</v>
      </c>
      <c r="CE200" s="1">
        <v>1</v>
      </c>
    </row>
    <row r="201" spans="1:85" ht="388.8" x14ac:dyDescent="0.3">
      <c r="A201" s="1">
        <v>4231</v>
      </c>
      <c r="B201" s="1" t="s">
        <v>661</v>
      </c>
      <c r="C201" s="1" t="s">
        <v>256</v>
      </c>
      <c r="E201" s="1" t="s">
        <v>1336</v>
      </c>
      <c r="F201" s="1">
        <v>1</v>
      </c>
      <c r="G201" s="1">
        <v>0</v>
      </c>
      <c r="H201" s="1" t="s">
        <v>662</v>
      </c>
      <c r="I201" s="1" t="s">
        <v>1329</v>
      </c>
      <c r="M201" s="1" t="s">
        <v>665</v>
      </c>
      <c r="O201" s="1">
        <v>1</v>
      </c>
      <c r="R201" s="1">
        <v>0</v>
      </c>
      <c r="S201" s="1">
        <v>0</v>
      </c>
      <c r="X201" s="1">
        <v>1</v>
      </c>
      <c r="AA201" s="1">
        <v>7.99</v>
      </c>
      <c r="AB201" s="1" t="s">
        <v>1330</v>
      </c>
      <c r="AC201" s="1" t="s">
        <v>1331</v>
      </c>
      <c r="AE201" s="1" t="s">
        <v>1337</v>
      </c>
      <c r="AN201" s="1">
        <v>0</v>
      </c>
      <c r="AP201" s="1" t="s">
        <v>669</v>
      </c>
      <c r="AQ201" s="1" t="s">
        <v>869</v>
      </c>
      <c r="AR201" s="1">
        <v>1</v>
      </c>
      <c r="AS201" s="1">
        <v>1</v>
      </c>
      <c r="AT201" s="1" t="s">
        <v>671</v>
      </c>
      <c r="AU201" s="1" t="s">
        <v>731</v>
      </c>
      <c r="AV201" s="1">
        <v>1</v>
      </c>
      <c r="AW201" s="1">
        <v>1</v>
      </c>
      <c r="AX201" s="1" t="s">
        <v>685</v>
      </c>
      <c r="AY201" s="1" t="s">
        <v>686</v>
      </c>
      <c r="AZ201" s="1">
        <v>1</v>
      </c>
      <c r="BA201" s="1">
        <v>1</v>
      </c>
      <c r="BB201" s="1" t="s">
        <v>1333</v>
      </c>
      <c r="BC201" s="1">
        <v>0</v>
      </c>
      <c r="BF201" s="1">
        <v>5937</v>
      </c>
      <c r="BG201" s="1">
        <v>5887</v>
      </c>
      <c r="BH201" s="1">
        <v>5913</v>
      </c>
      <c r="BM201" s="1" t="s">
        <v>1318</v>
      </c>
      <c r="BQ201" s="1" t="s">
        <v>678</v>
      </c>
      <c r="BR201" s="1" t="s">
        <v>679</v>
      </c>
      <c r="BS201" s="1" t="s">
        <v>678</v>
      </c>
      <c r="BT201" s="1" t="s">
        <v>679</v>
      </c>
      <c r="BU201" s="1" t="s">
        <v>679</v>
      </c>
      <c r="CB201" s="1" t="s">
        <v>4</v>
      </c>
      <c r="CC201" s="1" t="s">
        <v>19</v>
      </c>
      <c r="CD201" s="1">
        <v>1</v>
      </c>
      <c r="CE201" s="1">
        <v>1</v>
      </c>
    </row>
    <row r="202" spans="1:85" ht="388.8" x14ac:dyDescent="0.3">
      <c r="A202" s="1">
        <v>4233</v>
      </c>
      <c r="B202" s="1" t="s">
        <v>661</v>
      </c>
      <c r="C202" s="1" t="s">
        <v>257</v>
      </c>
      <c r="E202" s="1" t="s">
        <v>1338</v>
      </c>
      <c r="F202" s="1">
        <v>1</v>
      </c>
      <c r="G202" s="1">
        <v>0</v>
      </c>
      <c r="H202" s="1" t="s">
        <v>662</v>
      </c>
      <c r="I202" s="1" t="s">
        <v>1329</v>
      </c>
      <c r="M202" s="1" t="s">
        <v>665</v>
      </c>
      <c r="O202" s="1">
        <v>1</v>
      </c>
      <c r="R202" s="1">
        <v>0</v>
      </c>
      <c r="S202" s="1">
        <v>0</v>
      </c>
      <c r="X202" s="1">
        <v>1</v>
      </c>
      <c r="AA202" s="1">
        <v>7.99</v>
      </c>
      <c r="AB202" s="1" t="s">
        <v>1330</v>
      </c>
      <c r="AC202" s="1" t="s">
        <v>1331</v>
      </c>
      <c r="AE202" s="1" t="s">
        <v>1339</v>
      </c>
      <c r="AN202" s="1">
        <v>0</v>
      </c>
      <c r="AP202" s="1" t="s">
        <v>669</v>
      </c>
      <c r="AQ202" s="1" t="s">
        <v>869</v>
      </c>
      <c r="AR202" s="1">
        <v>1</v>
      </c>
      <c r="AS202" s="1">
        <v>1</v>
      </c>
      <c r="AT202" s="1" t="s">
        <v>671</v>
      </c>
      <c r="AU202" s="1" t="s">
        <v>696</v>
      </c>
      <c r="AV202" s="1">
        <v>1</v>
      </c>
      <c r="AW202" s="1">
        <v>1</v>
      </c>
      <c r="AX202" s="1" t="s">
        <v>685</v>
      </c>
      <c r="AY202" s="1" t="s">
        <v>686</v>
      </c>
      <c r="AZ202" s="1">
        <v>1</v>
      </c>
      <c r="BA202" s="1">
        <v>1</v>
      </c>
      <c r="BB202" s="1" t="s">
        <v>1333</v>
      </c>
      <c r="BC202" s="1">
        <v>0</v>
      </c>
      <c r="BF202" s="1">
        <v>6024</v>
      </c>
      <c r="BG202" s="1">
        <v>5976</v>
      </c>
      <c r="BH202" s="1">
        <v>5999</v>
      </c>
      <c r="BM202" s="1" t="s">
        <v>1318</v>
      </c>
      <c r="BQ202" s="1" t="s">
        <v>678</v>
      </c>
      <c r="BR202" s="1" t="s">
        <v>679</v>
      </c>
      <c r="BS202" s="1" t="s">
        <v>678</v>
      </c>
      <c r="BT202" s="1" t="s">
        <v>679</v>
      </c>
      <c r="BU202" s="1" t="s">
        <v>679</v>
      </c>
      <c r="CB202" s="1" t="s">
        <v>4</v>
      </c>
      <c r="CC202" s="1" t="s">
        <v>19</v>
      </c>
      <c r="CD202" s="1">
        <v>1</v>
      </c>
      <c r="CE202" s="1">
        <v>1</v>
      </c>
    </row>
    <row r="203" spans="1:85" ht="388.8" x14ac:dyDescent="0.3">
      <c r="A203" s="1">
        <v>4235</v>
      </c>
      <c r="B203" s="1" t="s">
        <v>661</v>
      </c>
      <c r="C203" s="1" t="s">
        <v>258</v>
      </c>
      <c r="E203" s="1" t="s">
        <v>1340</v>
      </c>
      <c r="F203" s="1">
        <v>1</v>
      </c>
      <c r="G203" s="1">
        <v>0</v>
      </c>
      <c r="H203" s="1" t="s">
        <v>662</v>
      </c>
      <c r="I203" s="1" t="s">
        <v>1329</v>
      </c>
      <c r="M203" s="1" t="s">
        <v>665</v>
      </c>
      <c r="O203" s="1">
        <v>1</v>
      </c>
      <c r="R203" s="1">
        <v>0</v>
      </c>
      <c r="S203" s="1">
        <v>0</v>
      </c>
      <c r="X203" s="1">
        <v>1</v>
      </c>
      <c r="AA203" s="1">
        <v>7.99</v>
      </c>
      <c r="AB203" s="1" t="s">
        <v>1330</v>
      </c>
      <c r="AC203" s="1" t="s">
        <v>1331</v>
      </c>
      <c r="AE203" s="1" t="s">
        <v>1341</v>
      </c>
      <c r="AN203" s="1">
        <v>0</v>
      </c>
      <c r="AP203" s="1" t="s">
        <v>669</v>
      </c>
      <c r="AQ203" s="1" t="s">
        <v>869</v>
      </c>
      <c r="AR203" s="1">
        <v>1</v>
      </c>
      <c r="AS203" s="1">
        <v>1</v>
      </c>
      <c r="AT203" s="1" t="s">
        <v>671</v>
      </c>
      <c r="AU203" s="1" t="s">
        <v>893</v>
      </c>
      <c r="AV203" s="1">
        <v>1</v>
      </c>
      <c r="AW203" s="1">
        <v>1</v>
      </c>
      <c r="AX203" s="1" t="s">
        <v>685</v>
      </c>
      <c r="AY203" s="1" t="s">
        <v>686</v>
      </c>
      <c r="AZ203" s="1">
        <v>1</v>
      </c>
      <c r="BA203" s="1">
        <v>1</v>
      </c>
      <c r="BB203" s="1" t="s">
        <v>1333</v>
      </c>
      <c r="BC203" s="1">
        <v>0</v>
      </c>
      <c r="BF203" s="1">
        <v>5970</v>
      </c>
      <c r="BG203" s="1">
        <v>5919</v>
      </c>
      <c r="BH203" s="1">
        <v>5952</v>
      </c>
      <c r="BM203" s="1" t="s">
        <v>1318</v>
      </c>
      <c r="BQ203" s="1" t="s">
        <v>678</v>
      </c>
      <c r="BR203" s="1" t="s">
        <v>679</v>
      </c>
      <c r="BS203" s="1" t="s">
        <v>678</v>
      </c>
      <c r="BT203" s="1" t="s">
        <v>679</v>
      </c>
      <c r="BU203" s="1" t="s">
        <v>679</v>
      </c>
      <c r="CB203" s="1" t="s">
        <v>4</v>
      </c>
      <c r="CC203" s="1" t="s">
        <v>19</v>
      </c>
      <c r="CD203" s="1">
        <v>1</v>
      </c>
      <c r="CE203" s="1">
        <v>1</v>
      </c>
    </row>
    <row r="204" spans="1:85" ht="388.8" x14ac:dyDescent="0.3">
      <c r="A204" s="1">
        <v>4237</v>
      </c>
      <c r="B204" s="1" t="s">
        <v>661</v>
      </c>
      <c r="C204" s="1" t="s">
        <v>259</v>
      </c>
      <c r="E204" s="1" t="s">
        <v>1342</v>
      </c>
      <c r="F204" s="1">
        <v>1</v>
      </c>
      <c r="G204" s="1">
        <v>0</v>
      </c>
      <c r="H204" s="1" t="s">
        <v>662</v>
      </c>
      <c r="I204" s="1" t="s">
        <v>1329</v>
      </c>
      <c r="M204" s="1" t="s">
        <v>665</v>
      </c>
      <c r="O204" s="1">
        <v>1</v>
      </c>
      <c r="R204" s="1">
        <v>0</v>
      </c>
      <c r="S204" s="1">
        <v>0</v>
      </c>
      <c r="X204" s="1">
        <v>1</v>
      </c>
      <c r="AA204" s="1">
        <v>7.99</v>
      </c>
      <c r="AB204" s="1" t="s">
        <v>1330</v>
      </c>
      <c r="AC204" s="1" t="s">
        <v>1331</v>
      </c>
      <c r="AE204" s="1" t="s">
        <v>1343</v>
      </c>
      <c r="AN204" s="1">
        <v>0</v>
      </c>
      <c r="AP204" s="1" t="s">
        <v>669</v>
      </c>
      <c r="AQ204" s="1" t="s">
        <v>869</v>
      </c>
      <c r="AR204" s="1">
        <v>1</v>
      </c>
      <c r="AS204" s="1">
        <v>1</v>
      </c>
      <c r="AT204" s="1" t="s">
        <v>671</v>
      </c>
      <c r="AU204" s="1" t="s">
        <v>792</v>
      </c>
      <c r="AV204" s="1">
        <v>1</v>
      </c>
      <c r="AW204" s="1">
        <v>1</v>
      </c>
      <c r="AX204" s="1" t="s">
        <v>685</v>
      </c>
      <c r="AY204" s="1" t="s">
        <v>686</v>
      </c>
      <c r="AZ204" s="1">
        <v>1</v>
      </c>
      <c r="BA204" s="1">
        <v>1</v>
      </c>
      <c r="BB204" s="1" t="s">
        <v>1333</v>
      </c>
      <c r="BC204" s="1">
        <v>0</v>
      </c>
      <c r="BF204" s="1">
        <v>5989</v>
      </c>
      <c r="BG204" s="1">
        <v>5937</v>
      </c>
      <c r="BH204" s="1">
        <v>5961</v>
      </c>
      <c r="BM204" s="1" t="s">
        <v>1318</v>
      </c>
      <c r="BQ204" s="1" t="s">
        <v>678</v>
      </c>
      <c r="BR204" s="1" t="s">
        <v>679</v>
      </c>
      <c r="BS204" s="1" t="s">
        <v>678</v>
      </c>
      <c r="BT204" s="1" t="s">
        <v>679</v>
      </c>
      <c r="BU204" s="1" t="s">
        <v>679</v>
      </c>
      <c r="CB204" s="1" t="s">
        <v>4</v>
      </c>
      <c r="CC204" s="1" t="s">
        <v>19</v>
      </c>
      <c r="CD204" s="1">
        <v>1</v>
      </c>
      <c r="CE204" s="1">
        <v>1</v>
      </c>
    </row>
    <row r="205" spans="1:85" ht="388.8" x14ac:dyDescent="0.3">
      <c r="A205" s="1">
        <v>4239</v>
      </c>
      <c r="B205" s="1" t="s">
        <v>661</v>
      </c>
      <c r="C205" s="1" t="s">
        <v>260</v>
      </c>
      <c r="E205" s="1" t="s">
        <v>1344</v>
      </c>
      <c r="F205" s="1">
        <v>1</v>
      </c>
      <c r="G205" s="1">
        <v>0</v>
      </c>
      <c r="H205" s="1" t="s">
        <v>662</v>
      </c>
      <c r="I205" s="1" t="s">
        <v>1329</v>
      </c>
      <c r="M205" s="1" t="s">
        <v>665</v>
      </c>
      <c r="O205" s="1">
        <v>1</v>
      </c>
      <c r="R205" s="1">
        <v>0</v>
      </c>
      <c r="S205" s="1">
        <v>0</v>
      </c>
      <c r="X205" s="1">
        <v>1</v>
      </c>
      <c r="AA205" s="1">
        <v>3.74</v>
      </c>
      <c r="AB205" s="1" t="s">
        <v>1330</v>
      </c>
      <c r="AC205" s="1" t="s">
        <v>1331</v>
      </c>
      <c r="AE205" s="1" t="s">
        <v>1345</v>
      </c>
      <c r="AN205" s="1">
        <v>0</v>
      </c>
      <c r="AP205" s="1" t="s">
        <v>669</v>
      </c>
      <c r="AQ205" s="1" t="s">
        <v>869</v>
      </c>
      <c r="AR205" s="1">
        <v>1</v>
      </c>
      <c r="AS205" s="1">
        <v>1</v>
      </c>
      <c r="AT205" s="1" t="s">
        <v>671</v>
      </c>
      <c r="AU205" s="1" t="s">
        <v>728</v>
      </c>
      <c r="AV205" s="1">
        <v>1</v>
      </c>
      <c r="AW205" s="1">
        <v>1</v>
      </c>
      <c r="AX205" s="1" t="s">
        <v>685</v>
      </c>
      <c r="AY205" s="1" t="s">
        <v>686</v>
      </c>
      <c r="AZ205" s="1">
        <v>1</v>
      </c>
      <c r="BA205" s="1">
        <v>1</v>
      </c>
      <c r="BB205" s="1" t="s">
        <v>1333</v>
      </c>
      <c r="BC205" s="1">
        <v>0</v>
      </c>
      <c r="BF205" s="1">
        <v>5962</v>
      </c>
      <c r="BG205" s="1">
        <v>5891</v>
      </c>
      <c r="BH205" s="1">
        <v>5942</v>
      </c>
      <c r="BM205" s="1" t="s">
        <v>1318</v>
      </c>
      <c r="BQ205" s="1" t="s">
        <v>678</v>
      </c>
      <c r="BR205" s="1" t="s">
        <v>679</v>
      </c>
      <c r="BS205" s="1" t="s">
        <v>678</v>
      </c>
      <c r="BT205" s="1" t="s">
        <v>679</v>
      </c>
      <c r="BU205" s="1" t="s">
        <v>679</v>
      </c>
      <c r="CB205" s="1" t="s">
        <v>4</v>
      </c>
      <c r="CC205" s="1" t="s">
        <v>19</v>
      </c>
      <c r="CD205" s="1">
        <v>1</v>
      </c>
      <c r="CE205" s="1">
        <v>1</v>
      </c>
    </row>
    <row r="206" spans="1:85" ht="374.4" x14ac:dyDescent="0.3">
      <c r="A206" s="1">
        <v>4776</v>
      </c>
      <c r="B206" s="1" t="s">
        <v>661</v>
      </c>
      <c r="C206" s="1" t="s">
        <v>262</v>
      </c>
      <c r="E206" s="1" t="s">
        <v>508</v>
      </c>
      <c r="F206" s="1">
        <v>1</v>
      </c>
      <c r="G206" s="1">
        <v>0</v>
      </c>
      <c r="H206" s="1" t="s">
        <v>662</v>
      </c>
      <c r="I206" s="1" t="s">
        <v>1346</v>
      </c>
      <c r="J206" s="1" t="s">
        <v>1347</v>
      </c>
      <c r="M206" s="1" t="s">
        <v>665</v>
      </c>
      <c r="O206" s="1">
        <v>1</v>
      </c>
      <c r="R206" s="1">
        <v>0</v>
      </c>
      <c r="S206" s="1">
        <v>0</v>
      </c>
      <c r="X206" s="1">
        <v>1</v>
      </c>
      <c r="AA206" s="1">
        <v>5.79</v>
      </c>
      <c r="AB206" s="1" t="s">
        <v>1348</v>
      </c>
      <c r="AC206" s="1" t="s">
        <v>1349</v>
      </c>
      <c r="AE206" s="1" t="s">
        <v>1350</v>
      </c>
      <c r="AN206" s="1">
        <v>0</v>
      </c>
      <c r="AP206" s="1" t="s">
        <v>669</v>
      </c>
      <c r="AQ206" s="1" t="s">
        <v>670</v>
      </c>
      <c r="AR206" s="1">
        <v>1</v>
      </c>
      <c r="AS206" s="1">
        <v>1</v>
      </c>
      <c r="AT206" s="1" t="s">
        <v>671</v>
      </c>
      <c r="AU206" s="1" t="s">
        <v>728</v>
      </c>
      <c r="AV206" s="1">
        <v>1</v>
      </c>
      <c r="AW206" s="1">
        <v>1</v>
      </c>
      <c r="BB206" s="1" t="s">
        <v>1351</v>
      </c>
      <c r="BC206" s="1">
        <v>0</v>
      </c>
      <c r="BF206" s="1">
        <v>36</v>
      </c>
      <c r="BG206" s="1">
        <v>14</v>
      </c>
      <c r="BH206" s="1">
        <v>30</v>
      </c>
      <c r="BQ206" s="1" t="s">
        <v>678</v>
      </c>
      <c r="BR206" s="1" t="s">
        <v>679</v>
      </c>
      <c r="BS206" s="1" t="s">
        <v>678</v>
      </c>
      <c r="BT206" s="1" t="s">
        <v>679</v>
      </c>
      <c r="BU206" s="1" t="s">
        <v>679</v>
      </c>
      <c r="CF206" s="1" t="s">
        <v>1262</v>
      </c>
      <c r="CG206" s="3">
        <v>46090</v>
      </c>
    </row>
    <row r="207" spans="1:85" ht="374.4" x14ac:dyDescent="0.3">
      <c r="A207" s="1">
        <v>4779</v>
      </c>
      <c r="B207" s="1" t="s">
        <v>661</v>
      </c>
      <c r="C207" s="1" t="s">
        <v>265</v>
      </c>
      <c r="E207" s="1" t="s">
        <v>509</v>
      </c>
      <c r="F207" s="1">
        <v>1</v>
      </c>
      <c r="G207" s="1">
        <v>0</v>
      </c>
      <c r="H207" s="1" t="s">
        <v>662</v>
      </c>
      <c r="I207" s="1" t="s">
        <v>1346</v>
      </c>
      <c r="J207" s="1" t="s">
        <v>1347</v>
      </c>
      <c r="M207" s="1" t="s">
        <v>665</v>
      </c>
      <c r="O207" s="1">
        <v>1</v>
      </c>
      <c r="R207" s="1">
        <v>0</v>
      </c>
      <c r="S207" s="1">
        <v>0</v>
      </c>
      <c r="X207" s="1">
        <v>1</v>
      </c>
      <c r="AA207" s="1">
        <v>5.79</v>
      </c>
      <c r="AB207" s="1" t="s">
        <v>1348</v>
      </c>
      <c r="AC207" s="1" t="s">
        <v>1349</v>
      </c>
      <c r="AE207" s="1" t="s">
        <v>1352</v>
      </c>
      <c r="AN207" s="1">
        <v>0</v>
      </c>
      <c r="AP207" s="1" t="s">
        <v>669</v>
      </c>
      <c r="AQ207" s="1" t="s">
        <v>670</v>
      </c>
      <c r="AR207" s="1">
        <v>1</v>
      </c>
      <c r="AS207" s="1">
        <v>1</v>
      </c>
      <c r="AT207" s="1" t="s">
        <v>671</v>
      </c>
      <c r="AU207" s="1" t="s">
        <v>672</v>
      </c>
      <c r="AV207" s="1">
        <v>1</v>
      </c>
      <c r="AW207" s="1">
        <v>1</v>
      </c>
      <c r="BB207" s="1" t="s">
        <v>1351</v>
      </c>
      <c r="BC207" s="1">
        <v>0</v>
      </c>
      <c r="BF207" s="1">
        <v>41</v>
      </c>
      <c r="BG207" s="1">
        <v>18</v>
      </c>
      <c r="BH207" s="1">
        <v>35</v>
      </c>
      <c r="BQ207" s="1" t="s">
        <v>678</v>
      </c>
      <c r="BR207" s="1" t="s">
        <v>679</v>
      </c>
      <c r="BS207" s="1" t="s">
        <v>678</v>
      </c>
      <c r="BT207" s="1" t="s">
        <v>679</v>
      </c>
      <c r="BU207" s="1" t="s">
        <v>679</v>
      </c>
      <c r="CF207" s="1" t="s">
        <v>1262</v>
      </c>
      <c r="CG207" s="3">
        <v>46090</v>
      </c>
    </row>
    <row r="208" spans="1:85" ht="374.4" x14ac:dyDescent="0.3">
      <c r="A208" s="1">
        <v>4784</v>
      </c>
      <c r="B208" s="1" t="s">
        <v>661</v>
      </c>
      <c r="C208" s="1" t="s">
        <v>266</v>
      </c>
      <c r="E208" s="1" t="s">
        <v>510</v>
      </c>
      <c r="F208" s="1">
        <v>1</v>
      </c>
      <c r="G208" s="1">
        <v>0</v>
      </c>
      <c r="H208" s="1" t="s">
        <v>662</v>
      </c>
      <c r="I208" s="1" t="s">
        <v>1346</v>
      </c>
      <c r="J208" s="1" t="s">
        <v>1347</v>
      </c>
      <c r="M208" s="1" t="s">
        <v>665</v>
      </c>
      <c r="O208" s="1">
        <v>1</v>
      </c>
      <c r="R208" s="1">
        <v>0</v>
      </c>
      <c r="S208" s="1">
        <v>0</v>
      </c>
      <c r="X208" s="1">
        <v>1</v>
      </c>
      <c r="AA208" s="1">
        <v>5.79</v>
      </c>
      <c r="AB208" s="1" t="s">
        <v>1348</v>
      </c>
      <c r="AC208" s="1" t="s">
        <v>1349</v>
      </c>
      <c r="AE208" s="1" t="s">
        <v>1353</v>
      </c>
      <c r="AN208" s="1">
        <v>0</v>
      </c>
      <c r="AP208" s="1" t="s">
        <v>669</v>
      </c>
      <c r="AQ208" s="1" t="s">
        <v>670</v>
      </c>
      <c r="AR208" s="1">
        <v>1</v>
      </c>
      <c r="AS208" s="1">
        <v>1</v>
      </c>
      <c r="AT208" s="1" t="s">
        <v>671</v>
      </c>
      <c r="AU208" s="1" t="s">
        <v>731</v>
      </c>
      <c r="AV208" s="1">
        <v>1</v>
      </c>
      <c r="AW208" s="1">
        <v>1</v>
      </c>
      <c r="BB208" s="1" t="s">
        <v>1351</v>
      </c>
      <c r="BC208" s="1">
        <v>0</v>
      </c>
      <c r="BF208" s="1">
        <v>38</v>
      </c>
      <c r="BG208" s="1">
        <v>15</v>
      </c>
      <c r="BH208" s="1">
        <v>32</v>
      </c>
      <c r="BQ208" s="1" t="s">
        <v>678</v>
      </c>
      <c r="BR208" s="1" t="s">
        <v>679</v>
      </c>
      <c r="BS208" s="1" t="s">
        <v>678</v>
      </c>
      <c r="BT208" s="1" t="s">
        <v>679</v>
      </c>
      <c r="BU208" s="1" t="s">
        <v>679</v>
      </c>
      <c r="CF208" s="1" t="s">
        <v>1262</v>
      </c>
      <c r="CG208" s="3">
        <v>46090</v>
      </c>
    </row>
    <row r="209" spans="1:85" ht="374.4" x14ac:dyDescent="0.3">
      <c r="A209" s="1">
        <v>4787</v>
      </c>
      <c r="B209" s="1" t="s">
        <v>661</v>
      </c>
      <c r="C209" s="1" t="s">
        <v>267</v>
      </c>
      <c r="E209" s="1" t="s">
        <v>511</v>
      </c>
      <c r="F209" s="1">
        <v>1</v>
      </c>
      <c r="G209" s="1">
        <v>0</v>
      </c>
      <c r="H209" s="1" t="s">
        <v>662</v>
      </c>
      <c r="I209" s="1" t="s">
        <v>1346</v>
      </c>
      <c r="J209" s="1" t="s">
        <v>1347</v>
      </c>
      <c r="M209" s="1" t="s">
        <v>665</v>
      </c>
      <c r="O209" s="1">
        <v>1</v>
      </c>
      <c r="R209" s="1">
        <v>0</v>
      </c>
      <c r="S209" s="1">
        <v>0</v>
      </c>
      <c r="X209" s="1">
        <v>1</v>
      </c>
      <c r="AA209" s="1">
        <v>5.79</v>
      </c>
      <c r="AB209" s="1" t="s">
        <v>1348</v>
      </c>
      <c r="AC209" s="1" t="s">
        <v>1349</v>
      </c>
      <c r="AE209" s="1" t="s">
        <v>1354</v>
      </c>
      <c r="AN209" s="1">
        <v>0</v>
      </c>
      <c r="AP209" s="1" t="s">
        <v>669</v>
      </c>
      <c r="AQ209" s="1" t="s">
        <v>670</v>
      </c>
      <c r="AR209" s="1">
        <v>1</v>
      </c>
      <c r="AS209" s="1">
        <v>1</v>
      </c>
      <c r="AT209" s="1" t="s">
        <v>671</v>
      </c>
      <c r="AU209" s="1" t="s">
        <v>696</v>
      </c>
      <c r="AV209" s="1">
        <v>1</v>
      </c>
      <c r="AW209" s="1">
        <v>1</v>
      </c>
      <c r="BB209" s="1" t="s">
        <v>1351</v>
      </c>
      <c r="BC209" s="1">
        <v>0</v>
      </c>
      <c r="BF209" s="1">
        <v>37</v>
      </c>
      <c r="BG209" s="1">
        <v>13</v>
      </c>
      <c r="BH209" s="1">
        <v>30</v>
      </c>
      <c r="BQ209" s="1" t="s">
        <v>678</v>
      </c>
      <c r="BR209" s="1" t="s">
        <v>679</v>
      </c>
      <c r="BS209" s="1" t="s">
        <v>678</v>
      </c>
      <c r="BT209" s="1" t="s">
        <v>679</v>
      </c>
      <c r="BU209" s="1" t="s">
        <v>679</v>
      </c>
      <c r="CF209" s="1" t="s">
        <v>1262</v>
      </c>
      <c r="CG209" s="3">
        <v>46090</v>
      </c>
    </row>
    <row r="210" spans="1:85" ht="374.4" x14ac:dyDescent="0.3">
      <c r="A210" s="1">
        <v>4789</v>
      </c>
      <c r="B210" s="1" t="s">
        <v>661</v>
      </c>
      <c r="C210" s="1" t="s">
        <v>268</v>
      </c>
      <c r="E210" s="1" t="s">
        <v>512</v>
      </c>
      <c r="F210" s="1">
        <v>1</v>
      </c>
      <c r="G210" s="1">
        <v>0</v>
      </c>
      <c r="H210" s="1" t="s">
        <v>662</v>
      </c>
      <c r="I210" s="1" t="s">
        <v>1346</v>
      </c>
      <c r="J210" s="1" t="s">
        <v>1347</v>
      </c>
      <c r="M210" s="1" t="s">
        <v>665</v>
      </c>
      <c r="O210" s="1">
        <v>1</v>
      </c>
      <c r="R210" s="1">
        <v>0</v>
      </c>
      <c r="S210" s="1">
        <v>0</v>
      </c>
      <c r="X210" s="1">
        <v>1</v>
      </c>
      <c r="AA210" s="1">
        <v>5.79</v>
      </c>
      <c r="AB210" s="1" t="s">
        <v>1348</v>
      </c>
      <c r="AC210" s="1" t="s">
        <v>1349</v>
      </c>
      <c r="AE210" s="1" t="s">
        <v>1355</v>
      </c>
      <c r="AN210" s="1">
        <v>0</v>
      </c>
      <c r="AP210" s="1" t="s">
        <v>669</v>
      </c>
      <c r="AQ210" s="1" t="s">
        <v>670</v>
      </c>
      <c r="AR210" s="1">
        <v>1</v>
      </c>
      <c r="AS210" s="1">
        <v>1</v>
      </c>
      <c r="AT210" s="1" t="s">
        <v>671</v>
      </c>
      <c r="AU210" s="1" t="s">
        <v>792</v>
      </c>
      <c r="AV210" s="1">
        <v>1</v>
      </c>
      <c r="AW210" s="1">
        <v>1</v>
      </c>
      <c r="BB210" s="1" t="s">
        <v>1351</v>
      </c>
      <c r="BC210" s="1">
        <v>0</v>
      </c>
      <c r="BF210" s="1">
        <v>38</v>
      </c>
      <c r="BG210" s="1">
        <v>15</v>
      </c>
      <c r="BH210" s="1">
        <v>32</v>
      </c>
      <c r="BQ210" s="1" t="s">
        <v>678</v>
      </c>
      <c r="BR210" s="1" t="s">
        <v>679</v>
      </c>
      <c r="BS210" s="1" t="s">
        <v>678</v>
      </c>
      <c r="BT210" s="1" t="s">
        <v>679</v>
      </c>
      <c r="BU210" s="1" t="s">
        <v>679</v>
      </c>
      <c r="CF210" s="1" t="s">
        <v>1262</v>
      </c>
      <c r="CG210" s="3">
        <v>46090</v>
      </c>
    </row>
    <row r="211" spans="1:85" ht="360" x14ac:dyDescent="0.3">
      <c r="A211" s="1">
        <v>4791</v>
      </c>
      <c r="B211" s="1" t="s">
        <v>661</v>
      </c>
      <c r="C211" s="1" t="s">
        <v>269</v>
      </c>
      <c r="E211" s="1" t="s">
        <v>513</v>
      </c>
      <c r="F211" s="1">
        <v>1</v>
      </c>
      <c r="G211" s="1">
        <v>0</v>
      </c>
      <c r="H211" s="1" t="s">
        <v>662</v>
      </c>
      <c r="I211" s="1" t="s">
        <v>1356</v>
      </c>
      <c r="J211" s="1" t="s">
        <v>1357</v>
      </c>
      <c r="M211" s="1" t="s">
        <v>665</v>
      </c>
      <c r="O211" s="1">
        <v>1</v>
      </c>
      <c r="R211" s="1">
        <v>0</v>
      </c>
      <c r="S211" s="1">
        <v>0</v>
      </c>
      <c r="X211" s="1">
        <v>1</v>
      </c>
      <c r="AA211" s="1">
        <v>9.9600000000000009</v>
      </c>
      <c r="AB211" s="1" t="s">
        <v>1348</v>
      </c>
      <c r="AC211" s="1" t="s">
        <v>1358</v>
      </c>
      <c r="AE211" s="1" t="s">
        <v>1359</v>
      </c>
      <c r="AN211" s="1">
        <v>0</v>
      </c>
      <c r="AP211" s="1" t="s">
        <v>669</v>
      </c>
      <c r="AQ211" s="1" t="s">
        <v>670</v>
      </c>
      <c r="AR211" s="1">
        <v>1</v>
      </c>
      <c r="AS211" s="1">
        <v>1</v>
      </c>
      <c r="AT211" s="1" t="s">
        <v>671</v>
      </c>
      <c r="AU211" s="1" t="s">
        <v>672</v>
      </c>
      <c r="AV211" s="1">
        <v>1</v>
      </c>
      <c r="AW211" s="1">
        <v>1</v>
      </c>
      <c r="BB211" s="1" t="s">
        <v>1360</v>
      </c>
      <c r="BC211" s="1">
        <v>0</v>
      </c>
      <c r="BF211" s="1">
        <v>41</v>
      </c>
      <c r="BG211" s="1">
        <v>18</v>
      </c>
      <c r="BH211" s="1">
        <v>35</v>
      </c>
      <c r="BQ211" s="1" t="s">
        <v>678</v>
      </c>
      <c r="BR211" s="1" t="s">
        <v>679</v>
      </c>
      <c r="BS211" s="1" t="s">
        <v>678</v>
      </c>
      <c r="BT211" s="1" t="s">
        <v>679</v>
      </c>
      <c r="BU211" s="1" t="s">
        <v>679</v>
      </c>
      <c r="CF211" s="1" t="s">
        <v>1262</v>
      </c>
      <c r="CG211" s="3">
        <v>46090</v>
      </c>
    </row>
    <row r="212" spans="1:85" ht="360" x14ac:dyDescent="0.3">
      <c r="A212" s="1">
        <v>4796</v>
      </c>
      <c r="B212" s="1" t="s">
        <v>661</v>
      </c>
      <c r="C212" s="1" t="s">
        <v>272</v>
      </c>
      <c r="E212" s="1" t="s">
        <v>514</v>
      </c>
      <c r="F212" s="1">
        <v>1</v>
      </c>
      <c r="G212" s="1">
        <v>0</v>
      </c>
      <c r="H212" s="1" t="s">
        <v>662</v>
      </c>
      <c r="I212" s="1" t="s">
        <v>1356</v>
      </c>
      <c r="J212" s="1" t="s">
        <v>1357</v>
      </c>
      <c r="M212" s="1" t="s">
        <v>665</v>
      </c>
      <c r="O212" s="1">
        <v>1</v>
      </c>
      <c r="R212" s="1">
        <v>0</v>
      </c>
      <c r="S212" s="1">
        <v>0</v>
      </c>
      <c r="X212" s="1">
        <v>1</v>
      </c>
      <c r="AA212" s="1">
        <v>9.9600000000000009</v>
      </c>
      <c r="AB212" s="1" t="s">
        <v>1348</v>
      </c>
      <c r="AC212" s="1" t="s">
        <v>1358</v>
      </c>
      <c r="AE212" s="1" t="s">
        <v>1361</v>
      </c>
      <c r="AN212" s="1">
        <v>0</v>
      </c>
      <c r="AP212" s="1" t="s">
        <v>669</v>
      </c>
      <c r="AQ212" s="1" t="s">
        <v>670</v>
      </c>
      <c r="AR212" s="1">
        <v>1</v>
      </c>
      <c r="AS212" s="1">
        <v>1</v>
      </c>
      <c r="AT212" s="1" t="s">
        <v>671</v>
      </c>
      <c r="AU212" s="1" t="s">
        <v>728</v>
      </c>
      <c r="AV212" s="1">
        <v>1</v>
      </c>
      <c r="AW212" s="1">
        <v>1</v>
      </c>
      <c r="BB212" s="1" t="s">
        <v>1360</v>
      </c>
      <c r="BC212" s="1">
        <v>0</v>
      </c>
      <c r="BF212" s="1">
        <v>46</v>
      </c>
      <c r="BG212" s="1">
        <v>23</v>
      </c>
      <c r="BH212" s="1">
        <v>39</v>
      </c>
      <c r="BQ212" s="1" t="s">
        <v>678</v>
      </c>
      <c r="BR212" s="1" t="s">
        <v>679</v>
      </c>
      <c r="BS212" s="1" t="s">
        <v>678</v>
      </c>
      <c r="BT212" s="1" t="s">
        <v>679</v>
      </c>
      <c r="BU212" s="1" t="s">
        <v>679</v>
      </c>
      <c r="CF212" s="1" t="s">
        <v>1262</v>
      </c>
      <c r="CG212" s="3">
        <v>46090</v>
      </c>
    </row>
    <row r="213" spans="1:85" ht="360" x14ac:dyDescent="0.3">
      <c r="A213" s="1">
        <v>4797</v>
      </c>
      <c r="B213" s="1" t="s">
        <v>661</v>
      </c>
      <c r="C213" s="1" t="s">
        <v>273</v>
      </c>
      <c r="E213" s="1" t="s">
        <v>515</v>
      </c>
      <c r="F213" s="1">
        <v>1</v>
      </c>
      <c r="G213" s="1">
        <v>0</v>
      </c>
      <c r="H213" s="1" t="s">
        <v>662</v>
      </c>
      <c r="I213" s="1" t="s">
        <v>1356</v>
      </c>
      <c r="J213" s="1" t="s">
        <v>1357</v>
      </c>
      <c r="M213" s="1" t="s">
        <v>665</v>
      </c>
      <c r="O213" s="1">
        <v>1</v>
      </c>
      <c r="R213" s="1">
        <v>0</v>
      </c>
      <c r="S213" s="1">
        <v>0</v>
      </c>
      <c r="X213" s="1">
        <v>1</v>
      </c>
      <c r="AA213" s="1">
        <v>9.9600000000000009</v>
      </c>
      <c r="AB213" s="1" t="s">
        <v>1348</v>
      </c>
      <c r="AC213" s="1" t="s">
        <v>1358</v>
      </c>
      <c r="AE213" s="1" t="s">
        <v>1362</v>
      </c>
      <c r="AN213" s="1">
        <v>0</v>
      </c>
      <c r="AP213" s="1" t="s">
        <v>669</v>
      </c>
      <c r="AQ213" s="1" t="s">
        <v>670</v>
      </c>
      <c r="AR213" s="1">
        <v>1</v>
      </c>
      <c r="AS213" s="1">
        <v>1</v>
      </c>
      <c r="AT213" s="1" t="s">
        <v>671</v>
      </c>
      <c r="AU213" s="1" t="s">
        <v>696</v>
      </c>
      <c r="AV213" s="1">
        <v>1</v>
      </c>
      <c r="AW213" s="1">
        <v>1</v>
      </c>
      <c r="BB213" s="1" t="s">
        <v>1360</v>
      </c>
      <c r="BC213" s="1">
        <v>0</v>
      </c>
      <c r="BF213" s="1">
        <v>38</v>
      </c>
      <c r="BG213" s="1">
        <v>15</v>
      </c>
      <c r="BH213" s="1">
        <v>31</v>
      </c>
      <c r="BQ213" s="1" t="s">
        <v>678</v>
      </c>
      <c r="BR213" s="1" t="s">
        <v>679</v>
      </c>
      <c r="BS213" s="1" t="s">
        <v>678</v>
      </c>
      <c r="BT213" s="1" t="s">
        <v>679</v>
      </c>
      <c r="BU213" s="1" t="s">
        <v>679</v>
      </c>
      <c r="CF213" s="1" t="s">
        <v>1262</v>
      </c>
      <c r="CG213" s="3">
        <v>46090</v>
      </c>
    </row>
    <row r="214" spans="1:85" ht="409.6" x14ac:dyDescent="0.3">
      <c r="A214" s="1">
        <v>4798</v>
      </c>
      <c r="B214" s="1" t="s">
        <v>661</v>
      </c>
      <c r="C214" s="1" t="s">
        <v>274</v>
      </c>
      <c r="E214" s="1" t="s">
        <v>1363</v>
      </c>
      <c r="F214" s="1">
        <v>1</v>
      </c>
      <c r="G214" s="1">
        <v>0</v>
      </c>
      <c r="H214" s="1" t="s">
        <v>662</v>
      </c>
      <c r="I214" s="1" t="s">
        <v>1364</v>
      </c>
      <c r="J214" s="1" t="s">
        <v>1365</v>
      </c>
      <c r="M214" s="1" t="s">
        <v>665</v>
      </c>
      <c r="O214" s="1">
        <v>1</v>
      </c>
      <c r="R214" s="1">
        <v>0</v>
      </c>
      <c r="S214" s="1">
        <v>0</v>
      </c>
      <c r="X214" s="1">
        <v>1</v>
      </c>
      <c r="AA214" s="1">
        <v>4.58</v>
      </c>
      <c r="AB214" s="1" t="s">
        <v>1366</v>
      </c>
      <c r="AC214" s="1" t="s">
        <v>1367</v>
      </c>
      <c r="AE214" s="1" t="s">
        <v>1368</v>
      </c>
      <c r="AN214" s="1">
        <v>0</v>
      </c>
      <c r="AP214" s="1" t="s">
        <v>669</v>
      </c>
      <c r="AQ214" s="1" t="s">
        <v>819</v>
      </c>
      <c r="AR214" s="1">
        <v>1</v>
      </c>
      <c r="AS214" s="1">
        <v>1</v>
      </c>
      <c r="AT214" s="1" t="s">
        <v>671</v>
      </c>
      <c r="AU214" s="1" t="s">
        <v>792</v>
      </c>
      <c r="AV214" s="1">
        <v>1</v>
      </c>
      <c r="AW214" s="1">
        <v>1</v>
      </c>
      <c r="BB214" s="1" t="s">
        <v>1369</v>
      </c>
      <c r="BC214" s="1">
        <v>0</v>
      </c>
      <c r="BF214" s="1">
        <v>54</v>
      </c>
      <c r="BG214" s="1">
        <v>31</v>
      </c>
      <c r="BH214" s="1">
        <v>48</v>
      </c>
      <c r="BQ214" s="1" t="s">
        <v>678</v>
      </c>
      <c r="BR214" s="1" t="s">
        <v>679</v>
      </c>
      <c r="BS214" s="1" t="s">
        <v>678</v>
      </c>
      <c r="BT214" s="1" t="s">
        <v>679</v>
      </c>
      <c r="BU214" s="1" t="s">
        <v>679</v>
      </c>
      <c r="CF214" s="1" t="s">
        <v>1262</v>
      </c>
      <c r="CG214" s="3">
        <v>46090</v>
      </c>
    </row>
    <row r="215" spans="1:85" ht="409.6" x14ac:dyDescent="0.3">
      <c r="A215" s="1">
        <v>4801</v>
      </c>
      <c r="B215" s="1" t="s">
        <v>661</v>
      </c>
      <c r="C215" s="1" t="s">
        <v>276</v>
      </c>
      <c r="E215" s="1" t="s">
        <v>1370</v>
      </c>
      <c r="F215" s="1">
        <v>1</v>
      </c>
      <c r="G215" s="1">
        <v>0</v>
      </c>
      <c r="H215" s="1" t="s">
        <v>662</v>
      </c>
      <c r="I215" s="1" t="s">
        <v>1364</v>
      </c>
      <c r="J215" s="1" t="s">
        <v>1365</v>
      </c>
      <c r="M215" s="1" t="s">
        <v>665</v>
      </c>
      <c r="O215" s="1">
        <v>1</v>
      </c>
      <c r="R215" s="1">
        <v>0</v>
      </c>
      <c r="S215" s="1">
        <v>0</v>
      </c>
      <c r="X215" s="1">
        <v>1</v>
      </c>
      <c r="AA215" s="1">
        <v>4.58</v>
      </c>
      <c r="AB215" s="1" t="s">
        <v>1366</v>
      </c>
      <c r="AC215" s="1" t="s">
        <v>1367</v>
      </c>
      <c r="AE215" s="1" t="s">
        <v>1371</v>
      </c>
      <c r="AN215" s="1">
        <v>0</v>
      </c>
      <c r="AP215" s="1" t="s">
        <v>669</v>
      </c>
      <c r="AQ215" s="1" t="s">
        <v>819</v>
      </c>
      <c r="AR215" s="1">
        <v>1</v>
      </c>
      <c r="AS215" s="1">
        <v>1</v>
      </c>
      <c r="AT215" s="1" t="s">
        <v>671</v>
      </c>
      <c r="AU215" s="1" t="s">
        <v>696</v>
      </c>
      <c r="AV215" s="1">
        <v>1</v>
      </c>
      <c r="AW215" s="1">
        <v>1</v>
      </c>
      <c r="BB215" s="1" t="s">
        <v>1369</v>
      </c>
      <c r="BC215" s="1">
        <v>0</v>
      </c>
      <c r="BF215" s="1">
        <v>39</v>
      </c>
      <c r="BG215" s="1">
        <v>16</v>
      </c>
      <c r="BH215" s="1">
        <v>33</v>
      </c>
      <c r="BQ215" s="1" t="s">
        <v>678</v>
      </c>
      <c r="BR215" s="1" t="s">
        <v>679</v>
      </c>
      <c r="BS215" s="1" t="s">
        <v>678</v>
      </c>
      <c r="BT215" s="1" t="s">
        <v>679</v>
      </c>
      <c r="BU215" s="1" t="s">
        <v>679</v>
      </c>
      <c r="CF215" s="1" t="s">
        <v>1262</v>
      </c>
      <c r="CG215" s="3">
        <v>46090</v>
      </c>
    </row>
    <row r="216" spans="1:85" ht="409.6" x14ac:dyDescent="0.3">
      <c r="A216" s="1">
        <v>4804</v>
      </c>
      <c r="B216" s="1" t="s">
        <v>661</v>
      </c>
      <c r="C216" s="1" t="s">
        <v>277</v>
      </c>
      <c r="E216" s="1" t="s">
        <v>1372</v>
      </c>
      <c r="F216" s="1">
        <v>1</v>
      </c>
      <c r="G216" s="1">
        <v>0</v>
      </c>
      <c r="H216" s="1" t="s">
        <v>662</v>
      </c>
      <c r="I216" s="1" t="s">
        <v>1364</v>
      </c>
      <c r="J216" s="1" t="s">
        <v>1365</v>
      </c>
      <c r="M216" s="1" t="s">
        <v>665</v>
      </c>
      <c r="O216" s="1">
        <v>1</v>
      </c>
      <c r="R216" s="1">
        <v>0</v>
      </c>
      <c r="S216" s="1">
        <v>0</v>
      </c>
      <c r="X216" s="1">
        <v>1</v>
      </c>
      <c r="AA216" s="1">
        <v>4.58</v>
      </c>
      <c r="AB216" s="1" t="s">
        <v>1366</v>
      </c>
      <c r="AC216" s="1" t="s">
        <v>1367</v>
      </c>
      <c r="AE216" s="1" t="s">
        <v>1373</v>
      </c>
      <c r="AN216" s="1">
        <v>0</v>
      </c>
      <c r="AP216" s="1" t="s">
        <v>669</v>
      </c>
      <c r="AQ216" s="1" t="s">
        <v>819</v>
      </c>
      <c r="AR216" s="1">
        <v>1</v>
      </c>
      <c r="AS216" s="1">
        <v>1</v>
      </c>
      <c r="AT216" s="1" t="s">
        <v>671</v>
      </c>
      <c r="AU216" s="1" t="s">
        <v>728</v>
      </c>
      <c r="AV216" s="1">
        <v>1</v>
      </c>
      <c r="AW216" s="1">
        <v>1</v>
      </c>
      <c r="BB216" s="1" t="s">
        <v>1369</v>
      </c>
      <c r="BC216" s="1">
        <v>0</v>
      </c>
      <c r="BF216" s="1">
        <v>37</v>
      </c>
      <c r="BG216" s="1">
        <v>14</v>
      </c>
      <c r="BH216" s="1">
        <v>31</v>
      </c>
      <c r="BQ216" s="1" t="s">
        <v>678</v>
      </c>
      <c r="BR216" s="1" t="s">
        <v>679</v>
      </c>
      <c r="BS216" s="1" t="s">
        <v>678</v>
      </c>
      <c r="BT216" s="1" t="s">
        <v>679</v>
      </c>
      <c r="BU216" s="1" t="s">
        <v>679</v>
      </c>
      <c r="CF216" s="1" t="s">
        <v>1262</v>
      </c>
      <c r="CG216" s="3">
        <v>46090</v>
      </c>
    </row>
    <row r="217" spans="1:85" ht="409.6" x14ac:dyDescent="0.3">
      <c r="A217" s="1">
        <v>4805</v>
      </c>
      <c r="B217" s="1" t="s">
        <v>661</v>
      </c>
      <c r="C217" s="1" t="s">
        <v>1374</v>
      </c>
      <c r="E217" s="1" t="s">
        <v>1375</v>
      </c>
      <c r="F217" s="1">
        <v>1</v>
      </c>
      <c r="G217" s="1">
        <v>0</v>
      </c>
      <c r="H217" s="1" t="s">
        <v>662</v>
      </c>
      <c r="I217" s="1" t="s">
        <v>1376</v>
      </c>
      <c r="J217" s="1" t="s">
        <v>1377</v>
      </c>
      <c r="M217" s="1" t="s">
        <v>665</v>
      </c>
      <c r="O217" s="1">
        <v>1</v>
      </c>
      <c r="R217" s="1">
        <v>0</v>
      </c>
      <c r="S217" s="1">
        <v>0</v>
      </c>
      <c r="X217" s="1">
        <v>1</v>
      </c>
      <c r="AA217" s="1">
        <v>5.79</v>
      </c>
      <c r="AB217" s="1" t="s">
        <v>1378</v>
      </c>
      <c r="AC217" s="1" t="s">
        <v>1379</v>
      </c>
      <c r="AE217" s="1" t="s">
        <v>1380</v>
      </c>
      <c r="AN217" s="1">
        <v>0</v>
      </c>
      <c r="AP217" s="1" t="s">
        <v>669</v>
      </c>
      <c r="AQ217" s="1" t="s">
        <v>1381</v>
      </c>
      <c r="AR217" s="1">
        <v>1</v>
      </c>
      <c r="AS217" s="1">
        <v>1</v>
      </c>
      <c r="AT217" s="1" t="s">
        <v>671</v>
      </c>
      <c r="AU217" s="1" t="s">
        <v>672</v>
      </c>
      <c r="AV217" s="1">
        <v>1</v>
      </c>
      <c r="AW217" s="1">
        <v>1</v>
      </c>
      <c r="BB217" s="1" t="s">
        <v>1382</v>
      </c>
      <c r="BC217" s="1">
        <v>0</v>
      </c>
      <c r="BF217" s="1">
        <v>40</v>
      </c>
      <c r="BG217" s="1">
        <v>17</v>
      </c>
      <c r="BH217" s="1">
        <v>34</v>
      </c>
      <c r="BQ217" s="1" t="s">
        <v>678</v>
      </c>
      <c r="BR217" s="1" t="s">
        <v>679</v>
      </c>
      <c r="BS217" s="1" t="s">
        <v>678</v>
      </c>
      <c r="BT217" s="1" t="s">
        <v>679</v>
      </c>
      <c r="BU217" s="1" t="s">
        <v>679</v>
      </c>
      <c r="CF217" s="1" t="s">
        <v>1262</v>
      </c>
      <c r="CG217" s="3">
        <v>46090</v>
      </c>
    </row>
    <row r="218" spans="1:85" ht="409.6" x14ac:dyDescent="0.3">
      <c r="A218" s="1">
        <v>4809</v>
      </c>
      <c r="B218" s="1" t="s">
        <v>661</v>
      </c>
      <c r="C218" s="1" t="s">
        <v>280</v>
      </c>
      <c r="E218" s="1" t="s">
        <v>1383</v>
      </c>
      <c r="F218" s="1">
        <v>1</v>
      </c>
      <c r="G218" s="1">
        <v>0</v>
      </c>
      <c r="H218" s="1" t="s">
        <v>662</v>
      </c>
      <c r="I218" s="1" t="s">
        <v>1376</v>
      </c>
      <c r="J218" s="1" t="s">
        <v>1377</v>
      </c>
      <c r="M218" s="1" t="s">
        <v>665</v>
      </c>
      <c r="O218" s="1">
        <v>1</v>
      </c>
      <c r="R218" s="1">
        <v>0</v>
      </c>
      <c r="S218" s="1">
        <v>0</v>
      </c>
      <c r="X218" s="1">
        <v>1</v>
      </c>
      <c r="AA218" s="1">
        <v>5.79</v>
      </c>
      <c r="AB218" s="1" t="s">
        <v>1378</v>
      </c>
      <c r="AC218" s="1" t="s">
        <v>1379</v>
      </c>
      <c r="AE218" s="1" t="s">
        <v>1384</v>
      </c>
      <c r="AN218" s="1">
        <v>0</v>
      </c>
      <c r="AP218" s="1" t="s">
        <v>669</v>
      </c>
      <c r="AQ218" s="1" t="s">
        <v>1381</v>
      </c>
      <c r="AR218" s="1">
        <v>1</v>
      </c>
      <c r="AS218" s="1">
        <v>1</v>
      </c>
      <c r="AT218" s="1" t="s">
        <v>671</v>
      </c>
      <c r="AU218" s="1" t="s">
        <v>728</v>
      </c>
      <c r="AV218" s="1">
        <v>1</v>
      </c>
      <c r="AW218" s="1">
        <v>1</v>
      </c>
      <c r="BB218" s="1" t="s">
        <v>1382</v>
      </c>
      <c r="BC218" s="1">
        <v>0</v>
      </c>
      <c r="BF218" s="1">
        <v>38</v>
      </c>
      <c r="BG218" s="1">
        <v>15</v>
      </c>
      <c r="BH218" s="1">
        <v>32</v>
      </c>
      <c r="BQ218" s="1" t="s">
        <v>678</v>
      </c>
      <c r="BR218" s="1" t="s">
        <v>679</v>
      </c>
      <c r="BS218" s="1" t="s">
        <v>678</v>
      </c>
      <c r="BT218" s="1" t="s">
        <v>679</v>
      </c>
      <c r="BU218" s="1" t="s">
        <v>679</v>
      </c>
      <c r="CF218" s="1" t="s">
        <v>1262</v>
      </c>
      <c r="CG218" s="3">
        <v>46090</v>
      </c>
    </row>
    <row r="219" spans="1:85" ht="409.6" x14ac:dyDescent="0.3">
      <c r="A219" s="1">
        <v>4810</v>
      </c>
      <c r="B219" s="1" t="s">
        <v>661</v>
      </c>
      <c r="C219" s="1" t="s">
        <v>281</v>
      </c>
      <c r="E219" s="1" t="s">
        <v>521</v>
      </c>
      <c r="F219" s="1">
        <v>1</v>
      </c>
      <c r="G219" s="1">
        <v>0</v>
      </c>
      <c r="H219" s="1" t="s">
        <v>662</v>
      </c>
      <c r="I219" s="1" t="s">
        <v>1385</v>
      </c>
      <c r="J219" s="1" t="s">
        <v>1386</v>
      </c>
      <c r="M219" s="1" t="s">
        <v>665</v>
      </c>
      <c r="O219" s="1">
        <v>1</v>
      </c>
      <c r="R219" s="1">
        <v>0</v>
      </c>
      <c r="S219" s="1">
        <v>0</v>
      </c>
      <c r="X219" s="1">
        <v>1</v>
      </c>
      <c r="AA219" s="1">
        <v>9.92</v>
      </c>
      <c r="AB219" s="1" t="s">
        <v>1258</v>
      </c>
      <c r="AC219" s="1" t="s">
        <v>1387</v>
      </c>
      <c r="AE219" s="1" t="s">
        <v>1388</v>
      </c>
      <c r="AN219" s="1">
        <v>0</v>
      </c>
      <c r="AP219" s="1" t="s">
        <v>669</v>
      </c>
      <c r="AQ219" s="1" t="s">
        <v>684</v>
      </c>
      <c r="AR219" s="1">
        <v>1</v>
      </c>
      <c r="AS219" s="1">
        <v>1</v>
      </c>
      <c r="AT219" s="1" t="s">
        <v>671</v>
      </c>
      <c r="AU219" s="1" t="s">
        <v>672</v>
      </c>
      <c r="AV219" s="1">
        <v>1</v>
      </c>
      <c r="AW219" s="1">
        <v>1</v>
      </c>
      <c r="BB219" s="1" t="s">
        <v>1389</v>
      </c>
      <c r="BC219" s="1">
        <v>0</v>
      </c>
      <c r="BF219" s="1">
        <v>39</v>
      </c>
      <c r="BG219" s="1">
        <v>15</v>
      </c>
      <c r="BH219" s="1">
        <v>32</v>
      </c>
      <c r="BQ219" s="1" t="s">
        <v>678</v>
      </c>
      <c r="BR219" s="1" t="s">
        <v>679</v>
      </c>
      <c r="BS219" s="1" t="s">
        <v>678</v>
      </c>
      <c r="BT219" s="1" t="s">
        <v>679</v>
      </c>
      <c r="BU219" s="1" t="s">
        <v>679</v>
      </c>
      <c r="CF219" s="1" t="s">
        <v>1262</v>
      </c>
      <c r="CG219" s="3">
        <v>46090</v>
      </c>
    </row>
    <row r="220" spans="1:85" ht="409.6" x14ac:dyDescent="0.3">
      <c r="A220" s="1">
        <v>4818</v>
      </c>
      <c r="B220" s="1" t="s">
        <v>661</v>
      </c>
      <c r="C220" s="1" t="s">
        <v>286</v>
      </c>
      <c r="E220" s="1" t="s">
        <v>522</v>
      </c>
      <c r="F220" s="1">
        <v>1</v>
      </c>
      <c r="G220" s="1">
        <v>0</v>
      </c>
      <c r="H220" s="1" t="s">
        <v>662</v>
      </c>
      <c r="I220" s="1" t="s">
        <v>1385</v>
      </c>
      <c r="J220" s="1" t="s">
        <v>1386</v>
      </c>
      <c r="M220" s="1" t="s">
        <v>665</v>
      </c>
      <c r="O220" s="1">
        <v>1</v>
      </c>
      <c r="R220" s="1">
        <v>0</v>
      </c>
      <c r="S220" s="1">
        <v>0</v>
      </c>
      <c r="X220" s="1">
        <v>1</v>
      </c>
      <c r="AA220" s="1">
        <v>9.92</v>
      </c>
      <c r="AB220" s="1" t="s">
        <v>1258</v>
      </c>
      <c r="AC220" s="1" t="s">
        <v>1387</v>
      </c>
      <c r="AE220" s="1" t="s">
        <v>1390</v>
      </c>
      <c r="AN220" s="1">
        <v>0</v>
      </c>
      <c r="AP220" s="1" t="s">
        <v>669</v>
      </c>
      <c r="AQ220" s="1" t="s">
        <v>684</v>
      </c>
      <c r="AR220" s="1">
        <v>1</v>
      </c>
      <c r="AS220" s="1">
        <v>1</v>
      </c>
      <c r="AT220" s="1" t="s">
        <v>671</v>
      </c>
      <c r="AU220" s="1" t="s">
        <v>728</v>
      </c>
      <c r="AV220" s="1">
        <v>1</v>
      </c>
      <c r="AW220" s="1">
        <v>1</v>
      </c>
      <c r="BB220" s="1" t="s">
        <v>1389</v>
      </c>
      <c r="BC220" s="1">
        <v>0</v>
      </c>
      <c r="BF220" s="1">
        <v>45</v>
      </c>
      <c r="BG220" s="1">
        <v>21</v>
      </c>
      <c r="BH220" s="1">
        <v>36</v>
      </c>
      <c r="BQ220" s="1" t="s">
        <v>678</v>
      </c>
      <c r="BR220" s="1" t="s">
        <v>679</v>
      </c>
      <c r="BS220" s="1" t="s">
        <v>678</v>
      </c>
      <c r="BT220" s="1" t="s">
        <v>679</v>
      </c>
      <c r="BU220" s="1" t="s">
        <v>679</v>
      </c>
      <c r="CF220" s="1" t="s">
        <v>1262</v>
      </c>
      <c r="CG220" s="3">
        <v>46090</v>
      </c>
    </row>
    <row r="221" spans="1:85" ht="409.6" x14ac:dyDescent="0.3">
      <c r="A221" s="1">
        <v>4819</v>
      </c>
      <c r="B221" s="1" t="s">
        <v>661</v>
      </c>
      <c r="C221" s="1" t="s">
        <v>287</v>
      </c>
      <c r="E221" s="1" t="s">
        <v>523</v>
      </c>
      <c r="F221" s="1">
        <v>1</v>
      </c>
      <c r="G221" s="1">
        <v>0</v>
      </c>
      <c r="H221" s="1" t="s">
        <v>662</v>
      </c>
      <c r="I221" s="1" t="s">
        <v>1385</v>
      </c>
      <c r="J221" s="1" t="s">
        <v>1386</v>
      </c>
      <c r="M221" s="1" t="s">
        <v>665</v>
      </c>
      <c r="O221" s="1">
        <v>1</v>
      </c>
      <c r="R221" s="1">
        <v>0</v>
      </c>
      <c r="S221" s="1">
        <v>0</v>
      </c>
      <c r="X221" s="1">
        <v>1</v>
      </c>
      <c r="AA221" s="1">
        <v>9.92</v>
      </c>
      <c r="AB221" s="1" t="s">
        <v>1258</v>
      </c>
      <c r="AC221" s="1" t="s">
        <v>1387</v>
      </c>
      <c r="AE221" s="1" t="s">
        <v>1391</v>
      </c>
      <c r="AN221" s="1">
        <v>0</v>
      </c>
      <c r="AP221" s="1" t="s">
        <v>669</v>
      </c>
      <c r="AQ221" s="1" t="s">
        <v>684</v>
      </c>
      <c r="AR221" s="1">
        <v>1</v>
      </c>
      <c r="AS221" s="1">
        <v>1</v>
      </c>
      <c r="AT221" s="1" t="s">
        <v>671</v>
      </c>
      <c r="AU221" s="1" t="s">
        <v>1051</v>
      </c>
      <c r="AV221" s="1">
        <v>1</v>
      </c>
      <c r="AW221" s="1">
        <v>1</v>
      </c>
      <c r="BB221" s="1" t="s">
        <v>1389</v>
      </c>
      <c r="BC221" s="1">
        <v>0</v>
      </c>
      <c r="BF221" s="1">
        <v>43</v>
      </c>
      <c r="BG221" s="1">
        <v>19</v>
      </c>
      <c r="BH221" s="1">
        <v>33</v>
      </c>
      <c r="BQ221" s="1" t="s">
        <v>678</v>
      </c>
      <c r="BR221" s="1" t="s">
        <v>679</v>
      </c>
      <c r="BS221" s="1" t="s">
        <v>678</v>
      </c>
      <c r="BT221" s="1" t="s">
        <v>679</v>
      </c>
      <c r="BU221" s="1" t="s">
        <v>679</v>
      </c>
      <c r="CF221" s="1" t="s">
        <v>1262</v>
      </c>
      <c r="CG221" s="3">
        <v>46090</v>
      </c>
    </row>
    <row r="222" spans="1:85" ht="409.6" x14ac:dyDescent="0.3">
      <c r="A222" s="1">
        <v>4820</v>
      </c>
      <c r="B222" s="1" t="s">
        <v>661</v>
      </c>
      <c r="C222" s="1" t="s">
        <v>288</v>
      </c>
      <c r="E222" s="1" t="s">
        <v>524</v>
      </c>
      <c r="F222" s="1">
        <v>1</v>
      </c>
      <c r="G222" s="1">
        <v>0</v>
      </c>
      <c r="H222" s="1" t="s">
        <v>662</v>
      </c>
      <c r="I222" s="1" t="s">
        <v>1385</v>
      </c>
      <c r="J222" s="1" t="s">
        <v>1386</v>
      </c>
      <c r="M222" s="1" t="s">
        <v>665</v>
      </c>
      <c r="O222" s="1">
        <v>1</v>
      </c>
      <c r="R222" s="1">
        <v>0</v>
      </c>
      <c r="S222" s="1">
        <v>0</v>
      </c>
      <c r="X222" s="1">
        <v>1</v>
      </c>
      <c r="AA222" s="1">
        <v>9.92</v>
      </c>
      <c r="AB222" s="1" t="s">
        <v>1258</v>
      </c>
      <c r="AC222" s="1" t="s">
        <v>1387</v>
      </c>
      <c r="AE222" s="1" t="s">
        <v>1392</v>
      </c>
      <c r="AN222" s="1">
        <v>0</v>
      </c>
      <c r="AP222" s="1" t="s">
        <v>669</v>
      </c>
      <c r="AQ222" s="1" t="s">
        <v>684</v>
      </c>
      <c r="AR222" s="1">
        <v>1</v>
      </c>
      <c r="AS222" s="1">
        <v>1</v>
      </c>
      <c r="AT222" s="1" t="s">
        <v>671</v>
      </c>
      <c r="AU222" s="1" t="s">
        <v>891</v>
      </c>
      <c r="AV222" s="1">
        <v>1</v>
      </c>
      <c r="AW222" s="1">
        <v>1</v>
      </c>
      <c r="BB222" s="1" t="s">
        <v>1389</v>
      </c>
      <c r="BC222" s="1">
        <v>0</v>
      </c>
      <c r="BF222" s="1">
        <v>43</v>
      </c>
      <c r="BG222" s="1">
        <v>19</v>
      </c>
      <c r="BH222" s="1">
        <v>34</v>
      </c>
      <c r="BQ222" s="1" t="s">
        <v>678</v>
      </c>
      <c r="BR222" s="1" t="s">
        <v>679</v>
      </c>
      <c r="BS222" s="1" t="s">
        <v>678</v>
      </c>
      <c r="BT222" s="1" t="s">
        <v>679</v>
      </c>
      <c r="BU222" s="1" t="s">
        <v>679</v>
      </c>
      <c r="CF222" s="1" t="s">
        <v>1262</v>
      </c>
      <c r="CG222" s="3">
        <v>46090</v>
      </c>
    </row>
    <row r="223" spans="1:85" ht="409.6" x14ac:dyDescent="0.3">
      <c r="A223" s="1">
        <v>4821</v>
      </c>
      <c r="B223" s="1" t="s">
        <v>661</v>
      </c>
      <c r="C223" s="1" t="s">
        <v>289</v>
      </c>
      <c r="E223" s="1" t="s">
        <v>525</v>
      </c>
      <c r="F223" s="1">
        <v>1</v>
      </c>
      <c r="G223" s="1">
        <v>0</v>
      </c>
      <c r="H223" s="1" t="s">
        <v>662</v>
      </c>
      <c r="I223" s="1" t="s">
        <v>1385</v>
      </c>
      <c r="J223" s="1" t="s">
        <v>1386</v>
      </c>
      <c r="M223" s="1" t="s">
        <v>665</v>
      </c>
      <c r="O223" s="1">
        <v>1</v>
      </c>
      <c r="R223" s="1">
        <v>0</v>
      </c>
      <c r="S223" s="1">
        <v>0</v>
      </c>
      <c r="X223" s="1">
        <v>1</v>
      </c>
      <c r="AA223" s="1">
        <v>9.92</v>
      </c>
      <c r="AB223" s="1" t="s">
        <v>1258</v>
      </c>
      <c r="AC223" s="1" t="s">
        <v>1387</v>
      </c>
      <c r="AE223" s="1" t="s">
        <v>1393</v>
      </c>
      <c r="AN223" s="1">
        <v>0</v>
      </c>
      <c r="AP223" s="1" t="s">
        <v>669</v>
      </c>
      <c r="AQ223" s="1" t="s">
        <v>684</v>
      </c>
      <c r="AR223" s="1">
        <v>1</v>
      </c>
      <c r="AS223" s="1">
        <v>1</v>
      </c>
      <c r="AT223" s="1" t="s">
        <v>671</v>
      </c>
      <c r="AU223" s="1" t="s">
        <v>792</v>
      </c>
      <c r="AV223" s="1">
        <v>1</v>
      </c>
      <c r="AW223" s="1">
        <v>1</v>
      </c>
      <c r="BB223" s="1" t="s">
        <v>1389</v>
      </c>
      <c r="BC223" s="1">
        <v>0</v>
      </c>
      <c r="BF223" s="1">
        <v>44</v>
      </c>
      <c r="BG223" s="1">
        <v>20</v>
      </c>
      <c r="BH223" s="1">
        <v>36</v>
      </c>
      <c r="BQ223" s="1" t="s">
        <v>678</v>
      </c>
      <c r="BR223" s="1" t="s">
        <v>679</v>
      </c>
      <c r="BS223" s="1" t="s">
        <v>678</v>
      </c>
      <c r="BT223" s="1" t="s">
        <v>679</v>
      </c>
      <c r="BU223" s="1" t="s">
        <v>679</v>
      </c>
      <c r="CF223" s="1" t="s">
        <v>1262</v>
      </c>
      <c r="CG223" s="3">
        <v>46090</v>
      </c>
    </row>
    <row r="224" spans="1:85" ht="409.6" x14ac:dyDescent="0.3">
      <c r="A224" s="1">
        <v>4822</v>
      </c>
      <c r="B224" s="1" t="s">
        <v>661</v>
      </c>
      <c r="C224" s="1" t="s">
        <v>290</v>
      </c>
      <c r="E224" s="1" t="s">
        <v>526</v>
      </c>
      <c r="F224" s="1">
        <v>1</v>
      </c>
      <c r="G224" s="1">
        <v>0</v>
      </c>
      <c r="H224" s="1" t="s">
        <v>662</v>
      </c>
      <c r="I224" s="1" t="s">
        <v>1385</v>
      </c>
      <c r="J224" s="1" t="s">
        <v>1386</v>
      </c>
      <c r="M224" s="1" t="s">
        <v>665</v>
      </c>
      <c r="O224" s="1">
        <v>1</v>
      </c>
      <c r="R224" s="1">
        <v>0</v>
      </c>
      <c r="S224" s="1">
        <v>0</v>
      </c>
      <c r="X224" s="1">
        <v>1</v>
      </c>
      <c r="AA224" s="1">
        <v>9.92</v>
      </c>
      <c r="AB224" s="1" t="s">
        <v>1258</v>
      </c>
      <c r="AC224" s="1" t="s">
        <v>1387</v>
      </c>
      <c r="AE224" s="1" t="s">
        <v>1394</v>
      </c>
      <c r="AN224" s="1">
        <v>0</v>
      </c>
      <c r="AP224" s="1" t="s">
        <v>669</v>
      </c>
      <c r="AQ224" s="1" t="s">
        <v>684</v>
      </c>
      <c r="AR224" s="1">
        <v>1</v>
      </c>
      <c r="AS224" s="1">
        <v>1</v>
      </c>
      <c r="AT224" s="1" t="s">
        <v>671</v>
      </c>
      <c r="AU224" s="1" t="s">
        <v>796</v>
      </c>
      <c r="AV224" s="1">
        <v>1</v>
      </c>
      <c r="AW224" s="1">
        <v>1</v>
      </c>
      <c r="BB224" s="1" t="s">
        <v>1389</v>
      </c>
      <c r="BC224" s="1">
        <v>0</v>
      </c>
      <c r="BF224" s="1">
        <v>40</v>
      </c>
      <c r="BG224" s="1">
        <v>16</v>
      </c>
      <c r="BH224" s="1">
        <v>32</v>
      </c>
      <c r="BQ224" s="1" t="s">
        <v>678</v>
      </c>
      <c r="BR224" s="1" t="s">
        <v>679</v>
      </c>
      <c r="BS224" s="1" t="s">
        <v>678</v>
      </c>
      <c r="BT224" s="1" t="s">
        <v>679</v>
      </c>
      <c r="BU224" s="1" t="s">
        <v>679</v>
      </c>
      <c r="CF224" s="1" t="s">
        <v>1262</v>
      </c>
      <c r="CG224" s="3">
        <v>46090</v>
      </c>
    </row>
    <row r="225" spans="1:85" ht="409.6" x14ac:dyDescent="0.3">
      <c r="A225" s="1">
        <v>4823</v>
      </c>
      <c r="B225" s="1" t="s">
        <v>661</v>
      </c>
      <c r="C225" s="1" t="s">
        <v>1395</v>
      </c>
      <c r="E225" s="1" t="s">
        <v>1396</v>
      </c>
      <c r="F225" s="1">
        <v>1</v>
      </c>
      <c r="G225" s="1">
        <v>0</v>
      </c>
      <c r="H225" s="1" t="s">
        <v>662</v>
      </c>
      <c r="I225" s="1" t="s">
        <v>1397</v>
      </c>
      <c r="J225" s="1" t="s">
        <v>1398</v>
      </c>
      <c r="M225" s="1" t="s">
        <v>665</v>
      </c>
      <c r="O225" s="1">
        <v>1</v>
      </c>
      <c r="R225" s="1">
        <v>0</v>
      </c>
      <c r="S225" s="1">
        <v>0</v>
      </c>
      <c r="X225" s="1">
        <v>1</v>
      </c>
      <c r="AA225" s="1">
        <v>5.79</v>
      </c>
      <c r="AB225" s="1" t="s">
        <v>1348</v>
      </c>
      <c r="AC225" s="1" t="s">
        <v>1399</v>
      </c>
      <c r="AE225" s="1" t="s">
        <v>1400</v>
      </c>
      <c r="AN225" s="1">
        <v>0</v>
      </c>
      <c r="AP225" s="1" t="s">
        <v>669</v>
      </c>
      <c r="AQ225" s="1" t="s">
        <v>670</v>
      </c>
      <c r="AR225" s="1">
        <v>1</v>
      </c>
      <c r="AS225" s="1">
        <v>1</v>
      </c>
      <c r="AT225" s="1" t="s">
        <v>671</v>
      </c>
      <c r="AU225" s="1" t="s">
        <v>672</v>
      </c>
      <c r="AV225" s="1">
        <v>1</v>
      </c>
      <c r="AW225" s="1">
        <v>1</v>
      </c>
      <c r="BB225" s="1" t="s">
        <v>1401</v>
      </c>
      <c r="BC225" s="1">
        <v>0</v>
      </c>
      <c r="BF225" s="1">
        <v>41</v>
      </c>
      <c r="BG225" s="1">
        <v>17</v>
      </c>
      <c r="BH225" s="1">
        <v>34</v>
      </c>
      <c r="BQ225" s="1" t="s">
        <v>678</v>
      </c>
      <c r="BR225" s="1" t="s">
        <v>679</v>
      </c>
      <c r="BS225" s="1" t="s">
        <v>678</v>
      </c>
      <c r="BT225" s="1" t="s">
        <v>679</v>
      </c>
      <c r="BU225" s="1" t="s">
        <v>679</v>
      </c>
      <c r="CF225" s="1" t="s">
        <v>1262</v>
      </c>
      <c r="CG225" s="3">
        <v>46090</v>
      </c>
    </row>
    <row r="226" spans="1:85" ht="409.6" x14ac:dyDescent="0.3">
      <c r="A226" s="1">
        <v>4893</v>
      </c>
      <c r="B226" s="1" t="s">
        <v>661</v>
      </c>
      <c r="C226" s="1" t="s">
        <v>1402</v>
      </c>
      <c r="E226" s="1" t="s">
        <v>1403</v>
      </c>
      <c r="F226" s="1">
        <v>1</v>
      </c>
      <c r="G226" s="1">
        <v>0</v>
      </c>
      <c r="H226" s="1" t="s">
        <v>662</v>
      </c>
      <c r="I226" s="1" t="s">
        <v>1397</v>
      </c>
      <c r="J226" s="1" t="s">
        <v>1398</v>
      </c>
      <c r="M226" s="1" t="s">
        <v>665</v>
      </c>
      <c r="O226" s="1">
        <v>1</v>
      </c>
      <c r="R226" s="1">
        <v>0</v>
      </c>
      <c r="S226" s="1">
        <v>0</v>
      </c>
      <c r="X226" s="1">
        <v>1</v>
      </c>
      <c r="AA226" s="1">
        <v>5.79</v>
      </c>
      <c r="AB226" s="1" t="s">
        <v>1348</v>
      </c>
      <c r="AC226" s="1" t="s">
        <v>1399</v>
      </c>
      <c r="AE226" s="1" t="s">
        <v>1404</v>
      </c>
      <c r="AN226" s="1">
        <v>0</v>
      </c>
      <c r="AP226" s="1" t="s">
        <v>669</v>
      </c>
      <c r="AQ226" s="1" t="s">
        <v>670</v>
      </c>
      <c r="AR226" s="1">
        <v>1</v>
      </c>
      <c r="AS226" s="1">
        <v>1</v>
      </c>
      <c r="AT226" s="1" t="s">
        <v>671</v>
      </c>
      <c r="AU226" s="1" t="s">
        <v>728</v>
      </c>
      <c r="AV226" s="1">
        <v>1</v>
      </c>
      <c r="AW226" s="1">
        <v>1</v>
      </c>
      <c r="BB226" s="1" t="s">
        <v>1401</v>
      </c>
      <c r="BC226" s="1">
        <v>0</v>
      </c>
      <c r="BF226" s="1">
        <v>44</v>
      </c>
      <c r="BG226" s="1">
        <v>19</v>
      </c>
      <c r="BH226" s="1">
        <v>37</v>
      </c>
      <c r="BQ226" s="1" t="s">
        <v>678</v>
      </c>
      <c r="BR226" s="1" t="s">
        <v>679</v>
      </c>
      <c r="BS226" s="1" t="s">
        <v>678</v>
      </c>
      <c r="BT226" s="1" t="s">
        <v>679</v>
      </c>
      <c r="BU226" s="1" t="s">
        <v>679</v>
      </c>
      <c r="CF226" s="1" t="s">
        <v>1262</v>
      </c>
      <c r="CG226" s="3">
        <v>46090</v>
      </c>
    </row>
    <row r="227" spans="1:85" ht="409.6" x14ac:dyDescent="0.3">
      <c r="A227" s="1">
        <v>4897</v>
      </c>
      <c r="B227" s="1" t="s">
        <v>661</v>
      </c>
      <c r="C227" s="1" t="s">
        <v>1405</v>
      </c>
      <c r="E227" s="1" t="s">
        <v>1406</v>
      </c>
      <c r="F227" s="1">
        <v>1</v>
      </c>
      <c r="G227" s="1">
        <v>0</v>
      </c>
      <c r="H227" s="1" t="s">
        <v>662</v>
      </c>
      <c r="I227" s="1" t="s">
        <v>1397</v>
      </c>
      <c r="J227" s="1" t="s">
        <v>1398</v>
      </c>
      <c r="M227" s="1" t="s">
        <v>665</v>
      </c>
      <c r="O227" s="1">
        <v>1</v>
      </c>
      <c r="R227" s="1">
        <v>0</v>
      </c>
      <c r="S227" s="1">
        <v>0</v>
      </c>
      <c r="X227" s="1">
        <v>1</v>
      </c>
      <c r="AA227" s="1">
        <v>5.79</v>
      </c>
      <c r="AB227" s="1" t="s">
        <v>1348</v>
      </c>
      <c r="AC227" s="1" t="s">
        <v>1399</v>
      </c>
      <c r="AE227" s="1" t="s">
        <v>1407</v>
      </c>
      <c r="AN227" s="1">
        <v>0</v>
      </c>
      <c r="AP227" s="1" t="s">
        <v>669</v>
      </c>
      <c r="AQ227" s="1" t="s">
        <v>670</v>
      </c>
      <c r="AR227" s="1">
        <v>1</v>
      </c>
      <c r="AS227" s="1">
        <v>1</v>
      </c>
      <c r="AT227" s="1" t="s">
        <v>671</v>
      </c>
      <c r="AU227" s="1" t="s">
        <v>731</v>
      </c>
      <c r="AV227" s="1">
        <v>1</v>
      </c>
      <c r="AW227" s="1">
        <v>1</v>
      </c>
      <c r="BB227" s="1" t="s">
        <v>1401</v>
      </c>
      <c r="BC227" s="1">
        <v>0</v>
      </c>
      <c r="BF227" s="1">
        <v>72</v>
      </c>
      <c r="BG227" s="1">
        <v>31</v>
      </c>
      <c r="BH227" s="1">
        <v>65</v>
      </c>
      <c r="BQ227" s="1" t="s">
        <v>678</v>
      </c>
      <c r="BR227" s="1" t="s">
        <v>679</v>
      </c>
      <c r="BS227" s="1" t="s">
        <v>678</v>
      </c>
      <c r="BT227" s="1" t="s">
        <v>679</v>
      </c>
      <c r="BU227" s="1" t="s">
        <v>679</v>
      </c>
      <c r="CF227" s="1" t="s">
        <v>1262</v>
      </c>
      <c r="CG227" s="3">
        <v>46090</v>
      </c>
    </row>
    <row r="228" spans="1:85" ht="409.6" x14ac:dyDescent="0.3">
      <c r="A228" s="1">
        <v>4918</v>
      </c>
      <c r="B228" s="1" t="s">
        <v>661</v>
      </c>
      <c r="C228" s="1" t="s">
        <v>291</v>
      </c>
      <c r="E228" s="1" t="s">
        <v>527</v>
      </c>
      <c r="F228" s="1">
        <v>1</v>
      </c>
      <c r="G228" s="1">
        <v>0</v>
      </c>
      <c r="H228" s="1" t="s">
        <v>662</v>
      </c>
      <c r="I228" s="1" t="s">
        <v>1408</v>
      </c>
      <c r="J228" s="1" t="s">
        <v>1409</v>
      </c>
      <c r="M228" s="1" t="s">
        <v>665</v>
      </c>
      <c r="O228" s="1">
        <v>1</v>
      </c>
      <c r="R228" s="1">
        <v>0</v>
      </c>
      <c r="S228" s="1">
        <v>0</v>
      </c>
      <c r="X228" s="1">
        <v>1</v>
      </c>
      <c r="AA228" s="1">
        <v>8.2899999999999991</v>
      </c>
      <c r="AB228" s="1" t="s">
        <v>1410</v>
      </c>
      <c r="AC228" s="1" t="s">
        <v>1411</v>
      </c>
      <c r="AE228" s="1" t="s">
        <v>1412</v>
      </c>
      <c r="AN228" s="1">
        <v>0</v>
      </c>
      <c r="AP228" s="1" t="s">
        <v>669</v>
      </c>
      <c r="AQ228" s="1" t="s">
        <v>1381</v>
      </c>
      <c r="AR228" s="1">
        <v>1</v>
      </c>
      <c r="AS228" s="1">
        <v>1</v>
      </c>
      <c r="AT228" s="1" t="s">
        <v>671</v>
      </c>
      <c r="AU228" s="1" t="s">
        <v>672</v>
      </c>
      <c r="AV228" s="1">
        <v>1</v>
      </c>
      <c r="AW228" s="1">
        <v>1</v>
      </c>
      <c r="BB228" s="1" t="s">
        <v>1413</v>
      </c>
      <c r="BC228" s="1">
        <v>0</v>
      </c>
      <c r="BF228" s="1">
        <v>39</v>
      </c>
      <c r="BG228" s="1">
        <v>15</v>
      </c>
      <c r="BH228" s="1">
        <v>32</v>
      </c>
      <c r="BQ228" s="1" t="s">
        <v>678</v>
      </c>
      <c r="BR228" s="1" t="s">
        <v>679</v>
      </c>
      <c r="BS228" s="1" t="s">
        <v>678</v>
      </c>
      <c r="BT228" s="1" t="s">
        <v>679</v>
      </c>
      <c r="BU228" s="1" t="s">
        <v>679</v>
      </c>
      <c r="CF228" s="1" t="s">
        <v>1262</v>
      </c>
      <c r="CG228" s="3">
        <v>46090</v>
      </c>
    </row>
    <row r="229" spans="1:85" ht="409.6" x14ac:dyDescent="0.3">
      <c r="A229" s="1">
        <v>4928</v>
      </c>
      <c r="B229" s="1" t="s">
        <v>661</v>
      </c>
      <c r="C229" s="1" t="s">
        <v>295</v>
      </c>
      <c r="E229" s="1" t="s">
        <v>528</v>
      </c>
      <c r="F229" s="1">
        <v>1</v>
      </c>
      <c r="G229" s="1">
        <v>0</v>
      </c>
      <c r="H229" s="1" t="s">
        <v>662</v>
      </c>
      <c r="I229" s="1" t="s">
        <v>1408</v>
      </c>
      <c r="J229" s="1" t="s">
        <v>1409</v>
      </c>
      <c r="M229" s="1" t="s">
        <v>665</v>
      </c>
      <c r="O229" s="1">
        <v>1</v>
      </c>
      <c r="R229" s="1">
        <v>0</v>
      </c>
      <c r="S229" s="1">
        <v>0</v>
      </c>
      <c r="X229" s="1">
        <v>1</v>
      </c>
      <c r="AA229" s="1">
        <v>8.2899999999999991</v>
      </c>
      <c r="AB229" s="1" t="s">
        <v>1410</v>
      </c>
      <c r="AC229" s="1" t="s">
        <v>1411</v>
      </c>
      <c r="AE229" s="1" t="s">
        <v>1414</v>
      </c>
      <c r="AN229" s="1">
        <v>0</v>
      </c>
      <c r="AP229" s="1" t="s">
        <v>669</v>
      </c>
      <c r="AQ229" s="1" t="s">
        <v>1381</v>
      </c>
      <c r="AR229" s="1">
        <v>1</v>
      </c>
      <c r="AS229" s="1">
        <v>1</v>
      </c>
      <c r="AT229" s="1" t="s">
        <v>671</v>
      </c>
      <c r="AU229" s="1" t="s">
        <v>728</v>
      </c>
      <c r="AV229" s="1">
        <v>1</v>
      </c>
      <c r="AW229" s="1">
        <v>1</v>
      </c>
      <c r="BB229" s="1" t="s">
        <v>1413</v>
      </c>
      <c r="BC229" s="1">
        <v>0</v>
      </c>
      <c r="BF229" s="1">
        <v>44</v>
      </c>
      <c r="BG229" s="1">
        <v>20</v>
      </c>
      <c r="BH229" s="1">
        <v>37</v>
      </c>
      <c r="BQ229" s="1" t="s">
        <v>678</v>
      </c>
      <c r="BR229" s="1" t="s">
        <v>679</v>
      </c>
      <c r="BS229" s="1" t="s">
        <v>678</v>
      </c>
      <c r="BT229" s="1" t="s">
        <v>679</v>
      </c>
      <c r="BU229" s="1" t="s">
        <v>679</v>
      </c>
      <c r="CF229" s="1" t="s">
        <v>1262</v>
      </c>
      <c r="CG229" s="3">
        <v>46090</v>
      </c>
    </row>
    <row r="230" spans="1:85" ht="409.6" x14ac:dyDescent="0.3">
      <c r="A230" s="1">
        <v>4929</v>
      </c>
      <c r="B230" s="1" t="s">
        <v>661</v>
      </c>
      <c r="E230" s="1" t="s">
        <v>529</v>
      </c>
      <c r="F230" s="1">
        <v>1</v>
      </c>
      <c r="G230" s="1">
        <v>0</v>
      </c>
      <c r="H230" s="1" t="s">
        <v>662</v>
      </c>
      <c r="I230" s="1" t="s">
        <v>1415</v>
      </c>
      <c r="J230" s="1" t="s">
        <v>1416</v>
      </c>
      <c r="M230" s="1" t="s">
        <v>665</v>
      </c>
      <c r="O230" s="1">
        <v>1</v>
      </c>
      <c r="R230" s="1">
        <v>0</v>
      </c>
      <c r="S230" s="1">
        <v>0</v>
      </c>
      <c r="X230" s="1">
        <v>1</v>
      </c>
      <c r="AA230" s="1">
        <v>8.2899999999999991</v>
      </c>
      <c r="AB230" s="1" t="s">
        <v>1417</v>
      </c>
      <c r="AC230" s="1" t="s">
        <v>1418</v>
      </c>
      <c r="AE230" s="1" t="s">
        <v>1419</v>
      </c>
      <c r="AN230" s="1">
        <v>0</v>
      </c>
      <c r="AP230" s="1" t="s">
        <v>669</v>
      </c>
      <c r="AQ230" s="1" t="s">
        <v>670</v>
      </c>
      <c r="AR230" s="1">
        <v>1</v>
      </c>
      <c r="AS230" s="1">
        <v>1</v>
      </c>
      <c r="AT230" s="1" t="s">
        <v>671</v>
      </c>
      <c r="AU230" s="1" t="s">
        <v>672</v>
      </c>
      <c r="AV230" s="1">
        <v>1</v>
      </c>
      <c r="AW230" s="1">
        <v>1</v>
      </c>
      <c r="BB230" s="1" t="s">
        <v>1420</v>
      </c>
      <c r="BC230" s="1">
        <v>0</v>
      </c>
      <c r="BF230" s="1">
        <v>40</v>
      </c>
      <c r="BG230" s="1">
        <v>16</v>
      </c>
      <c r="BH230" s="1">
        <v>32</v>
      </c>
      <c r="BQ230" s="1" t="s">
        <v>678</v>
      </c>
      <c r="BR230" s="1" t="s">
        <v>679</v>
      </c>
      <c r="BS230" s="1" t="s">
        <v>678</v>
      </c>
      <c r="BT230" s="1" t="s">
        <v>679</v>
      </c>
      <c r="BU230" s="1" t="s">
        <v>679</v>
      </c>
      <c r="CF230" s="1" t="s">
        <v>1262</v>
      </c>
      <c r="CG230" s="3">
        <v>46090</v>
      </c>
    </row>
    <row r="231" spans="1:85" ht="409.6" x14ac:dyDescent="0.3">
      <c r="A231" s="1">
        <v>4937</v>
      </c>
      <c r="B231" s="1" t="s">
        <v>661</v>
      </c>
      <c r="E231" s="1" t="s">
        <v>1421</v>
      </c>
      <c r="F231" s="1">
        <v>1</v>
      </c>
      <c r="G231" s="1">
        <v>0</v>
      </c>
      <c r="H231" s="1" t="s">
        <v>662</v>
      </c>
      <c r="I231" s="1" t="s">
        <v>1415</v>
      </c>
      <c r="J231" s="1" t="s">
        <v>1416</v>
      </c>
      <c r="M231" s="1" t="s">
        <v>665</v>
      </c>
      <c r="O231" s="1">
        <v>1</v>
      </c>
      <c r="R231" s="1">
        <v>0</v>
      </c>
      <c r="S231" s="1">
        <v>0</v>
      </c>
      <c r="X231" s="1">
        <v>1</v>
      </c>
      <c r="AA231" s="1">
        <v>8.2899999999999991</v>
      </c>
      <c r="AB231" s="1" t="s">
        <v>1417</v>
      </c>
      <c r="AC231" s="1" t="s">
        <v>1418</v>
      </c>
      <c r="AE231" s="1" t="s">
        <v>1422</v>
      </c>
      <c r="AN231" s="1">
        <v>0</v>
      </c>
      <c r="AP231" s="1" t="s">
        <v>669</v>
      </c>
      <c r="AQ231" s="1" t="s">
        <v>670</v>
      </c>
      <c r="AR231" s="1">
        <v>1</v>
      </c>
      <c r="AS231" s="1">
        <v>1</v>
      </c>
      <c r="AT231" s="1" t="s">
        <v>671</v>
      </c>
      <c r="AU231" s="1" t="s">
        <v>696</v>
      </c>
      <c r="AV231" s="1">
        <v>1</v>
      </c>
      <c r="AW231" s="1">
        <v>1</v>
      </c>
      <c r="BB231" s="1" t="s">
        <v>1420</v>
      </c>
      <c r="BC231" s="1">
        <v>0</v>
      </c>
      <c r="BF231" s="1">
        <v>40</v>
      </c>
      <c r="BG231" s="1">
        <v>16</v>
      </c>
      <c r="BH231" s="1">
        <v>33</v>
      </c>
      <c r="BQ231" s="1" t="s">
        <v>678</v>
      </c>
      <c r="BR231" s="1" t="s">
        <v>679</v>
      </c>
      <c r="BS231" s="1" t="s">
        <v>678</v>
      </c>
      <c r="BT231" s="1" t="s">
        <v>679</v>
      </c>
      <c r="BU231" s="1" t="s">
        <v>679</v>
      </c>
      <c r="CF231" s="1" t="s">
        <v>1262</v>
      </c>
      <c r="CG231" s="3">
        <v>46090</v>
      </c>
    </row>
    <row r="232" spans="1:85" ht="409.6" x14ac:dyDescent="0.3">
      <c r="A232" s="1">
        <v>4938</v>
      </c>
      <c r="B232" s="1" t="s">
        <v>661</v>
      </c>
      <c r="E232" s="1" t="s">
        <v>1423</v>
      </c>
      <c r="F232" s="1">
        <v>1</v>
      </c>
      <c r="G232" s="1">
        <v>0</v>
      </c>
      <c r="H232" s="1" t="s">
        <v>662</v>
      </c>
      <c r="I232" s="1" t="s">
        <v>1415</v>
      </c>
      <c r="J232" s="1" t="s">
        <v>1416</v>
      </c>
      <c r="M232" s="1" t="s">
        <v>665</v>
      </c>
      <c r="O232" s="1">
        <v>1</v>
      </c>
      <c r="R232" s="1">
        <v>0</v>
      </c>
      <c r="S232" s="1">
        <v>0</v>
      </c>
      <c r="X232" s="1">
        <v>1</v>
      </c>
      <c r="AA232" s="1">
        <v>8.2899999999999991</v>
      </c>
      <c r="AB232" s="1" t="s">
        <v>1417</v>
      </c>
      <c r="AC232" s="1" t="s">
        <v>1418</v>
      </c>
      <c r="AE232" s="1" t="s">
        <v>1424</v>
      </c>
      <c r="AN232" s="1">
        <v>0</v>
      </c>
      <c r="AP232" s="1" t="s">
        <v>669</v>
      </c>
      <c r="AQ232" s="1" t="s">
        <v>670</v>
      </c>
      <c r="AR232" s="1">
        <v>1</v>
      </c>
      <c r="AS232" s="1">
        <v>1</v>
      </c>
      <c r="AT232" s="1" t="s">
        <v>671</v>
      </c>
      <c r="AU232" s="1" t="s">
        <v>1157</v>
      </c>
      <c r="AV232" s="1">
        <v>1</v>
      </c>
      <c r="AW232" s="1">
        <v>1</v>
      </c>
      <c r="BB232" s="1" t="s">
        <v>1420</v>
      </c>
      <c r="BC232" s="1">
        <v>0</v>
      </c>
      <c r="BF232" s="1">
        <v>42</v>
      </c>
      <c r="BG232" s="1">
        <v>18</v>
      </c>
      <c r="BH232" s="1">
        <v>33</v>
      </c>
      <c r="BQ232" s="1" t="s">
        <v>678</v>
      </c>
      <c r="BR232" s="1" t="s">
        <v>679</v>
      </c>
      <c r="BS232" s="1" t="s">
        <v>678</v>
      </c>
      <c r="BT232" s="1" t="s">
        <v>679</v>
      </c>
      <c r="BU232" s="1" t="s">
        <v>679</v>
      </c>
      <c r="CF232" s="1" t="s">
        <v>1262</v>
      </c>
      <c r="CG232" s="3">
        <v>46090</v>
      </c>
    </row>
    <row r="233" spans="1:85" ht="409.6" x14ac:dyDescent="0.3">
      <c r="A233" s="1">
        <v>4940</v>
      </c>
      <c r="B233" s="1" t="s">
        <v>661</v>
      </c>
      <c r="E233" s="1" t="s">
        <v>530</v>
      </c>
      <c r="F233" s="1">
        <v>1</v>
      </c>
      <c r="G233" s="1">
        <v>0</v>
      </c>
      <c r="H233" s="1" t="s">
        <v>662</v>
      </c>
      <c r="I233" s="1" t="s">
        <v>1415</v>
      </c>
      <c r="J233" s="1" t="s">
        <v>1416</v>
      </c>
      <c r="M233" s="1" t="s">
        <v>665</v>
      </c>
      <c r="O233" s="1">
        <v>1</v>
      </c>
      <c r="R233" s="1">
        <v>0</v>
      </c>
      <c r="S233" s="1">
        <v>0</v>
      </c>
      <c r="X233" s="1">
        <v>1</v>
      </c>
      <c r="AA233" s="1">
        <v>8.2899999999999991</v>
      </c>
      <c r="AB233" s="1" t="s">
        <v>1417</v>
      </c>
      <c r="AC233" s="1" t="s">
        <v>1418</v>
      </c>
      <c r="AE233" s="1" t="s">
        <v>1425</v>
      </c>
      <c r="AN233" s="1">
        <v>0</v>
      </c>
      <c r="AP233" s="1" t="s">
        <v>669</v>
      </c>
      <c r="AQ233" s="1" t="s">
        <v>670</v>
      </c>
      <c r="AR233" s="1">
        <v>1</v>
      </c>
      <c r="AS233" s="1">
        <v>1</v>
      </c>
      <c r="AT233" s="1" t="s">
        <v>671</v>
      </c>
      <c r="AU233" s="1" t="s">
        <v>728</v>
      </c>
      <c r="AV233" s="1">
        <v>1</v>
      </c>
      <c r="AW233" s="1">
        <v>1</v>
      </c>
      <c r="BB233" s="1" t="s">
        <v>1420</v>
      </c>
      <c r="BC233" s="1">
        <v>0</v>
      </c>
      <c r="BF233" s="1">
        <v>40</v>
      </c>
      <c r="BG233" s="1">
        <v>16</v>
      </c>
      <c r="BH233" s="1">
        <v>33</v>
      </c>
      <c r="BQ233" s="1" t="s">
        <v>678</v>
      </c>
      <c r="BR233" s="1" t="s">
        <v>679</v>
      </c>
      <c r="BS233" s="1" t="s">
        <v>678</v>
      </c>
      <c r="BT233" s="1" t="s">
        <v>679</v>
      </c>
      <c r="BU233" s="1" t="s">
        <v>679</v>
      </c>
      <c r="CF233" s="1" t="s">
        <v>1262</v>
      </c>
      <c r="CG233" s="3">
        <v>46090</v>
      </c>
    </row>
    <row r="234" spans="1:85" ht="409.6" x14ac:dyDescent="0.3">
      <c r="A234" s="1">
        <v>4941</v>
      </c>
      <c r="B234" s="1" t="s">
        <v>661</v>
      </c>
      <c r="E234" s="1" t="s">
        <v>531</v>
      </c>
      <c r="F234" s="1">
        <v>1</v>
      </c>
      <c r="G234" s="1">
        <v>0</v>
      </c>
      <c r="H234" s="1" t="s">
        <v>662</v>
      </c>
      <c r="I234" s="1" t="s">
        <v>1415</v>
      </c>
      <c r="J234" s="1" t="s">
        <v>1416</v>
      </c>
      <c r="M234" s="1" t="s">
        <v>665</v>
      </c>
      <c r="O234" s="1">
        <v>1</v>
      </c>
      <c r="R234" s="1">
        <v>0</v>
      </c>
      <c r="S234" s="1">
        <v>0</v>
      </c>
      <c r="X234" s="1">
        <v>1</v>
      </c>
      <c r="AA234" s="1">
        <v>8.2899999999999991</v>
      </c>
      <c r="AB234" s="1" t="s">
        <v>1417</v>
      </c>
      <c r="AC234" s="1" t="s">
        <v>1418</v>
      </c>
      <c r="AE234" s="1" t="s">
        <v>1426</v>
      </c>
      <c r="AN234" s="1">
        <v>0</v>
      </c>
      <c r="AP234" s="1" t="s">
        <v>669</v>
      </c>
      <c r="AQ234" s="1" t="s">
        <v>670</v>
      </c>
      <c r="AR234" s="1">
        <v>1</v>
      </c>
      <c r="AS234" s="1">
        <v>1</v>
      </c>
      <c r="AT234" s="1" t="s">
        <v>671</v>
      </c>
      <c r="AU234" s="1" t="s">
        <v>792</v>
      </c>
      <c r="AV234" s="1">
        <v>1</v>
      </c>
      <c r="AW234" s="1">
        <v>1</v>
      </c>
      <c r="BB234" s="1" t="s">
        <v>1420</v>
      </c>
      <c r="BC234" s="1">
        <v>0</v>
      </c>
      <c r="BF234" s="1">
        <v>41</v>
      </c>
      <c r="BG234" s="1">
        <v>17</v>
      </c>
      <c r="BH234" s="1">
        <v>33</v>
      </c>
      <c r="BQ234" s="1" t="s">
        <v>678</v>
      </c>
      <c r="BR234" s="1" t="s">
        <v>679</v>
      </c>
      <c r="BS234" s="1" t="s">
        <v>678</v>
      </c>
      <c r="BT234" s="1" t="s">
        <v>679</v>
      </c>
      <c r="BU234" s="1" t="s">
        <v>679</v>
      </c>
      <c r="CF234" s="1" t="s">
        <v>1262</v>
      </c>
      <c r="CG234" s="3">
        <v>46090</v>
      </c>
    </row>
    <row r="235" spans="1:85" ht="409.6" x14ac:dyDescent="0.3">
      <c r="A235" s="1">
        <v>4942</v>
      </c>
      <c r="B235" s="1" t="s">
        <v>661</v>
      </c>
      <c r="C235" s="1" t="s">
        <v>301</v>
      </c>
      <c r="E235" s="1" t="s">
        <v>1427</v>
      </c>
      <c r="F235" s="1">
        <v>1</v>
      </c>
      <c r="G235" s="1">
        <v>0</v>
      </c>
      <c r="H235" s="1" t="s">
        <v>662</v>
      </c>
      <c r="I235" s="1" t="s">
        <v>1428</v>
      </c>
      <c r="J235" s="1" t="s">
        <v>1429</v>
      </c>
      <c r="M235" s="1" t="s">
        <v>665</v>
      </c>
      <c r="O235" s="1">
        <v>1</v>
      </c>
      <c r="R235" s="1">
        <v>0</v>
      </c>
      <c r="S235" s="1">
        <v>0</v>
      </c>
      <c r="X235" s="1">
        <v>1</v>
      </c>
      <c r="AA235" s="1">
        <v>9.9600000000000009</v>
      </c>
      <c r="AB235" s="1" t="s">
        <v>1430</v>
      </c>
      <c r="AC235" s="1" t="s">
        <v>1431</v>
      </c>
      <c r="AE235" s="1" t="s">
        <v>1432</v>
      </c>
      <c r="AN235" s="1">
        <v>0</v>
      </c>
      <c r="AP235" s="1" t="s">
        <v>669</v>
      </c>
      <c r="AQ235" s="1" t="s">
        <v>684</v>
      </c>
      <c r="AR235" s="1">
        <v>1</v>
      </c>
      <c r="AS235" s="1">
        <v>1</v>
      </c>
      <c r="AT235" s="1" t="s">
        <v>671</v>
      </c>
      <c r="AU235" s="1" t="s">
        <v>796</v>
      </c>
      <c r="AV235" s="1">
        <v>1</v>
      </c>
      <c r="AW235" s="1">
        <v>1</v>
      </c>
      <c r="BB235" s="1" t="s">
        <v>1433</v>
      </c>
      <c r="BC235" s="1">
        <v>0</v>
      </c>
      <c r="BF235" s="1">
        <v>41</v>
      </c>
      <c r="BG235" s="1">
        <v>17</v>
      </c>
      <c r="BH235" s="1">
        <v>34</v>
      </c>
      <c r="BQ235" s="1" t="s">
        <v>678</v>
      </c>
      <c r="BR235" s="1" t="s">
        <v>679</v>
      </c>
      <c r="BS235" s="1" t="s">
        <v>678</v>
      </c>
      <c r="BT235" s="1" t="s">
        <v>679</v>
      </c>
      <c r="BU235" s="1" t="s">
        <v>679</v>
      </c>
      <c r="CF235" s="1" t="s">
        <v>1262</v>
      </c>
      <c r="CG235" s="3">
        <v>46090</v>
      </c>
    </row>
    <row r="236" spans="1:85" ht="409.6" x14ac:dyDescent="0.3">
      <c r="A236" s="1">
        <v>4944</v>
      </c>
      <c r="B236" s="1" t="s">
        <v>661</v>
      </c>
      <c r="C236" s="1" t="s">
        <v>305</v>
      </c>
      <c r="E236" s="1" t="s">
        <v>1434</v>
      </c>
      <c r="F236" s="1">
        <v>1</v>
      </c>
      <c r="G236" s="1">
        <v>0</v>
      </c>
      <c r="H236" s="1" t="s">
        <v>662</v>
      </c>
      <c r="I236" s="1" t="s">
        <v>1428</v>
      </c>
      <c r="J236" s="1" t="s">
        <v>1429</v>
      </c>
      <c r="M236" s="1" t="s">
        <v>665</v>
      </c>
      <c r="O236" s="1">
        <v>1</v>
      </c>
      <c r="R236" s="1">
        <v>0</v>
      </c>
      <c r="S236" s="1">
        <v>0</v>
      </c>
      <c r="X236" s="1">
        <v>1</v>
      </c>
      <c r="AA236" s="1">
        <v>9.9600000000000009</v>
      </c>
      <c r="AB236" s="1" t="s">
        <v>1430</v>
      </c>
      <c r="AC236" s="1" t="s">
        <v>1431</v>
      </c>
      <c r="AE236" s="1" t="s">
        <v>1435</v>
      </c>
      <c r="AN236" s="1">
        <v>0</v>
      </c>
      <c r="AP236" s="1" t="s">
        <v>669</v>
      </c>
      <c r="AQ236" s="1" t="s">
        <v>684</v>
      </c>
      <c r="AR236" s="1">
        <v>1</v>
      </c>
      <c r="AS236" s="1">
        <v>1</v>
      </c>
      <c r="AT236" s="1" t="s">
        <v>671</v>
      </c>
      <c r="AU236" s="1" t="s">
        <v>792</v>
      </c>
      <c r="AV236" s="1">
        <v>1</v>
      </c>
      <c r="AW236" s="1">
        <v>1</v>
      </c>
      <c r="BB236" s="1" t="s">
        <v>1433</v>
      </c>
      <c r="BC236" s="1">
        <v>0</v>
      </c>
      <c r="BF236" s="1">
        <v>44</v>
      </c>
      <c r="BG236" s="1">
        <v>19</v>
      </c>
      <c r="BH236" s="1">
        <v>37</v>
      </c>
      <c r="BQ236" s="1" t="s">
        <v>678</v>
      </c>
      <c r="BR236" s="1" t="s">
        <v>679</v>
      </c>
      <c r="BS236" s="1" t="s">
        <v>678</v>
      </c>
      <c r="BT236" s="1" t="s">
        <v>679</v>
      </c>
      <c r="BU236" s="1" t="s">
        <v>679</v>
      </c>
      <c r="CF236" s="1" t="s">
        <v>1262</v>
      </c>
      <c r="CG236" s="3">
        <v>46090</v>
      </c>
    </row>
    <row r="237" spans="1:85" ht="409.6" x14ac:dyDescent="0.3">
      <c r="A237" s="1">
        <v>4946</v>
      </c>
      <c r="B237" s="1" t="s">
        <v>661</v>
      </c>
      <c r="C237" s="1" t="s">
        <v>306</v>
      </c>
      <c r="E237" s="1" t="s">
        <v>534</v>
      </c>
      <c r="F237" s="1">
        <v>1</v>
      </c>
      <c r="G237" s="1">
        <v>0</v>
      </c>
      <c r="H237" s="1" t="s">
        <v>662</v>
      </c>
      <c r="I237" s="1" t="s">
        <v>1428</v>
      </c>
      <c r="J237" s="1" t="s">
        <v>1429</v>
      </c>
      <c r="M237" s="1" t="s">
        <v>665</v>
      </c>
      <c r="O237" s="1">
        <v>1</v>
      </c>
      <c r="R237" s="1">
        <v>0</v>
      </c>
      <c r="S237" s="1">
        <v>0</v>
      </c>
      <c r="X237" s="1">
        <v>1</v>
      </c>
      <c r="AA237" s="1">
        <v>9.9600000000000009</v>
      </c>
      <c r="AB237" s="1" t="s">
        <v>1430</v>
      </c>
      <c r="AC237" s="1" t="s">
        <v>1431</v>
      </c>
      <c r="AE237" s="1" t="s">
        <v>1436</v>
      </c>
      <c r="AN237" s="1">
        <v>0</v>
      </c>
      <c r="AP237" s="1" t="s">
        <v>669</v>
      </c>
      <c r="AQ237" s="1" t="s">
        <v>684</v>
      </c>
      <c r="AR237" s="1">
        <v>1</v>
      </c>
      <c r="AS237" s="1">
        <v>1</v>
      </c>
      <c r="AT237" s="1" t="s">
        <v>671</v>
      </c>
      <c r="AU237" s="1" t="s">
        <v>891</v>
      </c>
      <c r="AV237" s="1">
        <v>1</v>
      </c>
      <c r="AW237" s="1">
        <v>1</v>
      </c>
      <c r="BB237" s="1" t="s">
        <v>1433</v>
      </c>
      <c r="BC237" s="1">
        <v>0</v>
      </c>
      <c r="BF237" s="1">
        <v>42</v>
      </c>
      <c r="BG237" s="1">
        <v>17</v>
      </c>
      <c r="BH237" s="1">
        <v>35</v>
      </c>
      <c r="BQ237" s="1" t="s">
        <v>678</v>
      </c>
      <c r="BR237" s="1" t="s">
        <v>679</v>
      </c>
      <c r="BS237" s="1" t="s">
        <v>678</v>
      </c>
      <c r="BT237" s="1" t="s">
        <v>679</v>
      </c>
      <c r="BU237" s="1" t="s">
        <v>679</v>
      </c>
      <c r="CF237" s="1" t="s">
        <v>1262</v>
      </c>
      <c r="CG237" s="3">
        <v>46090</v>
      </c>
    </row>
    <row r="238" spans="1:85" ht="409.6" x14ac:dyDescent="0.3">
      <c r="A238" s="1">
        <v>4949</v>
      </c>
      <c r="B238" s="1" t="s">
        <v>661</v>
      </c>
      <c r="C238" s="1" t="s">
        <v>307</v>
      </c>
      <c r="E238" s="1" t="s">
        <v>535</v>
      </c>
      <c r="F238" s="1">
        <v>1</v>
      </c>
      <c r="G238" s="1">
        <v>0</v>
      </c>
      <c r="H238" s="1" t="s">
        <v>662</v>
      </c>
      <c r="I238" s="1" t="s">
        <v>1428</v>
      </c>
      <c r="J238" s="1" t="s">
        <v>1429</v>
      </c>
      <c r="M238" s="1" t="s">
        <v>665</v>
      </c>
      <c r="O238" s="1">
        <v>1</v>
      </c>
      <c r="R238" s="1">
        <v>0</v>
      </c>
      <c r="S238" s="1">
        <v>0</v>
      </c>
      <c r="X238" s="1">
        <v>1</v>
      </c>
      <c r="AA238" s="1">
        <v>9.9600000000000009</v>
      </c>
      <c r="AB238" s="1" t="s">
        <v>1430</v>
      </c>
      <c r="AC238" s="1" t="s">
        <v>1431</v>
      </c>
      <c r="AE238" s="1" t="s">
        <v>1437</v>
      </c>
      <c r="AN238" s="1">
        <v>0</v>
      </c>
      <c r="AP238" s="1" t="s">
        <v>669</v>
      </c>
      <c r="AQ238" s="1" t="s">
        <v>684</v>
      </c>
      <c r="AR238" s="1">
        <v>1</v>
      </c>
      <c r="AS238" s="1">
        <v>1</v>
      </c>
      <c r="AT238" s="1" t="s">
        <v>671</v>
      </c>
      <c r="AU238" s="1" t="s">
        <v>1051</v>
      </c>
      <c r="AV238" s="1">
        <v>1</v>
      </c>
      <c r="AW238" s="1">
        <v>1</v>
      </c>
      <c r="BB238" s="1" t="s">
        <v>1433</v>
      </c>
      <c r="BC238" s="1">
        <v>0</v>
      </c>
      <c r="BF238" s="1">
        <v>43</v>
      </c>
      <c r="BG238" s="1">
        <v>19</v>
      </c>
      <c r="BH238" s="1">
        <v>35</v>
      </c>
      <c r="BQ238" s="1" t="s">
        <v>678</v>
      </c>
      <c r="BR238" s="1" t="s">
        <v>679</v>
      </c>
      <c r="BS238" s="1" t="s">
        <v>678</v>
      </c>
      <c r="BT238" s="1" t="s">
        <v>679</v>
      </c>
      <c r="BU238" s="1" t="s">
        <v>679</v>
      </c>
      <c r="CF238" s="1" t="s">
        <v>1262</v>
      </c>
      <c r="CG238" s="3">
        <v>46090</v>
      </c>
    </row>
    <row r="239" spans="1:85" ht="409.6" x14ac:dyDescent="0.3">
      <c r="A239" s="1">
        <v>4951</v>
      </c>
      <c r="B239" s="1" t="s">
        <v>661</v>
      </c>
      <c r="C239" s="1" t="s">
        <v>308</v>
      </c>
      <c r="E239" s="1" t="s">
        <v>536</v>
      </c>
      <c r="F239" s="1">
        <v>1</v>
      </c>
      <c r="G239" s="1">
        <v>0</v>
      </c>
      <c r="H239" s="1" t="s">
        <v>662</v>
      </c>
      <c r="I239" s="1" t="s">
        <v>1428</v>
      </c>
      <c r="J239" s="1" t="s">
        <v>1429</v>
      </c>
      <c r="M239" s="1" t="s">
        <v>665</v>
      </c>
      <c r="O239" s="1">
        <v>1</v>
      </c>
      <c r="R239" s="1">
        <v>0</v>
      </c>
      <c r="S239" s="1">
        <v>0</v>
      </c>
      <c r="X239" s="1">
        <v>1</v>
      </c>
      <c r="AA239" s="1">
        <v>9.9600000000000009</v>
      </c>
      <c r="AB239" s="1" t="s">
        <v>1430</v>
      </c>
      <c r="AC239" s="1" t="s">
        <v>1431</v>
      </c>
      <c r="AE239" s="1" t="s">
        <v>1438</v>
      </c>
      <c r="AN239" s="1">
        <v>0</v>
      </c>
      <c r="AP239" s="1" t="s">
        <v>669</v>
      </c>
      <c r="AQ239" s="1" t="s">
        <v>684</v>
      </c>
      <c r="AR239" s="1">
        <v>1</v>
      </c>
      <c r="AS239" s="1">
        <v>1</v>
      </c>
      <c r="AT239" s="1" t="s">
        <v>671</v>
      </c>
      <c r="AU239" s="1" t="s">
        <v>728</v>
      </c>
      <c r="AV239" s="1">
        <v>1</v>
      </c>
      <c r="AW239" s="1">
        <v>1</v>
      </c>
      <c r="BB239" s="1" t="s">
        <v>1433</v>
      </c>
      <c r="BC239" s="1">
        <v>0</v>
      </c>
      <c r="BF239" s="1">
        <v>44</v>
      </c>
      <c r="BG239" s="1">
        <v>20</v>
      </c>
      <c r="BH239" s="1">
        <v>35</v>
      </c>
      <c r="BQ239" s="1" t="s">
        <v>678</v>
      </c>
      <c r="BR239" s="1" t="s">
        <v>679</v>
      </c>
      <c r="BS239" s="1" t="s">
        <v>678</v>
      </c>
      <c r="BT239" s="1" t="s">
        <v>679</v>
      </c>
      <c r="BU239" s="1" t="s">
        <v>679</v>
      </c>
      <c r="CF239" s="1" t="s">
        <v>1262</v>
      </c>
      <c r="CG239" s="3">
        <v>46090</v>
      </c>
    </row>
    <row r="240" spans="1:85" ht="409.6" x14ac:dyDescent="0.3">
      <c r="A240" s="1">
        <v>4953</v>
      </c>
      <c r="B240" s="1" t="s">
        <v>661</v>
      </c>
      <c r="C240" s="1" t="s">
        <v>309</v>
      </c>
      <c r="E240" s="1" t="s">
        <v>537</v>
      </c>
      <c r="F240" s="1">
        <v>1</v>
      </c>
      <c r="G240" s="1">
        <v>0</v>
      </c>
      <c r="H240" s="1" t="s">
        <v>662</v>
      </c>
      <c r="I240" s="1" t="s">
        <v>1428</v>
      </c>
      <c r="J240" s="1" t="s">
        <v>1429</v>
      </c>
      <c r="M240" s="1" t="s">
        <v>665</v>
      </c>
      <c r="O240" s="1">
        <v>1</v>
      </c>
      <c r="R240" s="1">
        <v>0</v>
      </c>
      <c r="S240" s="1">
        <v>0</v>
      </c>
      <c r="X240" s="1">
        <v>1</v>
      </c>
      <c r="AA240" s="1">
        <v>9.9600000000000009</v>
      </c>
      <c r="AB240" s="1" t="s">
        <v>1430</v>
      </c>
      <c r="AC240" s="1" t="s">
        <v>1431</v>
      </c>
      <c r="AE240" s="1" t="s">
        <v>1439</v>
      </c>
      <c r="AN240" s="1">
        <v>0</v>
      </c>
      <c r="AP240" s="1" t="s">
        <v>669</v>
      </c>
      <c r="AQ240" s="1" t="s">
        <v>684</v>
      </c>
      <c r="AR240" s="1">
        <v>1</v>
      </c>
      <c r="AS240" s="1">
        <v>1</v>
      </c>
      <c r="AT240" s="1" t="s">
        <v>671</v>
      </c>
      <c r="AU240" s="1" t="s">
        <v>672</v>
      </c>
      <c r="AV240" s="1">
        <v>1</v>
      </c>
      <c r="AW240" s="1">
        <v>1</v>
      </c>
      <c r="BB240" s="1" t="s">
        <v>1433</v>
      </c>
      <c r="BC240" s="1">
        <v>0</v>
      </c>
      <c r="BF240" s="1">
        <v>41</v>
      </c>
      <c r="BG240" s="1">
        <v>17</v>
      </c>
      <c r="BH240" s="1">
        <v>33</v>
      </c>
      <c r="BQ240" s="1" t="s">
        <v>678</v>
      </c>
      <c r="BR240" s="1" t="s">
        <v>679</v>
      </c>
      <c r="BS240" s="1" t="s">
        <v>678</v>
      </c>
      <c r="BT240" s="1" t="s">
        <v>679</v>
      </c>
      <c r="BU240" s="1" t="s">
        <v>679</v>
      </c>
      <c r="CF240" s="1" t="s">
        <v>1262</v>
      </c>
      <c r="CG240" s="3">
        <v>46090</v>
      </c>
    </row>
    <row r="241" spans="1:85" ht="409.6" x14ac:dyDescent="0.3">
      <c r="A241" s="1">
        <v>4955</v>
      </c>
      <c r="B241" s="1" t="s">
        <v>661</v>
      </c>
      <c r="C241" s="1" t="s">
        <v>310</v>
      </c>
      <c r="E241" s="1" t="s">
        <v>538</v>
      </c>
      <c r="F241" s="1">
        <v>1</v>
      </c>
      <c r="G241" s="1">
        <v>0</v>
      </c>
      <c r="H241" s="1" t="s">
        <v>662</v>
      </c>
      <c r="I241" s="1" t="s">
        <v>1440</v>
      </c>
      <c r="J241" s="1" t="s">
        <v>1441</v>
      </c>
      <c r="M241" s="1" t="s">
        <v>665</v>
      </c>
      <c r="O241" s="1">
        <v>1</v>
      </c>
      <c r="R241" s="1">
        <v>0</v>
      </c>
      <c r="S241" s="1">
        <v>0</v>
      </c>
      <c r="X241" s="1">
        <v>1</v>
      </c>
      <c r="AA241" s="1">
        <v>6.63</v>
      </c>
      <c r="AB241" s="1" t="s">
        <v>1430</v>
      </c>
      <c r="AC241" s="1" t="s">
        <v>1442</v>
      </c>
      <c r="AE241" s="1" t="s">
        <v>1443</v>
      </c>
      <c r="AN241" s="1">
        <v>0</v>
      </c>
      <c r="AP241" s="1" t="s">
        <v>669</v>
      </c>
      <c r="AQ241" s="1" t="s">
        <v>684</v>
      </c>
      <c r="AR241" s="1">
        <v>1</v>
      </c>
      <c r="AS241" s="1">
        <v>1</v>
      </c>
      <c r="AT241" s="1" t="s">
        <v>671</v>
      </c>
      <c r="AU241" s="1" t="s">
        <v>891</v>
      </c>
      <c r="AV241" s="1">
        <v>1</v>
      </c>
      <c r="AW241" s="1">
        <v>1</v>
      </c>
      <c r="BB241" s="1" t="s">
        <v>1444</v>
      </c>
      <c r="BC241" s="1">
        <v>0</v>
      </c>
      <c r="BF241" s="1">
        <v>39</v>
      </c>
      <c r="BG241" s="1">
        <v>15</v>
      </c>
      <c r="BH241" s="1">
        <v>32</v>
      </c>
      <c r="BQ241" s="1" t="s">
        <v>678</v>
      </c>
      <c r="BR241" s="1" t="s">
        <v>679</v>
      </c>
      <c r="BS241" s="1" t="s">
        <v>678</v>
      </c>
      <c r="BT241" s="1" t="s">
        <v>679</v>
      </c>
      <c r="BU241" s="1" t="s">
        <v>679</v>
      </c>
      <c r="CF241" s="1" t="s">
        <v>1262</v>
      </c>
      <c r="CG241" s="3">
        <v>46090</v>
      </c>
    </row>
    <row r="242" spans="1:85" ht="409.6" x14ac:dyDescent="0.3">
      <c r="A242" s="1">
        <v>4957</v>
      </c>
      <c r="B242" s="1" t="s">
        <v>661</v>
      </c>
      <c r="C242" s="1" t="s">
        <v>313</v>
      </c>
      <c r="E242" s="1" t="s">
        <v>539</v>
      </c>
      <c r="F242" s="1">
        <v>1</v>
      </c>
      <c r="G242" s="1">
        <v>0</v>
      </c>
      <c r="H242" s="1" t="s">
        <v>662</v>
      </c>
      <c r="I242" s="1" t="s">
        <v>1440</v>
      </c>
      <c r="J242" s="1" t="s">
        <v>1441</v>
      </c>
      <c r="M242" s="1" t="s">
        <v>665</v>
      </c>
      <c r="O242" s="1">
        <v>1</v>
      </c>
      <c r="R242" s="1">
        <v>0</v>
      </c>
      <c r="S242" s="1">
        <v>0</v>
      </c>
      <c r="X242" s="1">
        <v>1</v>
      </c>
      <c r="AA242" s="1">
        <v>6.63</v>
      </c>
      <c r="AB242" s="1" t="s">
        <v>1430</v>
      </c>
      <c r="AC242" s="1" t="s">
        <v>1442</v>
      </c>
      <c r="AE242" s="1" t="s">
        <v>1445</v>
      </c>
      <c r="AN242" s="1">
        <v>0</v>
      </c>
      <c r="AP242" s="1" t="s">
        <v>669</v>
      </c>
      <c r="AQ242" s="1" t="s">
        <v>684</v>
      </c>
      <c r="AR242" s="1">
        <v>1</v>
      </c>
      <c r="AS242" s="1">
        <v>1</v>
      </c>
      <c r="AT242" s="1" t="s">
        <v>671</v>
      </c>
      <c r="AU242" s="1" t="s">
        <v>720</v>
      </c>
      <c r="AV242" s="1">
        <v>1</v>
      </c>
      <c r="AW242" s="1">
        <v>1</v>
      </c>
      <c r="BB242" s="1" t="s">
        <v>1444</v>
      </c>
      <c r="BC242" s="1">
        <v>0</v>
      </c>
      <c r="BF242" s="1">
        <v>41</v>
      </c>
      <c r="BG242" s="1">
        <v>17</v>
      </c>
      <c r="BH242" s="1">
        <v>34</v>
      </c>
      <c r="BQ242" s="1" t="s">
        <v>678</v>
      </c>
      <c r="BR242" s="1" t="s">
        <v>679</v>
      </c>
      <c r="BS242" s="1" t="s">
        <v>678</v>
      </c>
      <c r="BT242" s="1" t="s">
        <v>679</v>
      </c>
      <c r="BU242" s="1" t="s">
        <v>679</v>
      </c>
      <c r="CF242" s="1" t="s">
        <v>1262</v>
      </c>
      <c r="CG242" s="3">
        <v>46090</v>
      </c>
    </row>
    <row r="243" spans="1:85" ht="409.6" x14ac:dyDescent="0.3">
      <c r="A243" s="1">
        <v>4959</v>
      </c>
      <c r="B243" s="1" t="s">
        <v>661</v>
      </c>
      <c r="C243" s="1" t="s">
        <v>314</v>
      </c>
      <c r="E243" s="1" t="s">
        <v>540</v>
      </c>
      <c r="F243" s="1">
        <v>1</v>
      </c>
      <c r="G243" s="1">
        <v>0</v>
      </c>
      <c r="H243" s="1" t="s">
        <v>662</v>
      </c>
      <c r="I243" s="1" t="s">
        <v>1440</v>
      </c>
      <c r="J243" s="1" t="s">
        <v>1441</v>
      </c>
      <c r="M243" s="1" t="s">
        <v>665</v>
      </c>
      <c r="O243" s="1">
        <v>1</v>
      </c>
      <c r="R243" s="1">
        <v>0</v>
      </c>
      <c r="S243" s="1">
        <v>0</v>
      </c>
      <c r="X243" s="1">
        <v>1</v>
      </c>
      <c r="AA243" s="1">
        <v>6.63</v>
      </c>
      <c r="AB243" s="1" t="s">
        <v>1430</v>
      </c>
      <c r="AC243" s="1" t="s">
        <v>1442</v>
      </c>
      <c r="AE243" s="1" t="s">
        <v>1437</v>
      </c>
      <c r="AN243" s="1">
        <v>0</v>
      </c>
      <c r="AP243" s="1" t="s">
        <v>669</v>
      </c>
      <c r="AQ243" s="1" t="s">
        <v>684</v>
      </c>
      <c r="AR243" s="1">
        <v>1</v>
      </c>
      <c r="AS243" s="1">
        <v>1</v>
      </c>
      <c r="AT243" s="1" t="s">
        <v>671</v>
      </c>
      <c r="AU243" s="1" t="s">
        <v>1051</v>
      </c>
      <c r="AV243" s="1">
        <v>1</v>
      </c>
      <c r="AW243" s="1">
        <v>1</v>
      </c>
      <c r="BB243" s="1" t="s">
        <v>1444</v>
      </c>
      <c r="BC243" s="1">
        <v>0</v>
      </c>
      <c r="BF243" s="1">
        <v>42</v>
      </c>
      <c r="BG243" s="1">
        <v>18</v>
      </c>
      <c r="BH243" s="1">
        <v>34</v>
      </c>
      <c r="BQ243" s="1" t="s">
        <v>678</v>
      </c>
      <c r="BR243" s="1" t="s">
        <v>679</v>
      </c>
      <c r="BS243" s="1" t="s">
        <v>678</v>
      </c>
      <c r="BT243" s="1" t="s">
        <v>679</v>
      </c>
      <c r="BU243" s="1" t="s">
        <v>679</v>
      </c>
      <c r="CF243" s="1" t="s">
        <v>1262</v>
      </c>
      <c r="CG243" s="3">
        <v>46090</v>
      </c>
    </row>
    <row r="244" spans="1:85" ht="409.6" x14ac:dyDescent="0.3">
      <c r="A244" s="1">
        <v>4960</v>
      </c>
      <c r="B244" s="1" t="s">
        <v>661</v>
      </c>
      <c r="C244" s="1" t="s">
        <v>315</v>
      </c>
      <c r="E244" s="1" t="s">
        <v>541</v>
      </c>
      <c r="F244" s="1">
        <v>1</v>
      </c>
      <c r="G244" s="1">
        <v>0</v>
      </c>
      <c r="H244" s="1" t="s">
        <v>662</v>
      </c>
      <c r="I244" s="1" t="s">
        <v>1440</v>
      </c>
      <c r="J244" s="1" t="s">
        <v>1441</v>
      </c>
      <c r="M244" s="1" t="s">
        <v>665</v>
      </c>
      <c r="O244" s="1">
        <v>1</v>
      </c>
      <c r="R244" s="1">
        <v>0</v>
      </c>
      <c r="S244" s="1">
        <v>0</v>
      </c>
      <c r="X244" s="1">
        <v>1</v>
      </c>
      <c r="AA244" s="1">
        <v>6.63</v>
      </c>
      <c r="AB244" s="1" t="s">
        <v>1430</v>
      </c>
      <c r="AC244" s="1" t="s">
        <v>1442</v>
      </c>
      <c r="AE244" s="1" t="s">
        <v>1435</v>
      </c>
      <c r="AN244" s="1">
        <v>0</v>
      </c>
      <c r="AP244" s="1" t="s">
        <v>669</v>
      </c>
      <c r="AQ244" s="1" t="s">
        <v>684</v>
      </c>
      <c r="AR244" s="1">
        <v>1</v>
      </c>
      <c r="AS244" s="1">
        <v>1</v>
      </c>
      <c r="AT244" s="1" t="s">
        <v>671</v>
      </c>
      <c r="AU244" s="1" t="s">
        <v>792</v>
      </c>
      <c r="AV244" s="1">
        <v>1</v>
      </c>
      <c r="AW244" s="1">
        <v>1</v>
      </c>
      <c r="BB244" s="1" t="s">
        <v>1444</v>
      </c>
      <c r="BC244" s="1">
        <v>0</v>
      </c>
      <c r="BF244" s="1">
        <v>43</v>
      </c>
      <c r="BG244" s="1">
        <v>19</v>
      </c>
      <c r="BH244" s="1">
        <v>35</v>
      </c>
      <c r="BQ244" s="1" t="s">
        <v>678</v>
      </c>
      <c r="BR244" s="1" t="s">
        <v>679</v>
      </c>
      <c r="BS244" s="1" t="s">
        <v>678</v>
      </c>
      <c r="BT244" s="1" t="s">
        <v>679</v>
      </c>
      <c r="BU244" s="1" t="s">
        <v>679</v>
      </c>
      <c r="CF244" s="1" t="s">
        <v>1262</v>
      </c>
      <c r="CG244" s="3">
        <v>46090</v>
      </c>
    </row>
    <row r="245" spans="1:85" ht="409.6" x14ac:dyDescent="0.3">
      <c r="A245" s="1">
        <v>4961</v>
      </c>
      <c r="B245" s="1" t="s">
        <v>661</v>
      </c>
      <c r="C245" s="1" t="s">
        <v>316</v>
      </c>
      <c r="E245" s="1" t="s">
        <v>542</v>
      </c>
      <c r="F245" s="1">
        <v>1</v>
      </c>
      <c r="G245" s="1">
        <v>0</v>
      </c>
      <c r="H245" s="1" t="s">
        <v>662</v>
      </c>
      <c r="I245" s="1" t="s">
        <v>1440</v>
      </c>
      <c r="J245" s="1" t="s">
        <v>1441</v>
      </c>
      <c r="M245" s="1" t="s">
        <v>665</v>
      </c>
      <c r="O245" s="1">
        <v>1</v>
      </c>
      <c r="R245" s="1">
        <v>0</v>
      </c>
      <c r="S245" s="1">
        <v>0</v>
      </c>
      <c r="X245" s="1">
        <v>1</v>
      </c>
      <c r="AA245" s="1">
        <v>6.63</v>
      </c>
      <c r="AB245" s="1" t="s">
        <v>1430</v>
      </c>
      <c r="AC245" s="1" t="s">
        <v>1442</v>
      </c>
      <c r="AE245" s="1" t="s">
        <v>1432</v>
      </c>
      <c r="AN245" s="1">
        <v>0</v>
      </c>
      <c r="AP245" s="1" t="s">
        <v>669</v>
      </c>
      <c r="AQ245" s="1" t="s">
        <v>684</v>
      </c>
      <c r="AR245" s="1">
        <v>1</v>
      </c>
      <c r="AS245" s="1">
        <v>1</v>
      </c>
      <c r="AT245" s="1" t="s">
        <v>671</v>
      </c>
      <c r="AU245" s="1" t="s">
        <v>796</v>
      </c>
      <c r="AV245" s="1">
        <v>1</v>
      </c>
      <c r="AW245" s="1">
        <v>1</v>
      </c>
      <c r="BB245" s="1" t="s">
        <v>1444</v>
      </c>
      <c r="BC245" s="1">
        <v>0</v>
      </c>
      <c r="BF245" s="1">
        <v>42</v>
      </c>
      <c r="BG245" s="1">
        <v>18</v>
      </c>
      <c r="BH245" s="1">
        <v>34</v>
      </c>
      <c r="BQ245" s="1" t="s">
        <v>678</v>
      </c>
      <c r="BR245" s="1" t="s">
        <v>679</v>
      </c>
      <c r="BS245" s="1" t="s">
        <v>678</v>
      </c>
      <c r="BT245" s="1" t="s">
        <v>679</v>
      </c>
      <c r="BU245" s="1" t="s">
        <v>679</v>
      </c>
      <c r="CF245" s="1" t="s">
        <v>1262</v>
      </c>
      <c r="CG245" s="3">
        <v>46090</v>
      </c>
    </row>
    <row r="246" spans="1:85" ht="409.6" x14ac:dyDescent="0.3">
      <c r="A246" s="1">
        <v>4962</v>
      </c>
      <c r="B246" s="1" t="s">
        <v>661</v>
      </c>
      <c r="C246" s="1" t="s">
        <v>317</v>
      </c>
      <c r="E246" s="1" t="s">
        <v>543</v>
      </c>
      <c r="F246" s="1">
        <v>1</v>
      </c>
      <c r="G246" s="1">
        <v>0</v>
      </c>
      <c r="H246" s="1" t="s">
        <v>662</v>
      </c>
      <c r="I246" s="1" t="s">
        <v>1440</v>
      </c>
      <c r="J246" s="1" t="s">
        <v>1441</v>
      </c>
      <c r="M246" s="1" t="s">
        <v>665</v>
      </c>
      <c r="O246" s="1">
        <v>1</v>
      </c>
      <c r="R246" s="1">
        <v>0</v>
      </c>
      <c r="S246" s="1">
        <v>0</v>
      </c>
      <c r="X246" s="1">
        <v>1</v>
      </c>
      <c r="AA246" s="1">
        <v>6.63</v>
      </c>
      <c r="AB246" s="1" t="s">
        <v>1430</v>
      </c>
      <c r="AC246" s="1" t="s">
        <v>1442</v>
      </c>
      <c r="AE246" s="1" t="s">
        <v>1438</v>
      </c>
      <c r="AN246" s="1">
        <v>0</v>
      </c>
      <c r="AP246" s="1" t="s">
        <v>669</v>
      </c>
      <c r="AQ246" s="1" t="s">
        <v>684</v>
      </c>
      <c r="AR246" s="1">
        <v>1</v>
      </c>
      <c r="AS246" s="1">
        <v>1</v>
      </c>
      <c r="AT246" s="1" t="s">
        <v>671</v>
      </c>
      <c r="AU246" s="1" t="s">
        <v>728</v>
      </c>
      <c r="AV246" s="1">
        <v>1</v>
      </c>
      <c r="AW246" s="1">
        <v>1</v>
      </c>
      <c r="BB246" s="1" t="s">
        <v>1444</v>
      </c>
      <c r="BC246" s="1">
        <v>0</v>
      </c>
      <c r="BF246" s="1">
        <v>43</v>
      </c>
      <c r="BG246" s="1">
        <v>19</v>
      </c>
      <c r="BH246" s="1">
        <v>35</v>
      </c>
      <c r="BQ246" s="1" t="s">
        <v>678</v>
      </c>
      <c r="BR246" s="1" t="s">
        <v>679</v>
      </c>
      <c r="BS246" s="1" t="s">
        <v>678</v>
      </c>
      <c r="BT246" s="1" t="s">
        <v>679</v>
      </c>
      <c r="BU246" s="1" t="s">
        <v>679</v>
      </c>
      <c r="CF246" s="1" t="s">
        <v>1262</v>
      </c>
      <c r="CG246" s="3">
        <v>46090</v>
      </c>
    </row>
    <row r="247" spans="1:85" ht="409.6" x14ac:dyDescent="0.3">
      <c r="A247" s="1">
        <v>4963</v>
      </c>
      <c r="B247" s="1" t="s">
        <v>661</v>
      </c>
      <c r="C247" s="1" t="s">
        <v>318</v>
      </c>
      <c r="E247" s="1" t="s">
        <v>544</v>
      </c>
      <c r="F247" s="1">
        <v>1</v>
      </c>
      <c r="G247" s="1">
        <v>0</v>
      </c>
      <c r="H247" s="1" t="s">
        <v>662</v>
      </c>
      <c r="I247" s="1" t="s">
        <v>1440</v>
      </c>
      <c r="J247" s="1" t="s">
        <v>1441</v>
      </c>
      <c r="M247" s="1" t="s">
        <v>665</v>
      </c>
      <c r="O247" s="1">
        <v>1</v>
      </c>
      <c r="R247" s="1">
        <v>0</v>
      </c>
      <c r="S247" s="1">
        <v>0</v>
      </c>
      <c r="X247" s="1">
        <v>1</v>
      </c>
      <c r="AA247" s="1">
        <v>6.63</v>
      </c>
      <c r="AB247" s="1" t="s">
        <v>1430</v>
      </c>
      <c r="AC247" s="1" t="s">
        <v>1442</v>
      </c>
      <c r="AE247" s="1" t="s">
        <v>1439</v>
      </c>
      <c r="AN247" s="1">
        <v>0</v>
      </c>
      <c r="AP247" s="1" t="s">
        <v>669</v>
      </c>
      <c r="AQ247" s="1" t="s">
        <v>684</v>
      </c>
      <c r="AR247" s="1">
        <v>1</v>
      </c>
      <c r="AS247" s="1">
        <v>1</v>
      </c>
      <c r="AT247" s="1" t="s">
        <v>671</v>
      </c>
      <c r="AU247" s="1" t="s">
        <v>672</v>
      </c>
      <c r="AV247" s="1">
        <v>1</v>
      </c>
      <c r="AW247" s="1">
        <v>1</v>
      </c>
      <c r="BB247" s="1" t="s">
        <v>1444</v>
      </c>
      <c r="BC247" s="1">
        <v>0</v>
      </c>
      <c r="BF247" s="1">
        <v>52</v>
      </c>
      <c r="BG247" s="1">
        <v>27</v>
      </c>
      <c r="BH247" s="1">
        <v>41</v>
      </c>
      <c r="BQ247" s="1" t="s">
        <v>678</v>
      </c>
      <c r="BR247" s="1" t="s">
        <v>679</v>
      </c>
      <c r="BS247" s="1" t="s">
        <v>678</v>
      </c>
      <c r="BT247" s="1" t="s">
        <v>679</v>
      </c>
      <c r="BU247" s="1" t="s">
        <v>679</v>
      </c>
      <c r="CF247" s="1" t="s">
        <v>1262</v>
      </c>
      <c r="CG247" s="3">
        <v>46090</v>
      </c>
    </row>
    <row r="248" spans="1:85" ht="259.2" x14ac:dyDescent="0.3">
      <c r="A248" s="1">
        <v>4964</v>
      </c>
      <c r="B248" s="1" t="s">
        <v>661</v>
      </c>
      <c r="C248" s="1" t="s">
        <v>319</v>
      </c>
      <c r="E248" s="1" t="s">
        <v>545</v>
      </c>
      <c r="F248" s="1">
        <v>1</v>
      </c>
      <c r="G248" s="1">
        <v>0</v>
      </c>
      <c r="H248" s="1" t="s">
        <v>662</v>
      </c>
      <c r="I248" s="1" t="s">
        <v>1446</v>
      </c>
      <c r="J248" s="1" t="s">
        <v>1447</v>
      </c>
      <c r="M248" s="1" t="s">
        <v>665</v>
      </c>
      <c r="O248" s="1">
        <v>1</v>
      </c>
      <c r="R248" s="1">
        <v>0</v>
      </c>
      <c r="S248" s="1">
        <v>0</v>
      </c>
      <c r="X248" s="1">
        <v>1</v>
      </c>
      <c r="AA248" s="1">
        <v>2.46</v>
      </c>
      <c r="AB248" s="1" t="s">
        <v>1448</v>
      </c>
      <c r="AC248" s="1" t="s">
        <v>1449</v>
      </c>
      <c r="AE248" s="1" t="s">
        <v>1450</v>
      </c>
      <c r="AN248" s="1">
        <v>0</v>
      </c>
      <c r="AP248" s="1" t="s">
        <v>669</v>
      </c>
      <c r="AQ248" s="1" t="s">
        <v>684</v>
      </c>
      <c r="AR248" s="1">
        <v>1</v>
      </c>
      <c r="AS248" s="1">
        <v>1</v>
      </c>
      <c r="AT248" s="1" t="s">
        <v>671</v>
      </c>
      <c r="AU248" s="1" t="s">
        <v>796</v>
      </c>
      <c r="AV248" s="1">
        <v>1</v>
      </c>
      <c r="AW248" s="1">
        <v>1</v>
      </c>
      <c r="BB248" s="1" t="s">
        <v>1451</v>
      </c>
      <c r="BC248" s="1">
        <v>0</v>
      </c>
      <c r="BF248" s="1">
        <v>43</v>
      </c>
      <c r="BG248" s="1">
        <v>19</v>
      </c>
      <c r="BH248" s="1">
        <v>35</v>
      </c>
      <c r="BQ248" s="1" t="s">
        <v>678</v>
      </c>
      <c r="BR248" s="1" t="s">
        <v>679</v>
      </c>
      <c r="BS248" s="1" t="s">
        <v>678</v>
      </c>
      <c r="BT248" s="1" t="s">
        <v>679</v>
      </c>
      <c r="BU248" s="1" t="s">
        <v>679</v>
      </c>
      <c r="CF248" s="1" t="s">
        <v>1262</v>
      </c>
      <c r="CG248" s="3">
        <v>46090</v>
      </c>
    </row>
    <row r="249" spans="1:85" ht="259.2" x14ac:dyDescent="0.3">
      <c r="A249" s="1">
        <v>4967</v>
      </c>
      <c r="B249" s="1" t="s">
        <v>661</v>
      </c>
      <c r="C249" s="1" t="s">
        <v>324</v>
      </c>
      <c r="E249" s="1" t="s">
        <v>1452</v>
      </c>
      <c r="F249" s="1">
        <v>1</v>
      </c>
      <c r="G249" s="1">
        <v>0</v>
      </c>
      <c r="H249" s="1" t="s">
        <v>662</v>
      </c>
      <c r="I249" s="1" t="s">
        <v>1446</v>
      </c>
      <c r="J249" s="1" t="s">
        <v>1447</v>
      </c>
      <c r="M249" s="1" t="s">
        <v>665</v>
      </c>
      <c r="O249" s="1">
        <v>1</v>
      </c>
      <c r="R249" s="1">
        <v>0</v>
      </c>
      <c r="S249" s="1">
        <v>0</v>
      </c>
      <c r="X249" s="1">
        <v>1</v>
      </c>
      <c r="AA249" s="1">
        <v>2.46</v>
      </c>
      <c r="AB249" s="1" t="s">
        <v>1448</v>
      </c>
      <c r="AC249" s="1" t="s">
        <v>1449</v>
      </c>
      <c r="AE249" s="1" t="s">
        <v>1453</v>
      </c>
      <c r="AN249" s="1">
        <v>0</v>
      </c>
      <c r="AP249" s="1" t="s">
        <v>669</v>
      </c>
      <c r="AQ249" s="1" t="s">
        <v>684</v>
      </c>
      <c r="AR249" s="1">
        <v>1</v>
      </c>
      <c r="AS249" s="1">
        <v>1</v>
      </c>
      <c r="AT249" s="1" t="s">
        <v>671</v>
      </c>
      <c r="AU249" s="1" t="s">
        <v>792</v>
      </c>
      <c r="AV249" s="1">
        <v>1</v>
      </c>
      <c r="AW249" s="1">
        <v>1</v>
      </c>
      <c r="BB249" s="1" t="s">
        <v>1451</v>
      </c>
      <c r="BC249" s="1">
        <v>0</v>
      </c>
      <c r="BF249" s="1">
        <v>40</v>
      </c>
      <c r="BG249" s="1">
        <v>16</v>
      </c>
      <c r="BH249" s="1">
        <v>32</v>
      </c>
      <c r="BQ249" s="1" t="s">
        <v>678</v>
      </c>
      <c r="BR249" s="1" t="s">
        <v>679</v>
      </c>
      <c r="BS249" s="1" t="s">
        <v>678</v>
      </c>
      <c r="BT249" s="1" t="s">
        <v>679</v>
      </c>
      <c r="BU249" s="1" t="s">
        <v>679</v>
      </c>
      <c r="CF249" s="1" t="s">
        <v>1262</v>
      </c>
      <c r="CG249" s="3">
        <v>46090</v>
      </c>
    </row>
    <row r="250" spans="1:85" ht="259.2" x14ac:dyDescent="0.3">
      <c r="A250" s="1">
        <v>4973</v>
      </c>
      <c r="B250" s="1" t="s">
        <v>661</v>
      </c>
      <c r="C250" s="1" t="s">
        <v>325</v>
      </c>
      <c r="E250" s="1" t="s">
        <v>547</v>
      </c>
      <c r="F250" s="1">
        <v>1</v>
      </c>
      <c r="G250" s="1">
        <v>0</v>
      </c>
      <c r="H250" s="1" t="s">
        <v>662</v>
      </c>
      <c r="I250" s="1" t="s">
        <v>1446</v>
      </c>
      <c r="J250" s="1" t="s">
        <v>1447</v>
      </c>
      <c r="M250" s="1" t="s">
        <v>665</v>
      </c>
      <c r="O250" s="1">
        <v>1</v>
      </c>
      <c r="R250" s="1">
        <v>0</v>
      </c>
      <c r="S250" s="1">
        <v>0</v>
      </c>
      <c r="X250" s="1">
        <v>1</v>
      </c>
      <c r="AA250" s="1">
        <v>2.46</v>
      </c>
      <c r="AB250" s="1" t="s">
        <v>1448</v>
      </c>
      <c r="AC250" s="1" t="s">
        <v>1449</v>
      </c>
      <c r="AE250" s="1" t="s">
        <v>1454</v>
      </c>
      <c r="AN250" s="1">
        <v>0</v>
      </c>
      <c r="AP250" s="1" t="s">
        <v>669</v>
      </c>
      <c r="AQ250" s="1" t="s">
        <v>684</v>
      </c>
      <c r="AR250" s="1">
        <v>1</v>
      </c>
      <c r="AS250" s="1">
        <v>1</v>
      </c>
      <c r="AT250" s="1" t="s">
        <v>671</v>
      </c>
      <c r="AU250" s="1" t="s">
        <v>672</v>
      </c>
      <c r="AV250" s="1">
        <v>1</v>
      </c>
      <c r="AW250" s="1">
        <v>1</v>
      </c>
      <c r="BB250" s="1" t="s">
        <v>1451</v>
      </c>
      <c r="BC250" s="1">
        <v>0</v>
      </c>
      <c r="BF250" s="1">
        <v>42</v>
      </c>
      <c r="BG250" s="1">
        <v>18</v>
      </c>
      <c r="BH250" s="1">
        <v>34</v>
      </c>
      <c r="BQ250" s="1" t="s">
        <v>678</v>
      </c>
      <c r="BR250" s="1" t="s">
        <v>679</v>
      </c>
      <c r="BS250" s="1" t="s">
        <v>678</v>
      </c>
      <c r="BT250" s="1" t="s">
        <v>679</v>
      </c>
      <c r="BU250" s="1" t="s">
        <v>679</v>
      </c>
      <c r="CF250" s="1" t="s">
        <v>1262</v>
      </c>
      <c r="CG250" s="3">
        <v>46090</v>
      </c>
    </row>
    <row r="251" spans="1:85" ht="259.2" x14ac:dyDescent="0.3">
      <c r="A251" s="1">
        <v>4977</v>
      </c>
      <c r="B251" s="1" t="s">
        <v>661</v>
      </c>
      <c r="C251" s="1" t="s">
        <v>326</v>
      </c>
      <c r="E251" s="1" t="s">
        <v>548</v>
      </c>
      <c r="F251" s="1">
        <v>1</v>
      </c>
      <c r="G251" s="1">
        <v>0</v>
      </c>
      <c r="H251" s="1" t="s">
        <v>662</v>
      </c>
      <c r="I251" s="1" t="s">
        <v>1446</v>
      </c>
      <c r="J251" s="1" t="s">
        <v>1447</v>
      </c>
      <c r="M251" s="1" t="s">
        <v>665</v>
      </c>
      <c r="O251" s="1">
        <v>1</v>
      </c>
      <c r="R251" s="1">
        <v>0</v>
      </c>
      <c r="S251" s="1">
        <v>0</v>
      </c>
      <c r="X251" s="1">
        <v>1</v>
      </c>
      <c r="AA251" s="1">
        <v>2.46</v>
      </c>
      <c r="AB251" s="1" t="s">
        <v>1448</v>
      </c>
      <c r="AC251" s="1" t="s">
        <v>1449</v>
      </c>
      <c r="AE251" s="1" t="s">
        <v>1455</v>
      </c>
      <c r="AN251" s="1">
        <v>0</v>
      </c>
      <c r="AP251" s="1" t="s">
        <v>669</v>
      </c>
      <c r="AQ251" s="1" t="s">
        <v>684</v>
      </c>
      <c r="AR251" s="1">
        <v>1</v>
      </c>
      <c r="AS251" s="1">
        <v>1</v>
      </c>
      <c r="AT251" s="1" t="s">
        <v>671</v>
      </c>
      <c r="AU251" s="1" t="s">
        <v>728</v>
      </c>
      <c r="AV251" s="1">
        <v>1</v>
      </c>
      <c r="AW251" s="1">
        <v>1</v>
      </c>
      <c r="BB251" s="1" t="s">
        <v>1451</v>
      </c>
      <c r="BC251" s="1">
        <v>0</v>
      </c>
      <c r="BF251" s="1">
        <v>39</v>
      </c>
      <c r="BG251" s="1">
        <v>15</v>
      </c>
      <c r="BH251" s="1">
        <v>32</v>
      </c>
      <c r="BQ251" s="1" t="s">
        <v>678</v>
      </c>
      <c r="BR251" s="1" t="s">
        <v>679</v>
      </c>
      <c r="BS251" s="1" t="s">
        <v>678</v>
      </c>
      <c r="BT251" s="1" t="s">
        <v>679</v>
      </c>
      <c r="BU251" s="1" t="s">
        <v>679</v>
      </c>
      <c r="CF251" s="1" t="s">
        <v>1262</v>
      </c>
      <c r="CG251" s="3">
        <v>46090</v>
      </c>
    </row>
    <row r="252" spans="1:85" ht="259.2" x14ac:dyDescent="0.3">
      <c r="A252" s="1">
        <v>4979</v>
      </c>
      <c r="B252" s="1" t="s">
        <v>661</v>
      </c>
      <c r="C252" s="1" t="s">
        <v>327</v>
      </c>
      <c r="E252" s="1" t="s">
        <v>549</v>
      </c>
      <c r="F252" s="1">
        <v>1</v>
      </c>
      <c r="G252" s="1">
        <v>0</v>
      </c>
      <c r="H252" s="1" t="s">
        <v>662</v>
      </c>
      <c r="I252" s="1" t="s">
        <v>1446</v>
      </c>
      <c r="J252" s="1" t="s">
        <v>1447</v>
      </c>
      <c r="M252" s="1" t="s">
        <v>665</v>
      </c>
      <c r="O252" s="1">
        <v>1</v>
      </c>
      <c r="R252" s="1">
        <v>0</v>
      </c>
      <c r="S252" s="1">
        <v>0</v>
      </c>
      <c r="X252" s="1">
        <v>1</v>
      </c>
      <c r="AA252" s="1">
        <v>2.46</v>
      </c>
      <c r="AB252" s="1" t="s">
        <v>1448</v>
      </c>
      <c r="AC252" s="1" t="s">
        <v>1449</v>
      </c>
      <c r="AE252" s="1" t="s">
        <v>1456</v>
      </c>
      <c r="AN252" s="1">
        <v>0</v>
      </c>
      <c r="AP252" s="1" t="s">
        <v>669</v>
      </c>
      <c r="AQ252" s="1" t="s">
        <v>684</v>
      </c>
      <c r="AR252" s="1">
        <v>1</v>
      </c>
      <c r="AS252" s="1">
        <v>1</v>
      </c>
      <c r="AT252" s="1" t="s">
        <v>671</v>
      </c>
      <c r="AU252" s="1" t="s">
        <v>720</v>
      </c>
      <c r="AV252" s="1">
        <v>1</v>
      </c>
      <c r="AW252" s="1">
        <v>1</v>
      </c>
      <c r="BB252" s="1" t="s">
        <v>1451</v>
      </c>
      <c r="BC252" s="1">
        <v>0</v>
      </c>
      <c r="BF252" s="1">
        <v>43</v>
      </c>
      <c r="BG252" s="1">
        <v>19</v>
      </c>
      <c r="BH252" s="1">
        <v>36</v>
      </c>
      <c r="BQ252" s="1" t="s">
        <v>678</v>
      </c>
      <c r="BR252" s="1" t="s">
        <v>679</v>
      </c>
      <c r="BS252" s="1" t="s">
        <v>678</v>
      </c>
      <c r="BT252" s="1" t="s">
        <v>679</v>
      </c>
      <c r="BU252" s="1" t="s">
        <v>679</v>
      </c>
      <c r="CF252" s="1" t="s">
        <v>1262</v>
      </c>
      <c r="CG252" s="3">
        <v>46090</v>
      </c>
    </row>
    <row r="253" spans="1:85" ht="259.2" x14ac:dyDescent="0.3">
      <c r="A253" s="1">
        <v>4981</v>
      </c>
      <c r="B253" s="1" t="s">
        <v>661</v>
      </c>
      <c r="C253" s="1" t="s">
        <v>328</v>
      </c>
      <c r="E253" s="1" t="s">
        <v>1457</v>
      </c>
      <c r="F253" s="1">
        <v>1</v>
      </c>
      <c r="G253" s="1">
        <v>0</v>
      </c>
      <c r="H253" s="1" t="s">
        <v>662</v>
      </c>
      <c r="I253" s="1" t="s">
        <v>1446</v>
      </c>
      <c r="J253" s="1" t="s">
        <v>1447</v>
      </c>
      <c r="M253" s="1" t="s">
        <v>665</v>
      </c>
      <c r="O253" s="1">
        <v>1</v>
      </c>
      <c r="R253" s="1">
        <v>0</v>
      </c>
      <c r="S253" s="1">
        <v>0</v>
      </c>
      <c r="X253" s="1">
        <v>1</v>
      </c>
      <c r="AA253" s="1">
        <v>2.46</v>
      </c>
      <c r="AB253" s="1" t="s">
        <v>1448</v>
      </c>
      <c r="AC253" s="1" t="s">
        <v>1458</v>
      </c>
      <c r="AE253" s="1" t="s">
        <v>1459</v>
      </c>
      <c r="AN253" s="1">
        <v>0</v>
      </c>
      <c r="AP253" s="1" t="s">
        <v>669</v>
      </c>
      <c r="AQ253" s="1" t="s">
        <v>684</v>
      </c>
      <c r="AR253" s="1">
        <v>1</v>
      </c>
      <c r="AS253" s="1">
        <v>1</v>
      </c>
      <c r="AT253" s="1" t="s">
        <v>671</v>
      </c>
      <c r="AU253" s="1" t="s">
        <v>720</v>
      </c>
      <c r="AV253" s="1">
        <v>1</v>
      </c>
      <c r="AW253" s="1">
        <v>1</v>
      </c>
      <c r="BB253" s="1" t="s">
        <v>1451</v>
      </c>
      <c r="BC253" s="1">
        <v>0</v>
      </c>
      <c r="BF253" s="1">
        <v>38</v>
      </c>
      <c r="BG253" s="1">
        <v>14</v>
      </c>
      <c r="BH253" s="1">
        <v>31</v>
      </c>
      <c r="BQ253" s="1" t="s">
        <v>678</v>
      </c>
      <c r="BR253" s="1" t="s">
        <v>679</v>
      </c>
      <c r="BS253" s="1" t="s">
        <v>678</v>
      </c>
      <c r="BT253" s="1" t="s">
        <v>679</v>
      </c>
      <c r="BU253" s="1" t="s">
        <v>679</v>
      </c>
      <c r="CF253" s="1" t="s">
        <v>1262</v>
      </c>
      <c r="CG253" s="3">
        <v>46090</v>
      </c>
    </row>
    <row r="254" spans="1:85" ht="259.2" x14ac:dyDescent="0.3">
      <c r="A254" s="1">
        <v>4983</v>
      </c>
      <c r="B254" s="1" t="s">
        <v>661</v>
      </c>
      <c r="C254" s="1" t="s">
        <v>331</v>
      </c>
      <c r="E254" s="1" t="s">
        <v>1460</v>
      </c>
      <c r="F254" s="1">
        <v>1</v>
      </c>
      <c r="G254" s="1">
        <v>0</v>
      </c>
      <c r="H254" s="1" t="s">
        <v>662</v>
      </c>
      <c r="I254" s="1" t="s">
        <v>1446</v>
      </c>
      <c r="J254" s="1" t="s">
        <v>1447</v>
      </c>
      <c r="M254" s="1" t="s">
        <v>665</v>
      </c>
      <c r="O254" s="1">
        <v>1</v>
      </c>
      <c r="R254" s="1">
        <v>0</v>
      </c>
      <c r="S254" s="1">
        <v>0</v>
      </c>
      <c r="X254" s="1">
        <v>1</v>
      </c>
      <c r="AA254" s="1">
        <v>2.46</v>
      </c>
      <c r="AB254" s="1" t="s">
        <v>1448</v>
      </c>
      <c r="AC254" s="1" t="s">
        <v>1458</v>
      </c>
      <c r="AE254" s="1" t="s">
        <v>1461</v>
      </c>
      <c r="AN254" s="1">
        <v>0</v>
      </c>
      <c r="AP254" s="1" t="s">
        <v>669</v>
      </c>
      <c r="AQ254" s="1" t="s">
        <v>684</v>
      </c>
      <c r="AR254" s="1">
        <v>1</v>
      </c>
      <c r="AS254" s="1">
        <v>1</v>
      </c>
      <c r="AT254" s="1" t="s">
        <v>671</v>
      </c>
      <c r="AU254" s="1" t="s">
        <v>891</v>
      </c>
      <c r="AV254" s="1">
        <v>1</v>
      </c>
      <c r="AW254" s="1">
        <v>1</v>
      </c>
      <c r="BB254" s="1" t="s">
        <v>1451</v>
      </c>
      <c r="BC254" s="1">
        <v>0</v>
      </c>
      <c r="BF254" s="1">
        <v>41</v>
      </c>
      <c r="BG254" s="1">
        <v>17</v>
      </c>
      <c r="BH254" s="1">
        <v>34</v>
      </c>
      <c r="BQ254" s="1" t="s">
        <v>678</v>
      </c>
      <c r="BR254" s="1" t="s">
        <v>679</v>
      </c>
      <c r="BS254" s="1" t="s">
        <v>678</v>
      </c>
      <c r="BT254" s="1" t="s">
        <v>679</v>
      </c>
      <c r="BU254" s="1" t="s">
        <v>679</v>
      </c>
      <c r="CF254" s="1" t="s">
        <v>1262</v>
      </c>
      <c r="CG254" s="3">
        <v>46090</v>
      </c>
    </row>
    <row r="255" spans="1:85" ht="259.2" x14ac:dyDescent="0.3">
      <c r="A255" s="1">
        <v>4985</v>
      </c>
      <c r="B255" s="1" t="s">
        <v>661</v>
      </c>
      <c r="C255" s="1" t="s">
        <v>332</v>
      </c>
      <c r="E255" s="1" t="s">
        <v>1462</v>
      </c>
      <c r="F255" s="1">
        <v>1</v>
      </c>
      <c r="G255" s="1">
        <v>0</v>
      </c>
      <c r="H255" s="1" t="s">
        <v>662</v>
      </c>
      <c r="I255" s="1" t="s">
        <v>1446</v>
      </c>
      <c r="J255" s="1" t="s">
        <v>1447</v>
      </c>
      <c r="M255" s="1" t="s">
        <v>665</v>
      </c>
      <c r="O255" s="1">
        <v>1</v>
      </c>
      <c r="R255" s="1">
        <v>0</v>
      </c>
      <c r="S255" s="1">
        <v>0</v>
      </c>
      <c r="X255" s="1">
        <v>1</v>
      </c>
      <c r="AA255" s="1">
        <v>2.46</v>
      </c>
      <c r="AB255" s="1" t="s">
        <v>1448</v>
      </c>
      <c r="AC255" s="1" t="s">
        <v>1458</v>
      </c>
      <c r="AE255" s="1" t="s">
        <v>1463</v>
      </c>
      <c r="AN255" s="1">
        <v>0</v>
      </c>
      <c r="AP255" s="1" t="s">
        <v>669</v>
      </c>
      <c r="AQ255" s="1" t="s">
        <v>684</v>
      </c>
      <c r="AR255" s="1">
        <v>1</v>
      </c>
      <c r="AS255" s="1">
        <v>1</v>
      </c>
      <c r="AT255" s="1" t="s">
        <v>671</v>
      </c>
      <c r="AU255" s="1" t="s">
        <v>796</v>
      </c>
      <c r="AV255" s="1">
        <v>1</v>
      </c>
      <c r="AW255" s="1">
        <v>1</v>
      </c>
      <c r="BB255" s="1" t="s">
        <v>1451</v>
      </c>
      <c r="BC255" s="1">
        <v>0</v>
      </c>
      <c r="BF255" s="1">
        <v>41</v>
      </c>
      <c r="BG255" s="1">
        <v>17</v>
      </c>
      <c r="BH255" s="1">
        <v>34</v>
      </c>
      <c r="BQ255" s="1" t="s">
        <v>678</v>
      </c>
      <c r="BR255" s="1" t="s">
        <v>679</v>
      </c>
      <c r="BS255" s="1" t="s">
        <v>678</v>
      </c>
      <c r="BT255" s="1" t="s">
        <v>679</v>
      </c>
      <c r="BU255" s="1" t="s">
        <v>679</v>
      </c>
      <c r="CF255" s="1" t="s">
        <v>1262</v>
      </c>
      <c r="CG255" s="3">
        <v>46090</v>
      </c>
    </row>
    <row r="256" spans="1:85" ht="259.2" x14ac:dyDescent="0.3">
      <c r="A256" s="1">
        <v>4987</v>
      </c>
      <c r="B256" s="1" t="s">
        <v>661</v>
      </c>
      <c r="C256" s="1" t="s">
        <v>333</v>
      </c>
      <c r="E256" s="1" t="s">
        <v>1464</v>
      </c>
      <c r="F256" s="1">
        <v>1</v>
      </c>
      <c r="G256" s="1">
        <v>0</v>
      </c>
      <c r="H256" s="1" t="s">
        <v>662</v>
      </c>
      <c r="I256" s="1" t="s">
        <v>1446</v>
      </c>
      <c r="J256" s="1" t="s">
        <v>1447</v>
      </c>
      <c r="M256" s="1" t="s">
        <v>665</v>
      </c>
      <c r="O256" s="1">
        <v>1</v>
      </c>
      <c r="R256" s="1">
        <v>0</v>
      </c>
      <c r="S256" s="1">
        <v>0</v>
      </c>
      <c r="X256" s="1">
        <v>1</v>
      </c>
      <c r="AA256" s="1">
        <v>2.46</v>
      </c>
      <c r="AB256" s="1" t="s">
        <v>1448</v>
      </c>
      <c r="AC256" s="1" t="s">
        <v>1458</v>
      </c>
      <c r="AE256" s="1" t="s">
        <v>1465</v>
      </c>
      <c r="AN256" s="1">
        <v>0</v>
      </c>
      <c r="AP256" s="1" t="s">
        <v>669</v>
      </c>
      <c r="AQ256" s="1" t="s">
        <v>684</v>
      </c>
      <c r="AR256" s="1">
        <v>1</v>
      </c>
      <c r="AS256" s="1">
        <v>1</v>
      </c>
      <c r="AT256" s="1" t="s">
        <v>671</v>
      </c>
      <c r="AU256" s="1" t="s">
        <v>672</v>
      </c>
      <c r="AV256" s="1">
        <v>1</v>
      </c>
      <c r="AW256" s="1">
        <v>1</v>
      </c>
      <c r="BB256" s="1" t="s">
        <v>1451</v>
      </c>
      <c r="BC256" s="1">
        <v>0</v>
      </c>
      <c r="BF256" s="1">
        <v>41</v>
      </c>
      <c r="BG256" s="1">
        <v>17</v>
      </c>
      <c r="BH256" s="1">
        <v>34</v>
      </c>
      <c r="BQ256" s="1" t="s">
        <v>678</v>
      </c>
      <c r="BR256" s="1" t="s">
        <v>679</v>
      </c>
      <c r="BS256" s="1" t="s">
        <v>678</v>
      </c>
      <c r="BT256" s="1" t="s">
        <v>679</v>
      </c>
      <c r="BU256" s="1" t="s">
        <v>679</v>
      </c>
      <c r="CF256" s="1" t="s">
        <v>1262</v>
      </c>
      <c r="CG256" s="3">
        <v>46090</v>
      </c>
    </row>
    <row r="257" spans="1:85" ht="144" x14ac:dyDescent="0.3">
      <c r="A257" s="1">
        <v>5010</v>
      </c>
      <c r="B257" s="1" t="s">
        <v>661</v>
      </c>
      <c r="C257" s="1" t="s">
        <v>1466</v>
      </c>
      <c r="E257" s="1" t="s">
        <v>1467</v>
      </c>
      <c r="F257" s="1">
        <v>1</v>
      </c>
      <c r="G257" s="1">
        <v>0</v>
      </c>
      <c r="H257" s="1" t="s">
        <v>662</v>
      </c>
      <c r="I257" s="1" t="s">
        <v>1468</v>
      </c>
      <c r="M257" s="1" t="s">
        <v>665</v>
      </c>
      <c r="O257" s="1">
        <v>1</v>
      </c>
      <c r="R257" s="1">
        <v>0</v>
      </c>
      <c r="S257" s="1">
        <v>0</v>
      </c>
      <c r="X257" s="1">
        <v>1</v>
      </c>
      <c r="AA257" s="1">
        <v>1.5</v>
      </c>
      <c r="AB257" s="1" t="s">
        <v>1469</v>
      </c>
      <c r="AC257" s="1" t="s">
        <v>1470</v>
      </c>
      <c r="AE257" s="1" t="s">
        <v>1471</v>
      </c>
      <c r="AN257" s="1">
        <v>0</v>
      </c>
      <c r="AP257" s="1" t="s">
        <v>669</v>
      </c>
      <c r="AQ257" s="1" t="s">
        <v>1381</v>
      </c>
      <c r="AR257" s="1">
        <v>1</v>
      </c>
      <c r="AS257" s="1">
        <v>1</v>
      </c>
      <c r="AT257" s="1" t="s">
        <v>671</v>
      </c>
      <c r="AU257" s="1" t="s">
        <v>796</v>
      </c>
      <c r="AV257" s="1">
        <v>1</v>
      </c>
      <c r="AW257" s="1">
        <v>1</v>
      </c>
      <c r="BB257" s="1" t="s">
        <v>1472</v>
      </c>
      <c r="BC257" s="1">
        <v>0</v>
      </c>
      <c r="BF257" s="1">
        <v>44</v>
      </c>
      <c r="BG257" s="1">
        <v>20</v>
      </c>
      <c r="BH257" s="1">
        <v>36</v>
      </c>
      <c r="BQ257" s="1" t="s">
        <v>678</v>
      </c>
      <c r="BR257" s="1" t="s">
        <v>679</v>
      </c>
      <c r="BS257" s="1" t="s">
        <v>678</v>
      </c>
      <c r="BT257" s="1" t="s">
        <v>679</v>
      </c>
      <c r="BU257" s="1" t="s">
        <v>679</v>
      </c>
      <c r="CF257" s="1" t="s">
        <v>1262</v>
      </c>
      <c r="CG257" s="3">
        <v>46090</v>
      </c>
    </row>
    <row r="258" spans="1:85" ht="144" x14ac:dyDescent="0.3">
      <c r="A258" s="1">
        <v>5012</v>
      </c>
      <c r="B258" s="1" t="s">
        <v>661</v>
      </c>
      <c r="C258" s="1" t="s">
        <v>1473</v>
      </c>
      <c r="E258" s="1" t="s">
        <v>1474</v>
      </c>
      <c r="F258" s="1">
        <v>1</v>
      </c>
      <c r="G258" s="1">
        <v>0</v>
      </c>
      <c r="H258" s="1" t="s">
        <v>662</v>
      </c>
      <c r="I258" s="1" t="s">
        <v>1468</v>
      </c>
      <c r="M258" s="1" t="s">
        <v>665</v>
      </c>
      <c r="O258" s="1">
        <v>1</v>
      </c>
      <c r="R258" s="1">
        <v>0</v>
      </c>
      <c r="S258" s="1">
        <v>0</v>
      </c>
      <c r="X258" s="1">
        <v>1</v>
      </c>
      <c r="AA258" s="1">
        <v>1.5</v>
      </c>
      <c r="AB258" s="1" t="s">
        <v>1469</v>
      </c>
      <c r="AC258" s="1" t="s">
        <v>1470</v>
      </c>
      <c r="AE258" s="1" t="s">
        <v>1475</v>
      </c>
      <c r="AN258" s="1">
        <v>0</v>
      </c>
      <c r="AP258" s="1" t="s">
        <v>669</v>
      </c>
      <c r="AQ258" s="1" t="s">
        <v>1381</v>
      </c>
      <c r="AR258" s="1">
        <v>1</v>
      </c>
      <c r="AS258" s="1">
        <v>1</v>
      </c>
      <c r="AT258" s="1" t="s">
        <v>671</v>
      </c>
      <c r="AU258" s="1" t="s">
        <v>728</v>
      </c>
      <c r="AV258" s="1">
        <v>1</v>
      </c>
      <c r="AW258" s="1">
        <v>1</v>
      </c>
      <c r="BB258" s="1" t="s">
        <v>1472</v>
      </c>
      <c r="BC258" s="1">
        <v>0</v>
      </c>
      <c r="BF258" s="1">
        <v>44</v>
      </c>
      <c r="BG258" s="1">
        <v>20</v>
      </c>
      <c r="BH258" s="1">
        <v>37</v>
      </c>
      <c r="BQ258" s="1" t="s">
        <v>678</v>
      </c>
      <c r="BR258" s="1" t="s">
        <v>679</v>
      </c>
      <c r="BS258" s="1" t="s">
        <v>678</v>
      </c>
      <c r="BT258" s="1" t="s">
        <v>679</v>
      </c>
      <c r="BU258" s="1" t="s">
        <v>679</v>
      </c>
      <c r="CF258" s="1" t="s">
        <v>1262</v>
      </c>
      <c r="CG258" s="3">
        <v>46090</v>
      </c>
    </row>
    <row r="259" spans="1:85" ht="144" x14ac:dyDescent="0.3">
      <c r="A259" s="1">
        <v>5014</v>
      </c>
      <c r="B259" s="1" t="s">
        <v>661</v>
      </c>
      <c r="C259" s="1" t="s">
        <v>1476</v>
      </c>
      <c r="E259" s="1" t="s">
        <v>1477</v>
      </c>
      <c r="F259" s="1">
        <v>1</v>
      </c>
      <c r="G259" s="1">
        <v>0</v>
      </c>
      <c r="H259" s="1" t="s">
        <v>662</v>
      </c>
      <c r="I259" s="1" t="s">
        <v>1468</v>
      </c>
      <c r="M259" s="1" t="s">
        <v>665</v>
      </c>
      <c r="O259" s="1">
        <v>1</v>
      </c>
      <c r="R259" s="1">
        <v>0</v>
      </c>
      <c r="S259" s="1">
        <v>0</v>
      </c>
      <c r="X259" s="1">
        <v>1</v>
      </c>
      <c r="AA259" s="1">
        <v>1.5</v>
      </c>
      <c r="AB259" s="1" t="s">
        <v>1469</v>
      </c>
      <c r="AC259" s="1" t="s">
        <v>1470</v>
      </c>
      <c r="AE259" s="1" t="s">
        <v>1478</v>
      </c>
      <c r="AN259" s="1">
        <v>0</v>
      </c>
      <c r="AP259" s="1" t="s">
        <v>669</v>
      </c>
      <c r="AQ259" s="1" t="s">
        <v>1381</v>
      </c>
      <c r="AR259" s="1">
        <v>1</v>
      </c>
      <c r="AS259" s="1">
        <v>1</v>
      </c>
      <c r="AT259" s="1" t="s">
        <v>671</v>
      </c>
      <c r="AU259" s="1" t="s">
        <v>792</v>
      </c>
      <c r="AV259" s="1">
        <v>1</v>
      </c>
      <c r="AW259" s="1">
        <v>1</v>
      </c>
      <c r="BB259" s="1" t="s">
        <v>1472</v>
      </c>
      <c r="BC259" s="1">
        <v>0</v>
      </c>
      <c r="BF259" s="1">
        <v>38</v>
      </c>
      <c r="BG259" s="1">
        <v>14</v>
      </c>
      <c r="BH259" s="1">
        <v>31</v>
      </c>
      <c r="BQ259" s="1" t="s">
        <v>678</v>
      </c>
      <c r="BR259" s="1" t="s">
        <v>679</v>
      </c>
      <c r="BS259" s="1" t="s">
        <v>678</v>
      </c>
      <c r="BT259" s="1" t="s">
        <v>679</v>
      </c>
      <c r="BU259" s="1" t="s">
        <v>679</v>
      </c>
      <c r="CF259" s="1" t="s">
        <v>1262</v>
      </c>
      <c r="CG259" s="3">
        <v>46090</v>
      </c>
    </row>
    <row r="260" spans="1:85" ht="144" x14ac:dyDescent="0.3">
      <c r="A260" s="1">
        <v>5016</v>
      </c>
      <c r="B260" s="1" t="s">
        <v>661</v>
      </c>
      <c r="C260" s="1" t="s">
        <v>1479</v>
      </c>
      <c r="E260" s="1" t="s">
        <v>1480</v>
      </c>
      <c r="F260" s="1">
        <v>1</v>
      </c>
      <c r="G260" s="1">
        <v>0</v>
      </c>
      <c r="H260" s="1" t="s">
        <v>662</v>
      </c>
      <c r="I260" s="1" t="s">
        <v>1468</v>
      </c>
      <c r="M260" s="1" t="s">
        <v>665</v>
      </c>
      <c r="O260" s="1">
        <v>1</v>
      </c>
      <c r="R260" s="1">
        <v>0</v>
      </c>
      <c r="S260" s="1">
        <v>0</v>
      </c>
      <c r="X260" s="1">
        <v>1</v>
      </c>
      <c r="AA260" s="1">
        <v>1.5</v>
      </c>
      <c r="AB260" s="1" t="s">
        <v>1469</v>
      </c>
      <c r="AC260" s="1" t="s">
        <v>1470</v>
      </c>
      <c r="AE260" s="1" t="s">
        <v>1481</v>
      </c>
      <c r="AN260" s="1">
        <v>0</v>
      </c>
      <c r="AP260" s="1" t="s">
        <v>669</v>
      </c>
      <c r="AQ260" s="1" t="s">
        <v>1381</v>
      </c>
      <c r="AR260" s="1">
        <v>1</v>
      </c>
      <c r="AS260" s="1">
        <v>1</v>
      </c>
      <c r="AT260" s="1" t="s">
        <v>671</v>
      </c>
      <c r="AU260" s="1" t="s">
        <v>893</v>
      </c>
      <c r="AV260" s="1">
        <v>1</v>
      </c>
      <c r="AW260" s="1">
        <v>1</v>
      </c>
      <c r="BB260" s="1" t="s">
        <v>1472</v>
      </c>
      <c r="BC260" s="1">
        <v>0</v>
      </c>
      <c r="BF260" s="1">
        <v>41</v>
      </c>
      <c r="BG260" s="1">
        <v>17</v>
      </c>
      <c r="BH260" s="1">
        <v>34</v>
      </c>
      <c r="BQ260" s="1" t="s">
        <v>678</v>
      </c>
      <c r="BR260" s="1" t="s">
        <v>679</v>
      </c>
      <c r="BS260" s="1" t="s">
        <v>678</v>
      </c>
      <c r="BT260" s="1" t="s">
        <v>679</v>
      </c>
      <c r="BU260" s="1" t="s">
        <v>679</v>
      </c>
      <c r="CF260" s="1" t="s">
        <v>1262</v>
      </c>
      <c r="CG260" s="3">
        <v>46090</v>
      </c>
    </row>
    <row r="261" spans="1:85" ht="144" x14ac:dyDescent="0.3">
      <c r="A261" s="1">
        <v>5018</v>
      </c>
      <c r="B261" s="1" t="s">
        <v>661</v>
      </c>
      <c r="C261" s="1" t="s">
        <v>1482</v>
      </c>
      <c r="E261" s="1" t="s">
        <v>1483</v>
      </c>
      <c r="F261" s="1">
        <v>1</v>
      </c>
      <c r="G261" s="1">
        <v>0</v>
      </c>
      <c r="H261" s="1" t="s">
        <v>662</v>
      </c>
      <c r="I261" s="1" t="s">
        <v>1468</v>
      </c>
      <c r="M261" s="1" t="s">
        <v>665</v>
      </c>
      <c r="O261" s="1">
        <v>1</v>
      </c>
      <c r="R261" s="1">
        <v>0</v>
      </c>
      <c r="S261" s="1">
        <v>0</v>
      </c>
      <c r="X261" s="1">
        <v>1</v>
      </c>
      <c r="AA261" s="1">
        <v>1.5</v>
      </c>
      <c r="AB261" s="1" t="s">
        <v>1469</v>
      </c>
      <c r="AC261" s="1" t="s">
        <v>1470</v>
      </c>
      <c r="AE261" s="1" t="s">
        <v>1484</v>
      </c>
      <c r="AN261" s="1">
        <v>0</v>
      </c>
      <c r="AP261" s="1" t="s">
        <v>669</v>
      </c>
      <c r="AQ261" s="1" t="s">
        <v>1381</v>
      </c>
      <c r="AR261" s="1">
        <v>1</v>
      </c>
      <c r="AS261" s="1">
        <v>1</v>
      </c>
      <c r="AT261" s="1" t="s">
        <v>671</v>
      </c>
      <c r="AU261" s="1" t="s">
        <v>1051</v>
      </c>
      <c r="AV261" s="1">
        <v>1</v>
      </c>
      <c r="AW261" s="1">
        <v>1</v>
      </c>
      <c r="BB261" s="1" t="s">
        <v>1472</v>
      </c>
      <c r="BC261" s="1">
        <v>0</v>
      </c>
      <c r="BF261" s="1">
        <v>39</v>
      </c>
      <c r="BG261" s="1">
        <v>15</v>
      </c>
      <c r="BH261" s="1">
        <v>32</v>
      </c>
      <c r="BQ261" s="1" t="s">
        <v>678</v>
      </c>
      <c r="BR261" s="1" t="s">
        <v>679</v>
      </c>
      <c r="BS261" s="1" t="s">
        <v>678</v>
      </c>
      <c r="BT261" s="1" t="s">
        <v>679</v>
      </c>
      <c r="BU261" s="1" t="s">
        <v>679</v>
      </c>
      <c r="CF261" s="1" t="s">
        <v>1262</v>
      </c>
      <c r="CG261" s="3">
        <v>46090</v>
      </c>
    </row>
    <row r="262" spans="1:85" ht="144" x14ac:dyDescent="0.3">
      <c r="A262" s="1">
        <v>5021</v>
      </c>
      <c r="B262" s="1" t="s">
        <v>661</v>
      </c>
      <c r="C262" s="1" t="s">
        <v>1485</v>
      </c>
      <c r="E262" s="1" t="s">
        <v>1486</v>
      </c>
      <c r="F262" s="1">
        <v>1</v>
      </c>
      <c r="G262" s="1">
        <v>0</v>
      </c>
      <c r="H262" s="1" t="s">
        <v>662</v>
      </c>
      <c r="I262" s="1" t="s">
        <v>1468</v>
      </c>
      <c r="M262" s="1" t="s">
        <v>665</v>
      </c>
      <c r="O262" s="1">
        <v>1</v>
      </c>
      <c r="R262" s="1">
        <v>0</v>
      </c>
      <c r="S262" s="1">
        <v>0</v>
      </c>
      <c r="X262" s="1">
        <v>1</v>
      </c>
      <c r="AA262" s="1">
        <v>1.5</v>
      </c>
      <c r="AB262" s="1" t="s">
        <v>1469</v>
      </c>
      <c r="AC262" s="1" t="s">
        <v>1470</v>
      </c>
      <c r="AE262" s="1" t="s">
        <v>1487</v>
      </c>
      <c r="AN262" s="1">
        <v>0</v>
      </c>
      <c r="AP262" s="1" t="s">
        <v>669</v>
      </c>
      <c r="AQ262" s="1" t="s">
        <v>1381</v>
      </c>
      <c r="AR262" s="1">
        <v>1</v>
      </c>
      <c r="AS262" s="1">
        <v>1</v>
      </c>
      <c r="AT262" s="1" t="s">
        <v>671</v>
      </c>
      <c r="AU262" s="1" t="s">
        <v>696</v>
      </c>
      <c r="AV262" s="1">
        <v>1</v>
      </c>
      <c r="AW262" s="1">
        <v>1</v>
      </c>
      <c r="BB262" s="1" t="s">
        <v>1472</v>
      </c>
      <c r="BC262" s="1">
        <v>0</v>
      </c>
      <c r="BF262" s="1">
        <v>42</v>
      </c>
      <c r="BG262" s="1">
        <v>18</v>
      </c>
      <c r="BH262" s="1">
        <v>33</v>
      </c>
      <c r="BQ262" s="1" t="s">
        <v>678</v>
      </c>
      <c r="BR262" s="1" t="s">
        <v>679</v>
      </c>
      <c r="BS262" s="1" t="s">
        <v>678</v>
      </c>
      <c r="BT262" s="1" t="s">
        <v>679</v>
      </c>
      <c r="BU262" s="1" t="s">
        <v>679</v>
      </c>
      <c r="CF262" s="1" t="s">
        <v>1262</v>
      </c>
      <c r="CG262" s="3">
        <v>46090</v>
      </c>
    </row>
    <row r="263" spans="1:85" ht="144" x14ac:dyDescent="0.3">
      <c r="A263" s="1">
        <v>5023</v>
      </c>
      <c r="B263" s="1" t="s">
        <v>661</v>
      </c>
      <c r="C263" s="1" t="s">
        <v>1488</v>
      </c>
      <c r="E263" s="1" t="s">
        <v>1489</v>
      </c>
      <c r="F263" s="1">
        <v>1</v>
      </c>
      <c r="G263" s="1">
        <v>0</v>
      </c>
      <c r="H263" s="1" t="s">
        <v>662</v>
      </c>
      <c r="I263" s="1" t="s">
        <v>1468</v>
      </c>
      <c r="M263" s="1" t="s">
        <v>665</v>
      </c>
      <c r="O263" s="1">
        <v>1</v>
      </c>
      <c r="R263" s="1">
        <v>0</v>
      </c>
      <c r="S263" s="1">
        <v>0</v>
      </c>
      <c r="X263" s="1">
        <v>1</v>
      </c>
      <c r="AA263" s="1">
        <v>1.5</v>
      </c>
      <c r="AB263" s="1" t="s">
        <v>1469</v>
      </c>
      <c r="AC263" s="1" t="s">
        <v>1470</v>
      </c>
      <c r="AE263" s="1" t="s">
        <v>1490</v>
      </c>
      <c r="AN263" s="1">
        <v>0</v>
      </c>
      <c r="AP263" s="1" t="s">
        <v>669</v>
      </c>
      <c r="AQ263" s="1" t="s">
        <v>1381</v>
      </c>
      <c r="AR263" s="1">
        <v>1</v>
      </c>
      <c r="AS263" s="1">
        <v>1</v>
      </c>
      <c r="AT263" s="1" t="s">
        <v>671</v>
      </c>
      <c r="AU263" s="1" t="s">
        <v>789</v>
      </c>
      <c r="AV263" s="1">
        <v>1</v>
      </c>
      <c r="AW263" s="1">
        <v>1</v>
      </c>
      <c r="BB263" s="1" t="s">
        <v>1472</v>
      </c>
      <c r="BC263" s="1">
        <v>0</v>
      </c>
      <c r="BF263" s="1">
        <v>40</v>
      </c>
      <c r="BG263" s="1">
        <v>16</v>
      </c>
      <c r="BH263" s="1">
        <v>32</v>
      </c>
      <c r="BQ263" s="1" t="s">
        <v>678</v>
      </c>
      <c r="BR263" s="1" t="s">
        <v>679</v>
      </c>
      <c r="BS263" s="1" t="s">
        <v>678</v>
      </c>
      <c r="BT263" s="1" t="s">
        <v>679</v>
      </c>
      <c r="BU263" s="1" t="s">
        <v>679</v>
      </c>
      <c r="CF263" s="1" t="s">
        <v>1262</v>
      </c>
      <c r="CG263" s="3">
        <v>46090</v>
      </c>
    </row>
    <row r="264" spans="1:85" ht="144" x14ac:dyDescent="0.3">
      <c r="A264" s="1">
        <v>5025</v>
      </c>
      <c r="B264" s="1" t="s">
        <v>661</v>
      </c>
      <c r="C264" s="1" t="s">
        <v>1491</v>
      </c>
      <c r="E264" s="1" t="s">
        <v>1492</v>
      </c>
      <c r="F264" s="1">
        <v>1</v>
      </c>
      <c r="G264" s="1">
        <v>0</v>
      </c>
      <c r="H264" s="1" t="s">
        <v>662</v>
      </c>
      <c r="I264" s="1" t="s">
        <v>1468</v>
      </c>
      <c r="M264" s="1" t="s">
        <v>665</v>
      </c>
      <c r="O264" s="1">
        <v>1</v>
      </c>
      <c r="R264" s="1">
        <v>0</v>
      </c>
      <c r="S264" s="1">
        <v>0</v>
      </c>
      <c r="X264" s="1">
        <v>1</v>
      </c>
      <c r="AA264" s="1">
        <v>1.5</v>
      </c>
      <c r="AB264" s="1" t="s">
        <v>1469</v>
      </c>
      <c r="AC264" s="1" t="s">
        <v>1470</v>
      </c>
      <c r="AE264" s="1" t="s">
        <v>1493</v>
      </c>
      <c r="AN264" s="1">
        <v>0</v>
      </c>
      <c r="AP264" s="1" t="s">
        <v>669</v>
      </c>
      <c r="AQ264" s="1" t="s">
        <v>1381</v>
      </c>
      <c r="AR264" s="1">
        <v>1</v>
      </c>
      <c r="AS264" s="1">
        <v>1</v>
      </c>
      <c r="AT264" s="1" t="s">
        <v>671</v>
      </c>
      <c r="AU264" s="1" t="s">
        <v>728</v>
      </c>
      <c r="AV264" s="1">
        <v>1</v>
      </c>
      <c r="AW264" s="1">
        <v>1</v>
      </c>
      <c r="BB264" s="1" t="s">
        <v>1472</v>
      </c>
      <c r="BC264" s="1">
        <v>0</v>
      </c>
      <c r="BF264" s="1">
        <v>39</v>
      </c>
      <c r="BG264" s="1">
        <v>15</v>
      </c>
      <c r="BH264" s="1">
        <v>31</v>
      </c>
      <c r="BQ264" s="1" t="s">
        <v>678</v>
      </c>
      <c r="BR264" s="1" t="s">
        <v>679</v>
      </c>
      <c r="BS264" s="1" t="s">
        <v>678</v>
      </c>
      <c r="BT264" s="1" t="s">
        <v>679</v>
      </c>
      <c r="BU264" s="1" t="s">
        <v>679</v>
      </c>
      <c r="CF264" s="1" t="s">
        <v>1262</v>
      </c>
      <c r="CG264" s="3">
        <v>46090</v>
      </c>
    </row>
    <row r="265" spans="1:85" ht="144" x14ac:dyDescent="0.3">
      <c r="A265" s="1">
        <v>5027</v>
      </c>
      <c r="B265" s="1" t="s">
        <v>661</v>
      </c>
      <c r="C265" s="1" t="s">
        <v>1494</v>
      </c>
      <c r="E265" s="1" t="s">
        <v>1495</v>
      </c>
      <c r="F265" s="1">
        <v>1</v>
      </c>
      <c r="G265" s="1">
        <v>0</v>
      </c>
      <c r="H265" s="1" t="s">
        <v>662</v>
      </c>
      <c r="I265" s="1" t="s">
        <v>1468</v>
      </c>
      <c r="M265" s="1" t="s">
        <v>665</v>
      </c>
      <c r="O265" s="1">
        <v>1</v>
      </c>
      <c r="R265" s="1">
        <v>0</v>
      </c>
      <c r="S265" s="1">
        <v>0</v>
      </c>
      <c r="X265" s="1">
        <v>1</v>
      </c>
      <c r="AA265" s="1">
        <v>1.5</v>
      </c>
      <c r="AB265" s="1" t="s">
        <v>1469</v>
      </c>
      <c r="AC265" s="1" t="s">
        <v>1470</v>
      </c>
      <c r="AE265" s="1" t="s">
        <v>1496</v>
      </c>
      <c r="AN265" s="1">
        <v>0</v>
      </c>
      <c r="AP265" s="1" t="s">
        <v>669</v>
      </c>
      <c r="AQ265" s="1" t="s">
        <v>1381</v>
      </c>
      <c r="AR265" s="1">
        <v>1</v>
      </c>
      <c r="AS265" s="1">
        <v>1</v>
      </c>
      <c r="AT265" s="1" t="s">
        <v>671</v>
      </c>
      <c r="AU265" s="1" t="s">
        <v>720</v>
      </c>
      <c r="AV265" s="1">
        <v>1</v>
      </c>
      <c r="AW265" s="1">
        <v>1</v>
      </c>
      <c r="BB265" s="1" t="s">
        <v>1472</v>
      </c>
      <c r="BC265" s="1">
        <v>0</v>
      </c>
      <c r="BF265" s="1">
        <v>39</v>
      </c>
      <c r="BG265" s="1">
        <v>15</v>
      </c>
      <c r="BH265" s="1">
        <v>32</v>
      </c>
      <c r="BQ265" s="1" t="s">
        <v>678</v>
      </c>
      <c r="BR265" s="1" t="s">
        <v>679</v>
      </c>
      <c r="BS265" s="1" t="s">
        <v>678</v>
      </c>
      <c r="BT265" s="1" t="s">
        <v>679</v>
      </c>
      <c r="BU265" s="1" t="s">
        <v>679</v>
      </c>
      <c r="CF265" s="1" t="s">
        <v>1262</v>
      </c>
      <c r="CG265" s="3">
        <v>46090</v>
      </c>
    </row>
    <row r="266" spans="1:85" ht="144" x14ac:dyDescent="0.3">
      <c r="A266" s="1">
        <v>5029</v>
      </c>
      <c r="B266" s="1" t="s">
        <v>661</v>
      </c>
      <c r="C266" s="1" t="s">
        <v>1497</v>
      </c>
      <c r="E266" s="1" t="s">
        <v>1498</v>
      </c>
      <c r="F266" s="1">
        <v>1</v>
      </c>
      <c r="G266" s="1">
        <v>0</v>
      </c>
      <c r="H266" s="1" t="s">
        <v>662</v>
      </c>
      <c r="I266" s="1" t="s">
        <v>1468</v>
      </c>
      <c r="M266" s="1" t="s">
        <v>665</v>
      </c>
      <c r="O266" s="1">
        <v>1</v>
      </c>
      <c r="R266" s="1">
        <v>0</v>
      </c>
      <c r="S266" s="1">
        <v>0</v>
      </c>
      <c r="X266" s="1">
        <v>1</v>
      </c>
      <c r="AA266" s="1">
        <v>1.5</v>
      </c>
      <c r="AB266" s="1" t="s">
        <v>1469</v>
      </c>
      <c r="AC266" s="1" t="s">
        <v>1499</v>
      </c>
      <c r="AE266" s="1" t="s">
        <v>1500</v>
      </c>
      <c r="AN266" s="1">
        <v>0</v>
      </c>
      <c r="AP266" s="1" t="s">
        <v>669</v>
      </c>
      <c r="AQ266" s="1" t="s">
        <v>1381</v>
      </c>
      <c r="AR266" s="1">
        <v>1</v>
      </c>
      <c r="AS266" s="1">
        <v>1</v>
      </c>
      <c r="AT266" s="1" t="s">
        <v>671</v>
      </c>
      <c r="AU266" s="1" t="s">
        <v>792</v>
      </c>
      <c r="AV266" s="1">
        <v>1</v>
      </c>
      <c r="AW266" s="1">
        <v>1</v>
      </c>
      <c r="BB266" s="1" t="s">
        <v>1472</v>
      </c>
      <c r="BC266" s="1">
        <v>0</v>
      </c>
      <c r="BF266" s="1">
        <v>41</v>
      </c>
      <c r="BG266" s="1">
        <v>17</v>
      </c>
      <c r="BH266" s="1">
        <v>34</v>
      </c>
      <c r="BQ266" s="1" t="s">
        <v>678</v>
      </c>
      <c r="BR266" s="1" t="s">
        <v>679</v>
      </c>
      <c r="BS266" s="1" t="s">
        <v>678</v>
      </c>
      <c r="BT266" s="1" t="s">
        <v>679</v>
      </c>
      <c r="BU266" s="1" t="s">
        <v>679</v>
      </c>
      <c r="CF266" s="1" t="s">
        <v>1262</v>
      </c>
      <c r="CG266" s="3">
        <v>46090</v>
      </c>
    </row>
    <row r="267" spans="1:85" ht="144" x14ac:dyDescent="0.3">
      <c r="A267" s="1">
        <v>5031</v>
      </c>
      <c r="B267" s="1" t="s">
        <v>661</v>
      </c>
      <c r="C267" s="1" t="s">
        <v>1501</v>
      </c>
      <c r="E267" s="1" t="s">
        <v>1502</v>
      </c>
      <c r="F267" s="1">
        <v>1</v>
      </c>
      <c r="G267" s="1">
        <v>0</v>
      </c>
      <c r="H267" s="1" t="s">
        <v>662</v>
      </c>
      <c r="I267" s="1" t="s">
        <v>1468</v>
      </c>
      <c r="M267" s="1" t="s">
        <v>665</v>
      </c>
      <c r="O267" s="1">
        <v>1</v>
      </c>
      <c r="R267" s="1">
        <v>0</v>
      </c>
      <c r="S267" s="1">
        <v>0</v>
      </c>
      <c r="X267" s="1">
        <v>1</v>
      </c>
      <c r="AA267" s="1">
        <v>1.5</v>
      </c>
      <c r="AB267" s="1" t="s">
        <v>1469</v>
      </c>
      <c r="AC267" s="1" t="s">
        <v>1499</v>
      </c>
      <c r="AE267" s="1" t="s">
        <v>1503</v>
      </c>
      <c r="AN267" s="1">
        <v>0</v>
      </c>
      <c r="AP267" s="1" t="s">
        <v>669</v>
      </c>
      <c r="AQ267" s="1" t="s">
        <v>1381</v>
      </c>
      <c r="AR267" s="1">
        <v>1</v>
      </c>
      <c r="AS267" s="1">
        <v>1</v>
      </c>
      <c r="AT267" s="1" t="s">
        <v>671</v>
      </c>
      <c r="AU267" s="1" t="s">
        <v>728</v>
      </c>
      <c r="AV267" s="1">
        <v>1</v>
      </c>
      <c r="AW267" s="1">
        <v>1</v>
      </c>
      <c r="BB267" s="1" t="s">
        <v>1472</v>
      </c>
      <c r="BC267" s="1">
        <v>0</v>
      </c>
      <c r="BF267" s="1">
        <v>40</v>
      </c>
      <c r="BG267" s="1">
        <v>16</v>
      </c>
      <c r="BH267" s="1">
        <v>33</v>
      </c>
      <c r="BQ267" s="1" t="s">
        <v>678</v>
      </c>
      <c r="BR267" s="1" t="s">
        <v>679</v>
      </c>
      <c r="BS267" s="1" t="s">
        <v>678</v>
      </c>
      <c r="BT267" s="1" t="s">
        <v>679</v>
      </c>
      <c r="BU267" s="1" t="s">
        <v>679</v>
      </c>
      <c r="CF267" s="1" t="s">
        <v>1262</v>
      </c>
      <c r="CG267" s="3">
        <v>46090</v>
      </c>
    </row>
    <row r="268" spans="1:85" ht="144" x14ac:dyDescent="0.3">
      <c r="A268" s="1">
        <v>5033</v>
      </c>
      <c r="B268" s="1" t="s">
        <v>661</v>
      </c>
      <c r="C268" s="1" t="s">
        <v>1504</v>
      </c>
      <c r="E268" s="1" t="s">
        <v>1505</v>
      </c>
      <c r="F268" s="1">
        <v>1</v>
      </c>
      <c r="G268" s="1">
        <v>0</v>
      </c>
      <c r="H268" s="1" t="s">
        <v>662</v>
      </c>
      <c r="I268" s="1" t="s">
        <v>1468</v>
      </c>
      <c r="M268" s="1" t="s">
        <v>665</v>
      </c>
      <c r="O268" s="1">
        <v>1</v>
      </c>
      <c r="R268" s="1">
        <v>0</v>
      </c>
      <c r="S268" s="1">
        <v>0</v>
      </c>
      <c r="X268" s="1">
        <v>1</v>
      </c>
      <c r="AA268" s="1">
        <v>1.5</v>
      </c>
      <c r="AB268" s="1" t="s">
        <v>1469</v>
      </c>
      <c r="AC268" s="1" t="s">
        <v>1499</v>
      </c>
      <c r="AE268" s="1" t="s">
        <v>1506</v>
      </c>
      <c r="AN268" s="1">
        <v>0</v>
      </c>
      <c r="AP268" s="1" t="s">
        <v>669</v>
      </c>
      <c r="AQ268" s="1" t="s">
        <v>1381</v>
      </c>
      <c r="AR268" s="1">
        <v>1</v>
      </c>
      <c r="AS268" s="1">
        <v>1</v>
      </c>
      <c r="AT268" s="1" t="s">
        <v>671</v>
      </c>
      <c r="AU268" s="1" t="s">
        <v>789</v>
      </c>
      <c r="AV268" s="1">
        <v>1</v>
      </c>
      <c r="AW268" s="1">
        <v>1</v>
      </c>
      <c r="BB268" s="1" t="s">
        <v>1472</v>
      </c>
      <c r="BC268" s="1">
        <v>0</v>
      </c>
      <c r="BF268" s="1">
        <v>46</v>
      </c>
      <c r="BG268" s="1">
        <v>22</v>
      </c>
      <c r="BH268" s="1">
        <v>36</v>
      </c>
      <c r="BQ268" s="1" t="s">
        <v>678</v>
      </c>
      <c r="BR268" s="1" t="s">
        <v>679</v>
      </c>
      <c r="BS268" s="1" t="s">
        <v>678</v>
      </c>
      <c r="BT268" s="1" t="s">
        <v>679</v>
      </c>
      <c r="BU268" s="1" t="s">
        <v>679</v>
      </c>
      <c r="CF268" s="1" t="s">
        <v>1262</v>
      </c>
      <c r="CG268" s="3">
        <v>46090</v>
      </c>
    </row>
    <row r="269" spans="1:85" ht="144" x14ac:dyDescent="0.3">
      <c r="A269" s="1">
        <v>5035</v>
      </c>
      <c r="B269" s="1" t="s">
        <v>661</v>
      </c>
      <c r="C269" s="1" t="s">
        <v>1507</v>
      </c>
      <c r="E269" s="1" t="s">
        <v>1508</v>
      </c>
      <c r="F269" s="1">
        <v>1</v>
      </c>
      <c r="G269" s="1">
        <v>0</v>
      </c>
      <c r="H269" s="1" t="s">
        <v>662</v>
      </c>
      <c r="I269" s="1" t="s">
        <v>1468</v>
      </c>
      <c r="M269" s="1" t="s">
        <v>665</v>
      </c>
      <c r="O269" s="1">
        <v>1</v>
      </c>
      <c r="R269" s="1">
        <v>0</v>
      </c>
      <c r="S269" s="1">
        <v>0</v>
      </c>
      <c r="X269" s="1">
        <v>1</v>
      </c>
      <c r="AA269" s="1">
        <v>1.5</v>
      </c>
      <c r="AB269" s="1" t="s">
        <v>1469</v>
      </c>
      <c r="AC269" s="1" t="s">
        <v>1499</v>
      </c>
      <c r="AE269" s="1" t="s">
        <v>1509</v>
      </c>
      <c r="AN269" s="1">
        <v>0</v>
      </c>
      <c r="AP269" s="1" t="s">
        <v>669</v>
      </c>
      <c r="AQ269" s="1" t="s">
        <v>1381</v>
      </c>
      <c r="AR269" s="1">
        <v>1</v>
      </c>
      <c r="AS269" s="1">
        <v>1</v>
      </c>
      <c r="AT269" s="1" t="s">
        <v>671</v>
      </c>
      <c r="AU269" s="1" t="s">
        <v>796</v>
      </c>
      <c r="AV269" s="1">
        <v>1</v>
      </c>
      <c r="AW269" s="1">
        <v>1</v>
      </c>
      <c r="BB269" s="1" t="s">
        <v>1472</v>
      </c>
      <c r="BC269" s="1">
        <v>0</v>
      </c>
      <c r="BF269" s="1">
        <v>41</v>
      </c>
      <c r="BG269" s="1">
        <v>17</v>
      </c>
      <c r="BH269" s="1">
        <v>34</v>
      </c>
      <c r="BQ269" s="1" t="s">
        <v>678</v>
      </c>
      <c r="BR269" s="1" t="s">
        <v>679</v>
      </c>
      <c r="BS269" s="1" t="s">
        <v>678</v>
      </c>
      <c r="BT269" s="1" t="s">
        <v>679</v>
      </c>
      <c r="BU269" s="1" t="s">
        <v>679</v>
      </c>
      <c r="CF269" s="1" t="s">
        <v>1262</v>
      </c>
      <c r="CG269" s="3">
        <v>46090</v>
      </c>
    </row>
    <row r="270" spans="1:85" ht="144" x14ac:dyDescent="0.3">
      <c r="A270" s="1">
        <v>5037</v>
      </c>
      <c r="B270" s="1" t="s">
        <v>661</v>
      </c>
      <c r="C270" s="1" t="s">
        <v>1510</v>
      </c>
      <c r="E270" s="1" t="s">
        <v>1498</v>
      </c>
      <c r="F270" s="1">
        <v>1</v>
      </c>
      <c r="G270" s="1">
        <v>0</v>
      </c>
      <c r="H270" s="1" t="s">
        <v>662</v>
      </c>
      <c r="I270" s="1" t="s">
        <v>1468</v>
      </c>
      <c r="M270" s="1" t="s">
        <v>665</v>
      </c>
      <c r="O270" s="1">
        <v>1</v>
      </c>
      <c r="R270" s="1">
        <v>0</v>
      </c>
      <c r="S270" s="1">
        <v>0</v>
      </c>
      <c r="X270" s="1">
        <v>1</v>
      </c>
      <c r="AA270" s="1">
        <v>1.5</v>
      </c>
      <c r="AB270" s="1" t="s">
        <v>1469</v>
      </c>
      <c r="AC270" s="1" t="s">
        <v>1499</v>
      </c>
      <c r="AE270" s="1" t="s">
        <v>1511</v>
      </c>
      <c r="AN270" s="1">
        <v>0</v>
      </c>
      <c r="AP270" s="1" t="s">
        <v>669</v>
      </c>
      <c r="AQ270" s="1" t="s">
        <v>1381</v>
      </c>
      <c r="AR270" s="1">
        <v>1</v>
      </c>
      <c r="AS270" s="1">
        <v>1</v>
      </c>
      <c r="AT270" s="1" t="s">
        <v>671</v>
      </c>
      <c r="AU270" s="1" t="s">
        <v>792</v>
      </c>
      <c r="AV270" s="1">
        <v>1</v>
      </c>
      <c r="AW270" s="1">
        <v>1</v>
      </c>
      <c r="BB270" s="1" t="s">
        <v>1472</v>
      </c>
      <c r="BC270" s="1">
        <v>0</v>
      </c>
      <c r="BF270" s="1">
        <v>41</v>
      </c>
      <c r="BG270" s="1">
        <v>17</v>
      </c>
      <c r="BH270" s="1">
        <v>33</v>
      </c>
      <c r="BQ270" s="1" t="s">
        <v>678</v>
      </c>
      <c r="BR270" s="1" t="s">
        <v>679</v>
      </c>
      <c r="BS270" s="1" t="s">
        <v>678</v>
      </c>
      <c r="BT270" s="1" t="s">
        <v>679</v>
      </c>
      <c r="BU270" s="1" t="s">
        <v>679</v>
      </c>
      <c r="CF270" s="1" t="s">
        <v>1262</v>
      </c>
      <c r="CG270" s="3">
        <v>46090</v>
      </c>
    </row>
    <row r="271" spans="1:85" ht="144" x14ac:dyDescent="0.3">
      <c r="A271" s="1">
        <v>5039</v>
      </c>
      <c r="B271" s="1" t="s">
        <v>661</v>
      </c>
      <c r="C271" s="1" t="s">
        <v>1512</v>
      </c>
      <c r="E271" s="1" t="s">
        <v>1513</v>
      </c>
      <c r="F271" s="1">
        <v>1</v>
      </c>
      <c r="G271" s="1">
        <v>0</v>
      </c>
      <c r="H271" s="1" t="s">
        <v>662</v>
      </c>
      <c r="I271" s="1" t="s">
        <v>1468</v>
      </c>
      <c r="M271" s="1" t="s">
        <v>665</v>
      </c>
      <c r="O271" s="1">
        <v>1</v>
      </c>
      <c r="R271" s="1">
        <v>0</v>
      </c>
      <c r="S271" s="1">
        <v>0</v>
      </c>
      <c r="X271" s="1">
        <v>1</v>
      </c>
      <c r="AA271" s="1">
        <v>1.5</v>
      </c>
      <c r="AB271" s="1" t="s">
        <v>1469</v>
      </c>
      <c r="AC271" s="1" t="s">
        <v>1499</v>
      </c>
      <c r="AE271" s="1" t="s">
        <v>1514</v>
      </c>
      <c r="AN271" s="1">
        <v>0</v>
      </c>
      <c r="AP271" s="1" t="s">
        <v>669</v>
      </c>
      <c r="AQ271" s="1" t="s">
        <v>1381</v>
      </c>
      <c r="AR271" s="1">
        <v>1</v>
      </c>
      <c r="AS271" s="1">
        <v>1</v>
      </c>
      <c r="AT271" s="1" t="s">
        <v>671</v>
      </c>
      <c r="AU271" s="1" t="s">
        <v>893</v>
      </c>
      <c r="AV271" s="1">
        <v>1</v>
      </c>
      <c r="AW271" s="1">
        <v>1</v>
      </c>
      <c r="BB271" s="1" t="s">
        <v>1472</v>
      </c>
      <c r="BC271" s="1">
        <v>0</v>
      </c>
      <c r="BF271" s="1">
        <v>43</v>
      </c>
      <c r="BG271" s="1">
        <v>19</v>
      </c>
      <c r="BH271" s="1">
        <v>36</v>
      </c>
      <c r="BQ271" s="1" t="s">
        <v>678</v>
      </c>
      <c r="BR271" s="1" t="s">
        <v>679</v>
      </c>
      <c r="BS271" s="1" t="s">
        <v>678</v>
      </c>
      <c r="BT271" s="1" t="s">
        <v>679</v>
      </c>
      <c r="BU271" s="1" t="s">
        <v>679</v>
      </c>
      <c r="CF271" s="1" t="s">
        <v>1262</v>
      </c>
      <c r="CG271" s="3">
        <v>46090</v>
      </c>
    </row>
    <row r="272" spans="1:85" ht="144" x14ac:dyDescent="0.3">
      <c r="A272" s="1">
        <v>5041</v>
      </c>
      <c r="B272" s="1" t="s">
        <v>661</v>
      </c>
      <c r="C272" s="1" t="s">
        <v>1515</v>
      </c>
      <c r="E272" s="1" t="s">
        <v>1516</v>
      </c>
      <c r="F272" s="1">
        <v>1</v>
      </c>
      <c r="G272" s="1">
        <v>0</v>
      </c>
      <c r="H272" s="1" t="s">
        <v>662</v>
      </c>
      <c r="I272" s="1" t="s">
        <v>1468</v>
      </c>
      <c r="M272" s="1" t="s">
        <v>665</v>
      </c>
      <c r="O272" s="1">
        <v>1</v>
      </c>
      <c r="R272" s="1">
        <v>0</v>
      </c>
      <c r="S272" s="1">
        <v>0</v>
      </c>
      <c r="X272" s="1">
        <v>1</v>
      </c>
      <c r="AA272" s="1">
        <v>1.5</v>
      </c>
      <c r="AB272" s="1" t="s">
        <v>1469</v>
      </c>
      <c r="AC272" s="1" t="s">
        <v>1499</v>
      </c>
      <c r="AE272" s="1" t="s">
        <v>1517</v>
      </c>
      <c r="AN272" s="1">
        <v>0</v>
      </c>
      <c r="AP272" s="1" t="s">
        <v>669</v>
      </c>
      <c r="AQ272" s="1" t="s">
        <v>1381</v>
      </c>
      <c r="AR272" s="1">
        <v>1</v>
      </c>
      <c r="AS272" s="1">
        <v>1</v>
      </c>
      <c r="AT272" s="1" t="s">
        <v>671</v>
      </c>
      <c r="AU272" s="1" t="s">
        <v>1051</v>
      </c>
      <c r="AV272" s="1">
        <v>1</v>
      </c>
      <c r="AW272" s="1">
        <v>1</v>
      </c>
      <c r="BB272" s="1" t="s">
        <v>1472</v>
      </c>
      <c r="BC272" s="1">
        <v>0</v>
      </c>
      <c r="BF272" s="1">
        <v>43</v>
      </c>
      <c r="BG272" s="1">
        <v>19</v>
      </c>
      <c r="BH272" s="1">
        <v>35</v>
      </c>
      <c r="BQ272" s="1" t="s">
        <v>678</v>
      </c>
      <c r="BR272" s="1" t="s">
        <v>679</v>
      </c>
      <c r="BS272" s="1" t="s">
        <v>678</v>
      </c>
      <c r="BT272" s="1" t="s">
        <v>679</v>
      </c>
      <c r="BU272" s="1" t="s">
        <v>679</v>
      </c>
      <c r="CF272" s="1" t="s">
        <v>1262</v>
      </c>
      <c r="CG272" s="3">
        <v>46090</v>
      </c>
    </row>
    <row r="273" spans="1:85" ht="144" x14ac:dyDescent="0.3">
      <c r="A273" s="1">
        <v>5043</v>
      </c>
      <c r="B273" s="1" t="s">
        <v>661</v>
      </c>
      <c r="C273" s="1" t="s">
        <v>1518</v>
      </c>
      <c r="E273" s="1" t="s">
        <v>1519</v>
      </c>
      <c r="F273" s="1">
        <v>1</v>
      </c>
      <c r="G273" s="1">
        <v>0</v>
      </c>
      <c r="H273" s="1" t="s">
        <v>662</v>
      </c>
      <c r="I273" s="1" t="s">
        <v>1468</v>
      </c>
      <c r="M273" s="1" t="s">
        <v>665</v>
      </c>
      <c r="O273" s="1">
        <v>1</v>
      </c>
      <c r="R273" s="1">
        <v>0</v>
      </c>
      <c r="S273" s="1">
        <v>0</v>
      </c>
      <c r="X273" s="1">
        <v>1</v>
      </c>
      <c r="AA273" s="1">
        <v>1.5</v>
      </c>
      <c r="AB273" s="1" t="s">
        <v>1469</v>
      </c>
      <c r="AC273" s="1" t="s">
        <v>1499</v>
      </c>
      <c r="AE273" s="1" t="s">
        <v>1520</v>
      </c>
      <c r="AN273" s="1">
        <v>0</v>
      </c>
      <c r="AP273" s="1" t="s">
        <v>669</v>
      </c>
      <c r="AQ273" s="1" t="s">
        <v>1381</v>
      </c>
      <c r="AR273" s="1">
        <v>1</v>
      </c>
      <c r="AS273" s="1">
        <v>1</v>
      </c>
      <c r="AT273" s="1" t="s">
        <v>671</v>
      </c>
      <c r="AU273" s="1" t="s">
        <v>1157</v>
      </c>
      <c r="AV273" s="1">
        <v>1</v>
      </c>
      <c r="AW273" s="1">
        <v>1</v>
      </c>
      <c r="BB273" s="1" t="s">
        <v>1472</v>
      </c>
      <c r="BC273" s="1">
        <v>0</v>
      </c>
      <c r="BF273" s="1">
        <v>43</v>
      </c>
      <c r="BG273" s="1">
        <v>19</v>
      </c>
      <c r="BH273" s="1">
        <v>35</v>
      </c>
      <c r="BQ273" s="1" t="s">
        <v>678</v>
      </c>
      <c r="BR273" s="1" t="s">
        <v>679</v>
      </c>
      <c r="BS273" s="1" t="s">
        <v>678</v>
      </c>
      <c r="BT273" s="1" t="s">
        <v>679</v>
      </c>
      <c r="BU273" s="1" t="s">
        <v>679</v>
      </c>
      <c r="CF273" s="1" t="s">
        <v>1262</v>
      </c>
      <c r="CG273" s="3">
        <v>46090</v>
      </c>
    </row>
    <row r="274" spans="1:85" ht="144" x14ac:dyDescent="0.3">
      <c r="A274" s="1">
        <v>5045</v>
      </c>
      <c r="B274" s="1" t="s">
        <v>661</v>
      </c>
      <c r="C274" s="1" t="s">
        <v>1521</v>
      </c>
      <c r="E274" s="1" t="s">
        <v>1522</v>
      </c>
      <c r="F274" s="1">
        <v>1</v>
      </c>
      <c r="G274" s="1">
        <v>0</v>
      </c>
      <c r="H274" s="1" t="s">
        <v>662</v>
      </c>
      <c r="I274" s="1" t="s">
        <v>1468</v>
      </c>
      <c r="M274" s="1" t="s">
        <v>665</v>
      </c>
      <c r="O274" s="1">
        <v>1</v>
      </c>
      <c r="R274" s="1">
        <v>0</v>
      </c>
      <c r="S274" s="1">
        <v>0</v>
      </c>
      <c r="X274" s="1">
        <v>1</v>
      </c>
      <c r="AA274" s="1">
        <v>1.5</v>
      </c>
      <c r="AB274" s="1" t="s">
        <v>1469</v>
      </c>
      <c r="AC274" s="1" t="s">
        <v>1499</v>
      </c>
      <c r="AE274" s="1" t="s">
        <v>1523</v>
      </c>
      <c r="AN274" s="1">
        <v>0</v>
      </c>
      <c r="AP274" s="1" t="s">
        <v>669</v>
      </c>
      <c r="AQ274" s="1" t="s">
        <v>1381</v>
      </c>
      <c r="AR274" s="1">
        <v>1</v>
      </c>
      <c r="AS274" s="1">
        <v>1</v>
      </c>
      <c r="AT274" s="1" t="s">
        <v>671</v>
      </c>
      <c r="AU274" s="1" t="s">
        <v>720</v>
      </c>
      <c r="AV274" s="1">
        <v>1</v>
      </c>
      <c r="AW274" s="1">
        <v>1</v>
      </c>
      <c r="BB274" s="1" t="s">
        <v>1472</v>
      </c>
      <c r="BC274" s="1">
        <v>0</v>
      </c>
      <c r="BF274" s="1">
        <v>46</v>
      </c>
      <c r="BG274" s="1">
        <v>22</v>
      </c>
      <c r="BH274" s="1">
        <v>35</v>
      </c>
      <c r="BQ274" s="1" t="s">
        <v>678</v>
      </c>
      <c r="BR274" s="1" t="s">
        <v>679</v>
      </c>
      <c r="BS274" s="1" t="s">
        <v>678</v>
      </c>
      <c r="BT274" s="1" t="s">
        <v>679</v>
      </c>
      <c r="BU274" s="1" t="s">
        <v>679</v>
      </c>
      <c r="CF274" s="1" t="s">
        <v>1262</v>
      </c>
      <c r="CG274" s="3">
        <v>46090</v>
      </c>
    </row>
    <row r="275" spans="1:85" ht="259.2" x14ac:dyDescent="0.3">
      <c r="A275" s="1">
        <v>5047</v>
      </c>
      <c r="B275" s="1" t="s">
        <v>661</v>
      </c>
      <c r="C275" s="1" t="s">
        <v>1524</v>
      </c>
      <c r="E275" s="1" t="s">
        <v>1525</v>
      </c>
      <c r="F275" s="1">
        <v>1</v>
      </c>
      <c r="G275" s="1">
        <v>0</v>
      </c>
      <c r="H275" s="1" t="s">
        <v>662</v>
      </c>
      <c r="I275" s="1" t="s">
        <v>1526</v>
      </c>
      <c r="J275" s="1" t="s">
        <v>1527</v>
      </c>
      <c r="M275" s="1" t="s">
        <v>665</v>
      </c>
      <c r="O275" s="1">
        <v>1</v>
      </c>
      <c r="R275" s="1">
        <v>0</v>
      </c>
      <c r="S275" s="1">
        <v>0</v>
      </c>
      <c r="X275" s="1">
        <v>1</v>
      </c>
      <c r="AA275" s="1">
        <v>22.92</v>
      </c>
      <c r="AB275" s="1" t="s">
        <v>1528</v>
      </c>
      <c r="AC275" s="1" t="s">
        <v>1529</v>
      </c>
      <c r="AE275" s="1" t="s">
        <v>1530</v>
      </c>
      <c r="AN275" s="1">
        <v>0</v>
      </c>
      <c r="AP275" s="1" t="s">
        <v>669</v>
      </c>
      <c r="AQ275" s="1" t="s">
        <v>684</v>
      </c>
      <c r="AR275" s="1">
        <v>1</v>
      </c>
      <c r="AS275" s="1">
        <v>1</v>
      </c>
      <c r="AT275" s="1" t="s">
        <v>671</v>
      </c>
      <c r="AU275" s="1" t="s">
        <v>891</v>
      </c>
      <c r="AV275" s="1">
        <v>1</v>
      </c>
      <c r="AW275" s="1">
        <v>1</v>
      </c>
      <c r="BB275" s="1" t="s">
        <v>1531</v>
      </c>
      <c r="BC275" s="1">
        <v>0</v>
      </c>
      <c r="BF275" s="1">
        <v>47</v>
      </c>
      <c r="BG275" s="1">
        <v>19</v>
      </c>
      <c r="BH275" s="1">
        <v>39</v>
      </c>
      <c r="BQ275" s="1" t="s">
        <v>678</v>
      </c>
      <c r="BR275" s="1" t="s">
        <v>679</v>
      </c>
      <c r="BS275" s="1" t="s">
        <v>678</v>
      </c>
      <c r="BT275" s="1" t="s">
        <v>679</v>
      </c>
      <c r="BU275" s="1" t="s">
        <v>679</v>
      </c>
      <c r="CF275" s="1" t="s">
        <v>1262</v>
      </c>
      <c r="CG275" s="3">
        <v>46090</v>
      </c>
    </row>
    <row r="276" spans="1:85" ht="259.2" x14ac:dyDescent="0.3">
      <c r="A276" s="1">
        <v>5050</v>
      </c>
      <c r="B276" s="1" t="s">
        <v>661</v>
      </c>
      <c r="C276" s="1" t="s">
        <v>1532</v>
      </c>
      <c r="E276" s="1" t="s">
        <v>1533</v>
      </c>
      <c r="F276" s="1">
        <v>1</v>
      </c>
      <c r="G276" s="1">
        <v>0</v>
      </c>
      <c r="H276" s="1" t="s">
        <v>662</v>
      </c>
      <c r="I276" s="1" t="s">
        <v>1526</v>
      </c>
      <c r="J276" s="1" t="s">
        <v>1527</v>
      </c>
      <c r="M276" s="1" t="s">
        <v>665</v>
      </c>
      <c r="O276" s="1">
        <v>1</v>
      </c>
      <c r="R276" s="1">
        <v>0</v>
      </c>
      <c r="S276" s="1">
        <v>0</v>
      </c>
      <c r="X276" s="1">
        <v>1</v>
      </c>
      <c r="AA276" s="1">
        <v>22.92</v>
      </c>
      <c r="AB276" s="1" t="s">
        <v>1528</v>
      </c>
      <c r="AC276" s="1" t="s">
        <v>1529</v>
      </c>
      <c r="AE276" s="1" t="s">
        <v>1534</v>
      </c>
      <c r="AN276" s="1">
        <v>0</v>
      </c>
      <c r="AP276" s="1" t="s">
        <v>669</v>
      </c>
      <c r="AQ276" s="1" t="s">
        <v>684</v>
      </c>
      <c r="AR276" s="1">
        <v>1</v>
      </c>
      <c r="AS276" s="1">
        <v>1</v>
      </c>
      <c r="AT276" s="1" t="s">
        <v>671</v>
      </c>
      <c r="AU276" s="1" t="s">
        <v>796</v>
      </c>
      <c r="AV276" s="1">
        <v>1</v>
      </c>
      <c r="AW276" s="1">
        <v>1</v>
      </c>
      <c r="BB276" s="1" t="s">
        <v>1531</v>
      </c>
      <c r="BC276" s="1">
        <v>0</v>
      </c>
      <c r="BF276" s="1">
        <v>46</v>
      </c>
      <c r="BG276" s="1">
        <v>19</v>
      </c>
      <c r="BH276" s="1">
        <v>39</v>
      </c>
      <c r="BQ276" s="1" t="s">
        <v>678</v>
      </c>
      <c r="BR276" s="1" t="s">
        <v>679</v>
      </c>
      <c r="BS276" s="1" t="s">
        <v>678</v>
      </c>
      <c r="BT276" s="1" t="s">
        <v>679</v>
      </c>
      <c r="BU276" s="1" t="s">
        <v>679</v>
      </c>
      <c r="CF276" s="1" t="s">
        <v>1262</v>
      </c>
      <c r="CG276" s="3">
        <v>46090</v>
      </c>
    </row>
    <row r="277" spans="1:85" ht="259.2" x14ac:dyDescent="0.3">
      <c r="A277" s="1">
        <v>5070</v>
      </c>
      <c r="B277" s="1" t="s">
        <v>661</v>
      </c>
      <c r="C277" s="1" t="s">
        <v>1535</v>
      </c>
      <c r="E277" s="1" t="s">
        <v>1536</v>
      </c>
      <c r="F277" s="1">
        <v>1</v>
      </c>
      <c r="G277" s="1">
        <v>0</v>
      </c>
      <c r="H277" s="1" t="s">
        <v>662</v>
      </c>
      <c r="I277" s="1" t="s">
        <v>1526</v>
      </c>
      <c r="J277" s="1" t="s">
        <v>1527</v>
      </c>
      <c r="M277" s="1" t="s">
        <v>665</v>
      </c>
      <c r="O277" s="1">
        <v>1</v>
      </c>
      <c r="R277" s="1">
        <v>0</v>
      </c>
      <c r="S277" s="1">
        <v>0</v>
      </c>
      <c r="X277" s="1">
        <v>1</v>
      </c>
      <c r="AA277" s="1">
        <v>22.92</v>
      </c>
      <c r="AB277" s="1" t="s">
        <v>1528</v>
      </c>
      <c r="AC277" s="1" t="s">
        <v>1529</v>
      </c>
      <c r="AE277" s="1" t="s">
        <v>1537</v>
      </c>
      <c r="AN277" s="1">
        <v>0</v>
      </c>
      <c r="AP277" s="1" t="s">
        <v>669</v>
      </c>
      <c r="AQ277" s="1" t="s">
        <v>684</v>
      </c>
      <c r="AR277" s="1">
        <v>1</v>
      </c>
      <c r="AS277" s="1">
        <v>1</v>
      </c>
      <c r="AT277" s="1" t="s">
        <v>671</v>
      </c>
      <c r="AU277" s="1" t="s">
        <v>728</v>
      </c>
      <c r="AV277" s="1">
        <v>1</v>
      </c>
      <c r="AW277" s="1">
        <v>1</v>
      </c>
      <c r="BB277" s="1" t="s">
        <v>1531</v>
      </c>
      <c r="BC277" s="1">
        <v>0</v>
      </c>
      <c r="BF277" s="1">
        <v>50</v>
      </c>
      <c r="BG277" s="1">
        <v>21</v>
      </c>
      <c r="BH277" s="1">
        <v>42</v>
      </c>
      <c r="BQ277" s="1" t="s">
        <v>678</v>
      </c>
      <c r="BR277" s="1" t="s">
        <v>679</v>
      </c>
      <c r="BS277" s="1" t="s">
        <v>678</v>
      </c>
      <c r="BT277" s="1" t="s">
        <v>679</v>
      </c>
      <c r="BU277" s="1" t="s">
        <v>679</v>
      </c>
      <c r="CF277" s="1" t="s">
        <v>1262</v>
      </c>
      <c r="CG277" s="3">
        <v>46090</v>
      </c>
    </row>
    <row r="278" spans="1:85" ht="259.2" x14ac:dyDescent="0.3">
      <c r="A278" s="1">
        <v>5073</v>
      </c>
      <c r="B278" s="1" t="s">
        <v>661</v>
      </c>
      <c r="C278" s="1" t="s">
        <v>1538</v>
      </c>
      <c r="E278" s="1" t="s">
        <v>1539</v>
      </c>
      <c r="F278" s="1">
        <v>1</v>
      </c>
      <c r="G278" s="1">
        <v>0</v>
      </c>
      <c r="H278" s="1" t="s">
        <v>662</v>
      </c>
      <c r="I278" s="1" t="s">
        <v>1526</v>
      </c>
      <c r="J278" s="1" t="s">
        <v>1527</v>
      </c>
      <c r="M278" s="1" t="s">
        <v>665</v>
      </c>
      <c r="O278" s="1">
        <v>1</v>
      </c>
      <c r="R278" s="1">
        <v>0</v>
      </c>
      <c r="S278" s="1">
        <v>0</v>
      </c>
      <c r="X278" s="1">
        <v>1</v>
      </c>
      <c r="AA278" s="1">
        <v>22.92</v>
      </c>
      <c r="AB278" s="1" t="s">
        <v>1528</v>
      </c>
      <c r="AC278" s="1" t="s">
        <v>1529</v>
      </c>
      <c r="AE278" s="1" t="s">
        <v>1540</v>
      </c>
      <c r="AN278" s="1">
        <v>0</v>
      </c>
      <c r="AP278" s="1" t="s">
        <v>669</v>
      </c>
      <c r="AQ278" s="1" t="s">
        <v>684</v>
      </c>
      <c r="AR278" s="1">
        <v>1</v>
      </c>
      <c r="AS278" s="1">
        <v>1</v>
      </c>
      <c r="AT278" s="1" t="s">
        <v>671</v>
      </c>
      <c r="AU278" s="1" t="s">
        <v>672</v>
      </c>
      <c r="AV278" s="1">
        <v>1</v>
      </c>
      <c r="AW278" s="1">
        <v>1</v>
      </c>
      <c r="BB278" s="1" t="s">
        <v>1531</v>
      </c>
      <c r="BC278" s="1">
        <v>0</v>
      </c>
      <c r="BF278" s="1">
        <v>49</v>
      </c>
      <c r="BG278" s="1">
        <v>20</v>
      </c>
      <c r="BH278" s="1">
        <v>42</v>
      </c>
      <c r="BQ278" s="1" t="s">
        <v>678</v>
      </c>
      <c r="BR278" s="1" t="s">
        <v>679</v>
      </c>
      <c r="BS278" s="1" t="s">
        <v>678</v>
      </c>
      <c r="BT278" s="1" t="s">
        <v>679</v>
      </c>
      <c r="BU278" s="1" t="s">
        <v>679</v>
      </c>
      <c r="CF278" s="1" t="s">
        <v>1262</v>
      </c>
      <c r="CG278" s="3">
        <v>46090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31A7F-E3B6-46E5-8F2F-8BA595489D67}">
  <dimension ref="A1:L19"/>
  <sheetViews>
    <sheetView workbookViewId="0">
      <selection activeCell="C14" sqref="C14"/>
    </sheetView>
  </sheetViews>
  <sheetFormatPr defaultRowHeight="14.4" x14ac:dyDescent="0.3"/>
  <cols>
    <col min="1" max="1" width="34.77734375" bestFit="1" customWidth="1"/>
    <col min="2" max="2" width="9.33203125" bestFit="1" customWidth="1"/>
  </cols>
  <sheetData>
    <row r="1" spans="1:12" x14ac:dyDescent="0.3">
      <c r="A1" t="s">
        <v>1554</v>
      </c>
      <c r="E1" s="27"/>
      <c r="F1" s="27"/>
      <c r="G1" s="27"/>
      <c r="H1" s="27"/>
      <c r="I1" s="27"/>
      <c r="J1" s="27"/>
      <c r="K1" s="27"/>
      <c r="L1" s="27"/>
    </row>
    <row r="2" spans="1:12" x14ac:dyDescent="0.3">
      <c r="E2" s="27"/>
      <c r="F2" s="27"/>
      <c r="G2" s="27"/>
      <c r="H2" s="27"/>
      <c r="I2" s="27"/>
      <c r="J2" s="27"/>
      <c r="K2" s="27"/>
      <c r="L2" s="27"/>
    </row>
    <row r="3" spans="1:12" x14ac:dyDescent="0.3">
      <c r="A3" t="s">
        <v>1555</v>
      </c>
      <c r="C3" s="27" t="s">
        <v>1573</v>
      </c>
      <c r="D3" s="27" t="s">
        <v>1574</v>
      </c>
      <c r="E3" s="27" t="s">
        <v>1557</v>
      </c>
      <c r="F3" s="27" t="s">
        <v>1558</v>
      </c>
      <c r="G3" s="27" t="s">
        <v>1559</v>
      </c>
      <c r="H3" s="27" t="s">
        <v>1560</v>
      </c>
      <c r="I3" s="27" t="s">
        <v>1561</v>
      </c>
      <c r="J3" s="27" t="s">
        <v>1562</v>
      </c>
      <c r="K3" s="27">
        <v>1000</v>
      </c>
      <c r="L3" s="27">
        <v>2500</v>
      </c>
    </row>
    <row r="4" spans="1:12" x14ac:dyDescent="0.3">
      <c r="A4" t="s">
        <v>1563</v>
      </c>
      <c r="B4" t="s">
        <v>1564</v>
      </c>
      <c r="C4" s="28">
        <v>2.2799999999999998</v>
      </c>
      <c r="D4" s="28">
        <v>2.2799999999999998</v>
      </c>
      <c r="E4" s="29">
        <v>0.72</v>
      </c>
      <c r="F4" s="29">
        <v>0.6</v>
      </c>
      <c r="G4" s="29">
        <v>0.54</v>
      </c>
      <c r="H4" s="29">
        <v>0.48</v>
      </c>
      <c r="I4" s="29">
        <v>0.48</v>
      </c>
      <c r="J4" s="29">
        <v>0.45</v>
      </c>
      <c r="K4" s="29">
        <v>0.45</v>
      </c>
      <c r="L4" s="29">
        <v>0.3</v>
      </c>
    </row>
    <row r="5" spans="1:12" x14ac:dyDescent="0.3">
      <c r="A5" t="s">
        <v>14</v>
      </c>
      <c r="B5" t="s">
        <v>1565</v>
      </c>
      <c r="C5" s="28">
        <v>3.48</v>
      </c>
      <c r="D5" s="28">
        <v>3.48</v>
      </c>
      <c r="E5" s="29">
        <v>1.26</v>
      </c>
      <c r="F5" s="29">
        <v>1.02</v>
      </c>
      <c r="G5" s="29">
        <v>0.96</v>
      </c>
      <c r="H5" s="29">
        <v>0.87</v>
      </c>
      <c r="I5" s="29">
        <v>0.78</v>
      </c>
      <c r="J5" s="29">
        <v>0.81</v>
      </c>
      <c r="K5" s="29">
        <v>0.78</v>
      </c>
      <c r="L5" s="29">
        <v>0.52</v>
      </c>
    </row>
    <row r="6" spans="1:12" x14ac:dyDescent="0.3">
      <c r="A6" t="s">
        <v>1566</v>
      </c>
      <c r="B6" t="s">
        <v>1567</v>
      </c>
      <c r="C6" s="28">
        <v>4.08</v>
      </c>
      <c r="D6" s="28">
        <v>4.08</v>
      </c>
      <c r="E6" s="29">
        <v>1.35</v>
      </c>
      <c r="F6" s="29">
        <v>1.1100000000000001</v>
      </c>
      <c r="G6" s="29">
        <v>1.02</v>
      </c>
      <c r="H6" s="29">
        <v>0.93</v>
      </c>
      <c r="I6" s="29">
        <v>0.9</v>
      </c>
      <c r="J6" s="29">
        <v>0.87</v>
      </c>
      <c r="K6" s="29">
        <v>0.87</v>
      </c>
      <c r="L6" s="29">
        <v>0.56000000000000005</v>
      </c>
    </row>
    <row r="7" spans="1:12" x14ac:dyDescent="0.3">
      <c r="C7" s="28">
        <v>5.28</v>
      </c>
      <c r="D7" s="28">
        <v>5.28</v>
      </c>
      <c r="E7" s="29">
        <v>1.68</v>
      </c>
      <c r="F7" s="29">
        <v>1.38</v>
      </c>
      <c r="G7" s="29">
        <v>1.26</v>
      </c>
      <c r="H7" s="29">
        <v>1.1399999999999999</v>
      </c>
      <c r="I7" s="29">
        <v>1.1100000000000001</v>
      </c>
      <c r="J7" s="29">
        <v>1.08</v>
      </c>
      <c r="K7" s="29">
        <v>1.08</v>
      </c>
      <c r="L7" s="29">
        <v>0.7</v>
      </c>
    </row>
    <row r="8" spans="1:12" x14ac:dyDescent="0.3">
      <c r="A8" t="s">
        <v>1568</v>
      </c>
      <c r="C8" s="28"/>
      <c r="D8" s="28"/>
      <c r="E8" s="28"/>
      <c r="F8" s="28"/>
      <c r="G8" s="28"/>
      <c r="H8" s="28"/>
      <c r="I8" s="28"/>
      <c r="J8" s="28"/>
      <c r="K8" s="28"/>
      <c r="L8" s="28"/>
    </row>
    <row r="9" spans="1:12" x14ac:dyDescent="0.3">
      <c r="A9" t="s">
        <v>1569</v>
      </c>
      <c r="B9" t="s">
        <v>1564</v>
      </c>
      <c r="C9" s="28">
        <v>2.52</v>
      </c>
      <c r="D9" s="28">
        <v>2.52</v>
      </c>
      <c r="E9" s="29">
        <v>1.38</v>
      </c>
      <c r="F9" s="29">
        <v>1.17</v>
      </c>
      <c r="G9" s="29">
        <v>1.05</v>
      </c>
      <c r="H9" s="29">
        <v>0.96</v>
      </c>
      <c r="I9" s="29">
        <v>0.93</v>
      </c>
      <c r="J9" s="29">
        <v>0.9</v>
      </c>
      <c r="K9" s="29">
        <v>0.87</v>
      </c>
      <c r="L9" s="29">
        <v>0.57999999999999996</v>
      </c>
    </row>
    <row r="10" spans="1:12" x14ac:dyDescent="0.3">
      <c r="A10" t="s">
        <v>14</v>
      </c>
      <c r="B10" t="s">
        <v>1565</v>
      </c>
      <c r="C10" s="28">
        <v>4.32</v>
      </c>
      <c r="D10" s="28">
        <v>4.32</v>
      </c>
      <c r="E10" s="29">
        <v>2.73</v>
      </c>
      <c r="F10" s="29">
        <v>2.25</v>
      </c>
      <c r="G10" s="29">
        <v>2.0699999999999998</v>
      </c>
      <c r="H10" s="29">
        <v>1.86</v>
      </c>
      <c r="I10" s="29">
        <v>1.83</v>
      </c>
      <c r="J10" s="29">
        <v>1.77</v>
      </c>
      <c r="K10" s="29">
        <v>1.1100000000000001</v>
      </c>
      <c r="L10" s="29">
        <v>1.1399999999999999</v>
      </c>
    </row>
    <row r="11" spans="1:12" x14ac:dyDescent="0.3">
      <c r="A11" t="s">
        <v>1566</v>
      </c>
      <c r="B11" t="s">
        <v>1567</v>
      </c>
      <c r="C11" s="28">
        <v>5.22</v>
      </c>
      <c r="D11" s="28">
        <v>5.22</v>
      </c>
      <c r="E11" s="29">
        <v>3.84</v>
      </c>
      <c r="F11" s="29">
        <v>3.18</v>
      </c>
      <c r="G11" s="29">
        <v>2.91</v>
      </c>
      <c r="H11" s="29">
        <v>2.64</v>
      </c>
      <c r="I11" s="29">
        <v>2.5499999999999998</v>
      </c>
      <c r="J11" s="29">
        <v>2.2200000000000002</v>
      </c>
      <c r="K11" s="29">
        <v>2.15</v>
      </c>
      <c r="L11" s="29">
        <v>1.62</v>
      </c>
    </row>
    <row r="12" spans="1:12" x14ac:dyDescent="0.3">
      <c r="C12" s="28"/>
      <c r="D12" s="28"/>
      <c r="E12" s="29"/>
      <c r="F12" s="29"/>
      <c r="G12" s="29"/>
      <c r="H12" s="29"/>
      <c r="I12" s="29"/>
      <c r="J12" s="29"/>
      <c r="K12" s="29"/>
      <c r="L12" s="29"/>
    </row>
    <row r="13" spans="1:12" x14ac:dyDescent="0.3">
      <c r="A13" t="s">
        <v>1570</v>
      </c>
      <c r="C13" s="28"/>
      <c r="D13" s="28"/>
      <c r="E13" s="28"/>
      <c r="F13" s="28"/>
      <c r="G13" s="28"/>
      <c r="H13" s="29"/>
      <c r="I13" s="28"/>
      <c r="J13" s="28"/>
      <c r="K13" s="28"/>
      <c r="L13" s="28"/>
    </row>
    <row r="14" spans="1:12" x14ac:dyDescent="0.3">
      <c r="A14" t="s">
        <v>1571</v>
      </c>
      <c r="B14" t="s">
        <v>1564</v>
      </c>
      <c r="C14" s="28">
        <v>3.42</v>
      </c>
      <c r="D14" s="28">
        <v>2.63</v>
      </c>
      <c r="E14" s="29">
        <v>1.83</v>
      </c>
      <c r="F14" s="29">
        <v>1.5</v>
      </c>
      <c r="G14" s="29">
        <v>1.38</v>
      </c>
      <c r="H14" s="29">
        <v>1.26</v>
      </c>
      <c r="I14" s="29">
        <v>1.2</v>
      </c>
      <c r="J14" s="29">
        <v>1.17</v>
      </c>
      <c r="K14" s="29">
        <v>1.1399999999999999</v>
      </c>
      <c r="L14" s="29">
        <v>0.76</v>
      </c>
    </row>
    <row r="15" spans="1:12" x14ac:dyDescent="0.3">
      <c r="A15" t="s">
        <v>14</v>
      </c>
      <c r="B15" t="s">
        <v>1565</v>
      </c>
      <c r="C15" s="28">
        <v>5.22</v>
      </c>
      <c r="D15" s="28">
        <v>4.4000000000000004</v>
      </c>
      <c r="E15" s="29">
        <v>3.57</v>
      </c>
      <c r="F15" s="29">
        <v>2.97</v>
      </c>
      <c r="G15" s="29">
        <v>2.73</v>
      </c>
      <c r="H15" s="29">
        <v>2.38</v>
      </c>
      <c r="I15" s="29">
        <v>2.37</v>
      </c>
      <c r="J15" s="29">
        <v>2.31</v>
      </c>
      <c r="K15" s="29">
        <v>2.25</v>
      </c>
      <c r="L15" s="29">
        <v>1.5</v>
      </c>
    </row>
    <row r="16" spans="1:12" x14ac:dyDescent="0.3">
      <c r="A16" t="s">
        <v>117</v>
      </c>
      <c r="B16" t="s">
        <v>1567</v>
      </c>
      <c r="C16" s="28">
        <v>6.12</v>
      </c>
      <c r="D16" s="28">
        <v>5.51</v>
      </c>
      <c r="E16" s="29">
        <v>4.8899999999999997</v>
      </c>
      <c r="F16" s="29">
        <v>4.08</v>
      </c>
      <c r="G16" s="29">
        <v>3.72</v>
      </c>
      <c r="H16" s="29">
        <v>3.39</v>
      </c>
      <c r="I16" s="29">
        <v>3.27</v>
      </c>
      <c r="J16" s="29">
        <v>3.27</v>
      </c>
      <c r="K16" s="29">
        <v>3.18</v>
      </c>
      <c r="L16" s="29">
        <v>2.06</v>
      </c>
    </row>
    <row r="17" spans="1:12" x14ac:dyDescent="0.3">
      <c r="E17" s="27"/>
      <c r="F17" s="27"/>
      <c r="G17" s="27"/>
      <c r="H17" s="27"/>
      <c r="I17" s="27"/>
      <c r="J17" s="27"/>
      <c r="K17" s="27"/>
      <c r="L17" s="27"/>
    </row>
    <row r="18" spans="1:12" x14ac:dyDescent="0.3">
      <c r="E18" s="27"/>
      <c r="F18" s="27"/>
      <c r="G18" s="27"/>
      <c r="H18" s="27"/>
      <c r="I18" s="27"/>
      <c r="J18" s="27"/>
      <c r="K18" s="27"/>
      <c r="L18" s="27"/>
    </row>
    <row r="19" spans="1:12" x14ac:dyDescent="0.3">
      <c r="A19" s="16" t="s">
        <v>1572</v>
      </c>
      <c r="E19" s="27"/>
      <c r="F19" s="27"/>
      <c r="G19" s="27"/>
      <c r="H19" s="27"/>
      <c r="I19" s="27"/>
      <c r="J19" s="27"/>
      <c r="K19" s="27"/>
      <c r="L19" s="2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D0B01-5919-4D43-AF44-8BBFB1C44708}">
  <dimension ref="A1:AD25"/>
  <sheetViews>
    <sheetView workbookViewId="0">
      <selection sqref="A1:AD27"/>
    </sheetView>
  </sheetViews>
  <sheetFormatPr defaultRowHeight="14.4" x14ac:dyDescent="0.3"/>
  <sheetData>
    <row r="1" spans="1:30" ht="18" x14ac:dyDescent="0.35">
      <c r="B1" s="43" t="s">
        <v>1647</v>
      </c>
      <c r="C1" s="43"/>
      <c r="D1" s="43"/>
      <c r="E1" s="43"/>
      <c r="F1" s="43"/>
      <c r="G1" s="43"/>
      <c r="H1" s="43"/>
      <c r="I1" s="43"/>
      <c r="J1" s="43"/>
      <c r="L1" s="43" t="s">
        <v>1648</v>
      </c>
      <c r="M1" s="43"/>
      <c r="N1" s="43"/>
      <c r="O1" s="43"/>
      <c r="P1" s="43"/>
      <c r="Q1" s="43"/>
      <c r="R1" s="43"/>
      <c r="S1" s="43"/>
      <c r="T1" s="43"/>
      <c r="V1" s="43" t="s">
        <v>1649</v>
      </c>
      <c r="W1" s="43"/>
      <c r="X1" s="43"/>
      <c r="Y1" s="43"/>
      <c r="Z1" s="43"/>
      <c r="AA1" s="43"/>
      <c r="AB1" s="43"/>
      <c r="AC1" s="43"/>
      <c r="AD1" s="43"/>
    </row>
    <row r="3" spans="1:30" x14ac:dyDescent="0.3">
      <c r="B3" s="44" t="s">
        <v>1556</v>
      </c>
      <c r="C3" s="44" t="s">
        <v>1557</v>
      </c>
      <c r="D3" s="44" t="s">
        <v>1558</v>
      </c>
      <c r="E3" s="44" t="s">
        <v>1559</v>
      </c>
      <c r="F3" s="44" t="s">
        <v>1560</v>
      </c>
      <c r="G3" s="44" t="s">
        <v>1561</v>
      </c>
      <c r="H3" s="44" t="s">
        <v>1562</v>
      </c>
      <c r="I3" s="44" t="s">
        <v>1650</v>
      </c>
      <c r="J3" s="44" t="s">
        <v>1651</v>
      </c>
      <c r="L3" s="44" t="s">
        <v>1556</v>
      </c>
      <c r="M3" s="44" t="s">
        <v>1557</v>
      </c>
      <c r="N3" s="44" t="s">
        <v>1558</v>
      </c>
      <c r="O3" s="44" t="s">
        <v>1559</v>
      </c>
      <c r="P3" s="44" t="s">
        <v>1560</v>
      </c>
      <c r="Q3" s="44" t="s">
        <v>1561</v>
      </c>
      <c r="R3" s="44" t="s">
        <v>1562</v>
      </c>
      <c r="S3" s="44" t="s">
        <v>1650</v>
      </c>
      <c r="T3" s="44" t="s">
        <v>1651</v>
      </c>
      <c r="V3" s="44" t="s">
        <v>1556</v>
      </c>
      <c r="W3" s="44" t="s">
        <v>1557</v>
      </c>
      <c r="X3" s="44" t="s">
        <v>1558</v>
      </c>
      <c r="Y3" s="44" t="s">
        <v>1559</v>
      </c>
      <c r="Z3" s="44" t="s">
        <v>1560</v>
      </c>
      <c r="AA3" s="44" t="s">
        <v>1561</v>
      </c>
      <c r="AB3" s="44" t="s">
        <v>1562</v>
      </c>
      <c r="AC3" s="44" t="s">
        <v>1650</v>
      </c>
      <c r="AD3" s="44" t="s">
        <v>1651</v>
      </c>
    </row>
    <row r="4" spans="1:30" ht="15" thickBot="1" x14ac:dyDescent="0.35">
      <c r="B4" s="45"/>
      <c r="C4" s="45"/>
      <c r="D4" s="45"/>
      <c r="E4" s="45"/>
      <c r="F4" s="45"/>
      <c r="G4" s="45"/>
      <c r="H4" s="45"/>
      <c r="I4" s="45"/>
      <c r="J4" s="45"/>
    </row>
    <row r="5" spans="1:30" ht="15" thickBot="1" x14ac:dyDescent="0.35">
      <c r="A5" s="46" t="s">
        <v>1652</v>
      </c>
    </row>
    <row r="6" spans="1:30" x14ac:dyDescent="0.3">
      <c r="A6" s="47" t="s">
        <v>1653</v>
      </c>
      <c r="B6" s="48">
        <v>6.9359999999999999</v>
      </c>
      <c r="C6" s="48">
        <v>1.6560000000000001</v>
      </c>
      <c r="D6" s="48">
        <v>0.99600000000000011</v>
      </c>
      <c r="E6" s="48">
        <v>0.66600000000000004</v>
      </c>
      <c r="F6" s="48">
        <v>0.46800000000000003</v>
      </c>
      <c r="G6" s="48">
        <v>0.40200000000000002</v>
      </c>
      <c r="H6" s="48">
        <v>0.38000000000000006</v>
      </c>
      <c r="I6" s="48">
        <v>0.36900000000000005</v>
      </c>
      <c r="J6" s="48">
        <v>0.34920000000000007</v>
      </c>
      <c r="L6" s="48">
        <v>9.66</v>
      </c>
      <c r="M6" s="48">
        <v>2.2680000000000002</v>
      </c>
      <c r="N6" s="48">
        <v>1.3440000000000001</v>
      </c>
      <c r="O6" s="48">
        <v>0.88200000000000001</v>
      </c>
      <c r="P6" s="48">
        <v>0.6048</v>
      </c>
      <c r="Q6" s="48">
        <v>0.51239999999999997</v>
      </c>
      <c r="R6" s="48">
        <v>0.48159999999999997</v>
      </c>
      <c r="S6" s="48">
        <v>0.46619999999999995</v>
      </c>
      <c r="T6" s="48">
        <v>0.43847999999999998</v>
      </c>
      <c r="V6" s="48">
        <v>9.6959999999999997</v>
      </c>
      <c r="W6" s="48">
        <v>2.3039999999999998</v>
      </c>
      <c r="X6" s="48">
        <v>1.38</v>
      </c>
      <c r="Y6" s="48">
        <v>0.91800000000000004</v>
      </c>
      <c r="Z6" s="48">
        <v>0.64080000000000004</v>
      </c>
      <c r="AA6" s="48">
        <v>0.5484</v>
      </c>
      <c r="AB6" s="48">
        <v>0.51760000000000006</v>
      </c>
      <c r="AC6" s="48">
        <v>0.50219999999999998</v>
      </c>
      <c r="AD6" s="48">
        <v>0.47448000000000001</v>
      </c>
    </row>
    <row r="7" spans="1:30" x14ac:dyDescent="0.3">
      <c r="A7" s="49" t="s">
        <v>1654</v>
      </c>
      <c r="B7" s="48">
        <v>6.96</v>
      </c>
      <c r="C7" s="48">
        <v>1.6800000000000002</v>
      </c>
      <c r="D7" s="48">
        <v>1.02</v>
      </c>
      <c r="E7" s="48">
        <v>0.69</v>
      </c>
      <c r="F7" s="48">
        <v>0.49199999999999999</v>
      </c>
      <c r="G7" s="48">
        <v>0.42599999999999999</v>
      </c>
      <c r="H7" s="48">
        <v>0.40400000000000003</v>
      </c>
      <c r="I7" s="48">
        <v>0.39300000000000002</v>
      </c>
      <c r="J7" s="48">
        <v>0.37319999999999998</v>
      </c>
      <c r="L7" s="48">
        <v>9.7080000000000002</v>
      </c>
      <c r="M7" s="48">
        <v>2.3160000000000003</v>
      </c>
      <c r="N7" s="48">
        <v>1.3920000000000001</v>
      </c>
      <c r="O7" s="48">
        <v>0.93</v>
      </c>
      <c r="P7" s="48">
        <v>0.65280000000000005</v>
      </c>
      <c r="Q7" s="48">
        <v>0.56040000000000001</v>
      </c>
      <c r="R7" s="48">
        <v>0.52960000000000007</v>
      </c>
      <c r="S7" s="48">
        <v>0.51419999999999999</v>
      </c>
      <c r="T7" s="48">
        <v>0.48648000000000002</v>
      </c>
      <c r="V7" s="48">
        <v>9.7440000000000015</v>
      </c>
      <c r="W7" s="48">
        <v>2.3519999999999999</v>
      </c>
      <c r="X7" s="48">
        <v>1.4279999999999999</v>
      </c>
      <c r="Y7" s="48">
        <v>0.96599999999999997</v>
      </c>
      <c r="Z7" s="48">
        <v>0.68879999999999997</v>
      </c>
      <c r="AA7" s="48">
        <v>0.59640000000000004</v>
      </c>
      <c r="AB7" s="48">
        <v>0.56559999999999999</v>
      </c>
      <c r="AC7" s="48">
        <v>0.55020000000000002</v>
      </c>
      <c r="AD7" s="48">
        <v>0.52248000000000006</v>
      </c>
    </row>
    <row r="8" spans="1:30" x14ac:dyDescent="0.3">
      <c r="A8" s="49" t="s">
        <v>1655</v>
      </c>
      <c r="B8" s="48">
        <v>7.02</v>
      </c>
      <c r="C8" s="48">
        <v>1.7400000000000002</v>
      </c>
      <c r="D8" s="48">
        <v>1.08</v>
      </c>
      <c r="E8" s="48">
        <v>0.75</v>
      </c>
      <c r="F8" s="48">
        <v>0.55199999999999994</v>
      </c>
      <c r="G8" s="48">
        <v>0.48599999999999999</v>
      </c>
      <c r="H8" s="48">
        <v>0.46399999999999997</v>
      </c>
      <c r="I8" s="48">
        <v>0.45300000000000001</v>
      </c>
      <c r="J8" s="48">
        <v>0.43319999999999997</v>
      </c>
      <c r="L8" s="48">
        <v>9.8159999999999989</v>
      </c>
      <c r="M8" s="48">
        <v>2.4239999999999999</v>
      </c>
      <c r="N8" s="48">
        <v>1.5</v>
      </c>
      <c r="O8" s="48">
        <v>1.038</v>
      </c>
      <c r="P8" s="48">
        <v>0.76080000000000003</v>
      </c>
      <c r="Q8" s="48">
        <v>0.66839999999999988</v>
      </c>
      <c r="R8" s="48">
        <v>0.63759999999999994</v>
      </c>
      <c r="S8" s="48">
        <v>0.62219999999999998</v>
      </c>
      <c r="T8" s="48">
        <v>0.59448000000000001</v>
      </c>
      <c r="V8" s="48">
        <v>9.8879999999999999</v>
      </c>
      <c r="W8" s="48">
        <v>2.496</v>
      </c>
      <c r="X8" s="48">
        <v>1.5720000000000001</v>
      </c>
      <c r="Y8" s="48">
        <v>1.1100000000000001</v>
      </c>
      <c r="Z8" s="48">
        <v>0.8328000000000001</v>
      </c>
      <c r="AA8" s="48">
        <v>0.74039999999999995</v>
      </c>
      <c r="AB8" s="48">
        <v>0.70960000000000001</v>
      </c>
      <c r="AC8" s="48">
        <v>0.69420000000000004</v>
      </c>
      <c r="AD8" s="48">
        <v>0.66647999999999996</v>
      </c>
    </row>
    <row r="9" spans="1:30" x14ac:dyDescent="0.3">
      <c r="A9" s="49" t="s">
        <v>1656</v>
      </c>
      <c r="B9" s="48">
        <v>12.708</v>
      </c>
      <c r="C9" s="48">
        <v>3.1079999999999997</v>
      </c>
      <c r="D9" s="48">
        <v>1.9079999999999999</v>
      </c>
      <c r="E9" s="48">
        <v>1.3079999999999998</v>
      </c>
      <c r="F9" s="48">
        <v>0.94800000000000006</v>
      </c>
      <c r="G9" s="48">
        <v>0.82799999999999996</v>
      </c>
      <c r="H9" s="48">
        <v>0.78799999999999992</v>
      </c>
      <c r="I9" s="48">
        <v>0.76800000000000002</v>
      </c>
      <c r="J9" s="48">
        <v>0.73199999999999998</v>
      </c>
      <c r="L9" s="48">
        <v>23.315999999999999</v>
      </c>
      <c r="M9" s="48">
        <v>5.2679999999999998</v>
      </c>
      <c r="N9" s="48">
        <v>3.0119999999999996</v>
      </c>
      <c r="O9" s="48">
        <v>1.8839999999999999</v>
      </c>
      <c r="P9" s="48">
        <v>1.2072000000000001</v>
      </c>
      <c r="Q9" s="48">
        <v>0.98160000000000003</v>
      </c>
      <c r="R9" s="48">
        <v>0.90639999999999998</v>
      </c>
      <c r="S9" s="48">
        <v>0.86880000000000002</v>
      </c>
      <c r="T9" s="48">
        <v>0.80111999999999994</v>
      </c>
      <c r="V9" s="48">
        <v>23.676000000000002</v>
      </c>
      <c r="W9" s="48">
        <v>5.6279999999999992</v>
      </c>
      <c r="X9" s="48">
        <v>3.3719999999999999</v>
      </c>
      <c r="Y9" s="48">
        <v>2.2440000000000002</v>
      </c>
      <c r="Z9" s="48">
        <v>1.5672000000000001</v>
      </c>
      <c r="AA9" s="48">
        <v>1.3416000000000001</v>
      </c>
      <c r="AB9" s="48">
        <v>1.2664000000000002</v>
      </c>
      <c r="AC9" s="48">
        <v>1.2288000000000001</v>
      </c>
      <c r="AD9" s="48">
        <v>1.1611199999999999</v>
      </c>
    </row>
    <row r="10" spans="1:30" x14ac:dyDescent="0.3">
      <c r="A10" s="49" t="s">
        <v>1657</v>
      </c>
      <c r="B10" s="48">
        <v>18.084</v>
      </c>
      <c r="C10" s="48">
        <v>4.26</v>
      </c>
      <c r="D10" s="48">
        <v>2.532</v>
      </c>
      <c r="E10" s="48">
        <v>1.6680000000000001</v>
      </c>
      <c r="F10" s="48">
        <v>1.1496</v>
      </c>
      <c r="G10" s="48">
        <v>0.97680000000000011</v>
      </c>
      <c r="H10" s="48">
        <v>0.91920000000000002</v>
      </c>
      <c r="I10" s="48">
        <v>0.89039999999999997</v>
      </c>
      <c r="J10" s="48">
        <v>0.83856000000000008</v>
      </c>
      <c r="L10" s="48">
        <v>23.7</v>
      </c>
      <c r="M10" s="48">
        <v>5.6520000000000001</v>
      </c>
      <c r="N10" s="48">
        <v>3.3959999999999999</v>
      </c>
      <c r="O10" s="48">
        <v>2.2679999999999998</v>
      </c>
      <c r="P10" s="48">
        <v>1.5912000000000002</v>
      </c>
      <c r="Q10" s="48">
        <v>1.3655999999999999</v>
      </c>
      <c r="R10" s="48">
        <v>1.2904</v>
      </c>
      <c r="S10" s="48">
        <v>1.2528000000000001</v>
      </c>
      <c r="T10" s="48">
        <v>1.18512</v>
      </c>
      <c r="V10" s="48">
        <v>23.928000000000001</v>
      </c>
      <c r="W10" s="48">
        <v>5.879999999999999</v>
      </c>
      <c r="X10" s="48">
        <v>3.6239999999999997</v>
      </c>
      <c r="Y10" s="48">
        <v>2.496</v>
      </c>
      <c r="Z10" s="48">
        <v>1.8191999999999999</v>
      </c>
      <c r="AA10" s="48">
        <v>1.5935999999999999</v>
      </c>
      <c r="AB10" s="48">
        <v>1.5183999999999997</v>
      </c>
      <c r="AC10" s="48">
        <v>1.4807999999999999</v>
      </c>
      <c r="AD10" s="48">
        <v>1.4131199999999999</v>
      </c>
    </row>
    <row r="11" spans="1:30" x14ac:dyDescent="0.3">
      <c r="A11" s="49" t="s">
        <v>1658</v>
      </c>
      <c r="B11" s="48">
        <v>18.167999999999999</v>
      </c>
      <c r="C11" s="48">
        <v>4.3440000000000003</v>
      </c>
      <c r="D11" s="48">
        <v>2.6159999999999997</v>
      </c>
      <c r="E11" s="48">
        <v>1.752</v>
      </c>
      <c r="F11" s="48">
        <v>1.2336</v>
      </c>
      <c r="G11" s="48">
        <v>1.0608</v>
      </c>
      <c r="H11" s="48">
        <v>1.0032000000000001</v>
      </c>
      <c r="I11" s="48">
        <v>0.97439999999999993</v>
      </c>
      <c r="J11" s="48">
        <v>0.92256000000000005</v>
      </c>
      <c r="L11" s="48">
        <v>24.108000000000001</v>
      </c>
      <c r="M11" s="48">
        <v>6.06</v>
      </c>
      <c r="N11" s="48">
        <v>3.8039999999999998</v>
      </c>
      <c r="O11" s="48">
        <v>2.6760000000000002</v>
      </c>
      <c r="P11" s="48">
        <v>1.9991999999999999</v>
      </c>
      <c r="Q11" s="48">
        <v>1.7736000000000001</v>
      </c>
      <c r="R11" s="48">
        <v>1.6983999999999999</v>
      </c>
      <c r="S11" s="48">
        <v>1.6608000000000001</v>
      </c>
      <c r="T11" s="48">
        <v>1.5931200000000001</v>
      </c>
      <c r="V11" s="48">
        <v>24.131999999999998</v>
      </c>
      <c r="W11" s="48">
        <v>6.0840000000000005</v>
      </c>
      <c r="X11" s="48">
        <v>3.8279999999999998</v>
      </c>
      <c r="Y11" s="48">
        <v>2.7</v>
      </c>
      <c r="Z11" s="48">
        <v>2.0232000000000001</v>
      </c>
      <c r="AA11" s="48">
        <v>1.7976000000000001</v>
      </c>
      <c r="AB11" s="48">
        <v>1.7223999999999999</v>
      </c>
      <c r="AC11" s="48">
        <v>1.6848000000000001</v>
      </c>
      <c r="AD11" s="48">
        <v>1.6171200000000001</v>
      </c>
    </row>
    <row r="12" spans="1:30" x14ac:dyDescent="0.3">
      <c r="A12" s="49" t="s">
        <v>1659</v>
      </c>
      <c r="B12" s="48">
        <v>20.891999999999999</v>
      </c>
      <c r="C12" s="48">
        <v>4.9559999999999995</v>
      </c>
      <c r="D12" s="48">
        <v>2.9639999999999995</v>
      </c>
      <c r="E12" s="48">
        <v>1.9680000000000002</v>
      </c>
      <c r="F12" s="48">
        <v>1.3704000000000001</v>
      </c>
      <c r="G12" s="48">
        <v>1.1712000000000002</v>
      </c>
      <c r="H12" s="48">
        <v>1.1048</v>
      </c>
      <c r="I12" s="48">
        <v>1.0716000000000001</v>
      </c>
      <c r="J12" s="48">
        <v>1.0118400000000001</v>
      </c>
      <c r="L12" s="48">
        <v>25.332000000000004</v>
      </c>
      <c r="M12" s="48">
        <v>6.516</v>
      </c>
      <c r="N12" s="48">
        <v>4.1639999999999997</v>
      </c>
      <c r="O12" s="48">
        <v>2.9880000000000004</v>
      </c>
      <c r="P12" s="48">
        <v>2.2824</v>
      </c>
      <c r="Q12" s="48">
        <v>2.0472000000000001</v>
      </c>
      <c r="R12" s="48">
        <v>1.9688000000000001</v>
      </c>
      <c r="S12" s="48">
        <v>1.9296000000000002</v>
      </c>
      <c r="T12" s="48">
        <v>1.8590399999999998</v>
      </c>
      <c r="V12" s="48">
        <v>25.391999999999999</v>
      </c>
      <c r="W12" s="48">
        <v>6.5760000000000005</v>
      </c>
      <c r="X12" s="48">
        <v>4.2240000000000002</v>
      </c>
      <c r="Y12" s="48">
        <v>3.048</v>
      </c>
      <c r="Z12" s="48">
        <v>2.3424</v>
      </c>
      <c r="AA12" s="48">
        <v>2.1072000000000002</v>
      </c>
      <c r="AB12" s="48">
        <v>2.0288000000000004</v>
      </c>
      <c r="AC12" s="48">
        <v>1.9896000000000003</v>
      </c>
      <c r="AD12" s="48">
        <v>1.9190399999999999</v>
      </c>
    </row>
    <row r="13" spans="1:30" x14ac:dyDescent="0.3">
      <c r="A13" s="49" t="s">
        <v>1660</v>
      </c>
      <c r="B13" s="48">
        <v>20.975999999999999</v>
      </c>
      <c r="C13" s="48">
        <v>5.04</v>
      </c>
      <c r="D13" s="48">
        <v>3.048</v>
      </c>
      <c r="E13" s="48">
        <v>2.052</v>
      </c>
      <c r="F13" s="48">
        <v>1.4543999999999999</v>
      </c>
      <c r="G13" s="48">
        <v>1.2552000000000001</v>
      </c>
      <c r="H13" s="48">
        <v>1.1888000000000001</v>
      </c>
      <c r="I13" s="48">
        <v>1.1556</v>
      </c>
      <c r="J13" s="48">
        <v>1.0958399999999999</v>
      </c>
      <c r="L13" s="48">
        <v>25.608000000000001</v>
      </c>
      <c r="M13" s="48">
        <v>6.7919999999999998</v>
      </c>
      <c r="N13" s="48">
        <v>4.4400000000000004</v>
      </c>
      <c r="O13" s="48">
        <v>3.2639999999999998</v>
      </c>
      <c r="P13" s="48">
        <v>2.5584000000000002</v>
      </c>
      <c r="Q13" s="48">
        <v>2.3231999999999999</v>
      </c>
      <c r="R13" s="48">
        <v>2.2448000000000001</v>
      </c>
      <c r="S13" s="48">
        <v>2.2056</v>
      </c>
      <c r="T13" s="48">
        <v>2.13504</v>
      </c>
      <c r="V13" s="48">
        <v>25.692</v>
      </c>
      <c r="W13" s="48">
        <v>6.8760000000000003</v>
      </c>
      <c r="X13" s="48">
        <v>4.524</v>
      </c>
      <c r="Y13" s="48">
        <v>3.3479999999999999</v>
      </c>
      <c r="Z13" s="48">
        <v>2.6423999999999999</v>
      </c>
      <c r="AA13" s="48">
        <v>2.4072000000000005</v>
      </c>
      <c r="AB13" s="48">
        <v>2.3288000000000002</v>
      </c>
      <c r="AC13" s="48">
        <v>2.2896000000000001</v>
      </c>
      <c r="AD13" s="48">
        <v>2.2190400000000001</v>
      </c>
    </row>
    <row r="14" spans="1:30" ht="15" thickBot="1" x14ac:dyDescent="0.35">
      <c r="B14" s="28"/>
      <c r="C14" s="29"/>
      <c r="D14" s="29"/>
      <c r="E14" s="29"/>
      <c r="F14" s="29"/>
      <c r="G14" s="29"/>
      <c r="H14" s="29"/>
      <c r="I14" s="29"/>
      <c r="J14" s="29"/>
      <c r="L14" s="28"/>
      <c r="M14" s="29"/>
      <c r="N14" s="29"/>
      <c r="O14" s="29"/>
      <c r="P14" s="29"/>
      <c r="Q14" s="29"/>
      <c r="R14" s="29"/>
      <c r="S14" s="29"/>
      <c r="T14" s="29"/>
      <c r="V14" s="28"/>
      <c r="W14" s="29"/>
      <c r="X14" s="29"/>
      <c r="Y14" s="29"/>
      <c r="Z14" s="29"/>
      <c r="AA14" s="29"/>
      <c r="AB14" s="29"/>
      <c r="AC14" s="29"/>
      <c r="AD14" s="29"/>
    </row>
    <row r="15" spans="1:30" ht="15" thickBot="1" x14ac:dyDescent="0.35">
      <c r="A15" s="46" t="s">
        <v>1661</v>
      </c>
      <c r="B15" s="28"/>
      <c r="C15" s="29"/>
      <c r="D15" s="29"/>
      <c r="E15" s="29"/>
      <c r="F15" s="29"/>
      <c r="G15" s="29"/>
      <c r="H15" s="29"/>
      <c r="I15" s="29"/>
      <c r="J15" s="29"/>
      <c r="L15" s="28"/>
      <c r="M15" s="29"/>
      <c r="N15" s="29"/>
      <c r="O15" s="29"/>
      <c r="P15" s="29"/>
      <c r="Q15" s="29"/>
      <c r="R15" s="29"/>
      <c r="S15" s="29"/>
      <c r="T15" s="29"/>
      <c r="V15" s="28"/>
      <c r="W15" s="29"/>
      <c r="X15" s="29"/>
      <c r="Y15" s="29"/>
      <c r="Z15" s="29"/>
      <c r="AA15" s="29"/>
      <c r="AB15" s="29"/>
      <c r="AC15" s="29"/>
      <c r="AD15" s="29"/>
    </row>
    <row r="16" spans="1:30" x14ac:dyDescent="0.3">
      <c r="A16" s="47" t="s">
        <v>1653</v>
      </c>
      <c r="B16" s="50">
        <v>7.0440000000000005</v>
      </c>
      <c r="C16" s="48">
        <v>1.7640000000000002</v>
      </c>
      <c r="D16" s="48">
        <v>1.1040000000000001</v>
      </c>
      <c r="E16" s="48">
        <v>0.77400000000000002</v>
      </c>
      <c r="F16" s="48">
        <v>0.57599999999999996</v>
      </c>
      <c r="G16" s="48">
        <v>0.51</v>
      </c>
      <c r="H16" s="48">
        <v>0.48799999999999999</v>
      </c>
      <c r="I16" s="48">
        <v>0.47700000000000004</v>
      </c>
      <c r="J16" s="48">
        <v>0.4572</v>
      </c>
      <c r="L16" s="50">
        <v>9.8040000000000003</v>
      </c>
      <c r="M16" s="48">
        <v>2.4119999999999999</v>
      </c>
      <c r="N16" s="48">
        <v>1.488</v>
      </c>
      <c r="O16" s="48">
        <v>1.026</v>
      </c>
      <c r="P16" s="48">
        <v>0.74880000000000002</v>
      </c>
      <c r="Q16" s="48">
        <v>0.65639999999999987</v>
      </c>
      <c r="R16" s="48">
        <v>0.62559999999999993</v>
      </c>
      <c r="S16" s="48">
        <v>0.61019999999999996</v>
      </c>
      <c r="T16" s="48">
        <v>0.58248</v>
      </c>
      <c r="V16" s="50">
        <v>9.8760000000000012</v>
      </c>
      <c r="W16" s="48">
        <v>2.4840000000000004</v>
      </c>
      <c r="X16" s="48">
        <v>1.56</v>
      </c>
      <c r="Y16" s="48">
        <v>1.0980000000000001</v>
      </c>
      <c r="Z16" s="48">
        <v>0.82080000000000009</v>
      </c>
      <c r="AA16" s="48">
        <v>0.72839999999999994</v>
      </c>
      <c r="AB16" s="48">
        <v>0.6976</v>
      </c>
      <c r="AC16" s="48">
        <v>0.68220000000000003</v>
      </c>
      <c r="AD16" s="48">
        <v>0.65447999999999995</v>
      </c>
    </row>
    <row r="17" spans="1:30" x14ac:dyDescent="0.3">
      <c r="A17" s="49" t="s">
        <v>1654</v>
      </c>
      <c r="B17" s="50">
        <v>7.1520000000000001</v>
      </c>
      <c r="C17" s="48">
        <v>1.8720000000000001</v>
      </c>
      <c r="D17" s="48">
        <v>1.212</v>
      </c>
      <c r="E17" s="48">
        <v>0.88200000000000012</v>
      </c>
      <c r="F17" s="48">
        <v>0.68400000000000005</v>
      </c>
      <c r="G17" s="48">
        <v>0.61799999999999999</v>
      </c>
      <c r="H17" s="48">
        <v>0.59600000000000009</v>
      </c>
      <c r="I17" s="48">
        <v>0.58500000000000008</v>
      </c>
      <c r="J17" s="48">
        <v>0.56520000000000004</v>
      </c>
      <c r="L17" s="50">
        <v>9.911999999999999</v>
      </c>
      <c r="M17" s="48">
        <v>2.52</v>
      </c>
      <c r="N17" s="48">
        <v>1.5960000000000001</v>
      </c>
      <c r="O17" s="48">
        <v>1.1340000000000001</v>
      </c>
      <c r="P17" s="48">
        <v>0.85680000000000012</v>
      </c>
      <c r="Q17" s="48">
        <v>0.76439999999999997</v>
      </c>
      <c r="R17" s="48">
        <v>0.73360000000000003</v>
      </c>
      <c r="S17" s="48">
        <v>0.71820000000000006</v>
      </c>
      <c r="T17" s="48">
        <v>0.69047999999999998</v>
      </c>
      <c r="V17" s="50">
        <v>9.984</v>
      </c>
      <c r="W17" s="48">
        <v>2.5920000000000001</v>
      </c>
      <c r="X17" s="48">
        <v>1.6680000000000001</v>
      </c>
      <c r="Y17" s="48">
        <v>1.206</v>
      </c>
      <c r="Z17" s="48">
        <v>0.92880000000000007</v>
      </c>
      <c r="AA17" s="48">
        <v>0.83639999999999992</v>
      </c>
      <c r="AB17" s="48">
        <v>0.80559999999999998</v>
      </c>
      <c r="AC17" s="48">
        <v>0.79020000000000001</v>
      </c>
      <c r="AD17" s="48">
        <v>0.76247999999999994</v>
      </c>
    </row>
    <row r="18" spans="1:30" x14ac:dyDescent="0.3">
      <c r="A18" s="49" t="s">
        <v>1655</v>
      </c>
      <c r="B18" s="50">
        <v>7.3559999999999999</v>
      </c>
      <c r="C18" s="48">
        <v>2.0760000000000001</v>
      </c>
      <c r="D18" s="48">
        <v>1.4160000000000001</v>
      </c>
      <c r="E18" s="48">
        <v>1.0860000000000001</v>
      </c>
      <c r="F18" s="48">
        <v>0.88800000000000001</v>
      </c>
      <c r="G18" s="48">
        <v>0.82200000000000006</v>
      </c>
      <c r="H18" s="48">
        <v>0.79999999999999993</v>
      </c>
      <c r="I18" s="48">
        <v>0.78899999999999992</v>
      </c>
      <c r="J18" s="48">
        <v>0.76919999999999999</v>
      </c>
      <c r="L18" s="50">
        <v>10.068000000000001</v>
      </c>
      <c r="M18" s="48">
        <v>2.6760000000000002</v>
      </c>
      <c r="N18" s="48">
        <v>1.752</v>
      </c>
      <c r="O18" s="48">
        <v>1.29</v>
      </c>
      <c r="P18" s="48">
        <v>1.0127999999999999</v>
      </c>
      <c r="Q18" s="48">
        <v>0.92039999999999988</v>
      </c>
      <c r="R18" s="48">
        <v>0.88959999999999995</v>
      </c>
      <c r="S18" s="48">
        <v>0.87419999999999987</v>
      </c>
      <c r="T18" s="48">
        <v>0.8464799999999999</v>
      </c>
      <c r="V18" s="50">
        <v>10.188000000000001</v>
      </c>
      <c r="W18" s="48">
        <v>2.7960000000000003</v>
      </c>
      <c r="X18" s="48">
        <v>1.8720000000000001</v>
      </c>
      <c r="Y18" s="48">
        <v>1.4100000000000001</v>
      </c>
      <c r="Z18" s="48">
        <v>1.1328</v>
      </c>
      <c r="AA18" s="48">
        <v>1.0404</v>
      </c>
      <c r="AB18" s="48">
        <v>1.0096000000000001</v>
      </c>
      <c r="AC18" s="48">
        <v>0.99419999999999997</v>
      </c>
      <c r="AD18" s="48">
        <v>0.96648000000000001</v>
      </c>
    </row>
    <row r="19" spans="1:30" x14ac:dyDescent="0.3">
      <c r="A19" s="49" t="s">
        <v>1656</v>
      </c>
      <c r="B19" s="50">
        <v>13.068000000000001</v>
      </c>
      <c r="C19" s="48">
        <v>3.468</v>
      </c>
      <c r="D19" s="48">
        <v>2.2680000000000002</v>
      </c>
      <c r="E19" s="48">
        <v>1.6680000000000001</v>
      </c>
      <c r="F19" s="48">
        <v>1.3080000000000001</v>
      </c>
      <c r="G19" s="48">
        <v>1.1879999999999999</v>
      </c>
      <c r="H19" s="48">
        <v>1.1480000000000001</v>
      </c>
      <c r="I19" s="48">
        <v>1.1280000000000001</v>
      </c>
      <c r="J19" s="48">
        <v>1.0920000000000001</v>
      </c>
      <c r="L19" s="50">
        <v>23.616</v>
      </c>
      <c r="M19" s="48">
        <v>5.5679999999999996</v>
      </c>
      <c r="N19" s="48">
        <v>3.3119999999999998</v>
      </c>
      <c r="O19" s="48">
        <v>2.1839999999999997</v>
      </c>
      <c r="P19" s="48">
        <v>1.5072000000000001</v>
      </c>
      <c r="Q19" s="48">
        <v>1.2816000000000001</v>
      </c>
      <c r="R19" s="48">
        <v>1.2064000000000001</v>
      </c>
      <c r="S19" s="48">
        <v>1.1688000000000001</v>
      </c>
      <c r="T19" s="48">
        <v>1.1011199999999999</v>
      </c>
      <c r="V19" s="50">
        <v>23.880000000000003</v>
      </c>
      <c r="W19" s="48">
        <v>5.831999999999999</v>
      </c>
      <c r="X19" s="48">
        <v>3.5760000000000001</v>
      </c>
      <c r="Y19" s="48">
        <v>2.448</v>
      </c>
      <c r="Z19" s="48">
        <v>1.7711999999999999</v>
      </c>
      <c r="AA19" s="48">
        <v>1.5456000000000001</v>
      </c>
      <c r="AB19" s="48">
        <v>1.4704000000000002</v>
      </c>
      <c r="AC19" s="48">
        <v>1.4328000000000003</v>
      </c>
      <c r="AD19" s="48">
        <v>1.3651200000000001</v>
      </c>
    </row>
    <row r="20" spans="1:30" x14ac:dyDescent="0.3">
      <c r="A20" s="49" t="s">
        <v>1657</v>
      </c>
      <c r="B20" s="50">
        <v>18.552</v>
      </c>
      <c r="C20" s="48">
        <v>4.7279999999999998</v>
      </c>
      <c r="D20" s="48">
        <v>3</v>
      </c>
      <c r="E20" s="48">
        <v>2.1360000000000001</v>
      </c>
      <c r="F20" s="48">
        <v>1.6176000000000001</v>
      </c>
      <c r="G20" s="48">
        <v>1.4447999999999999</v>
      </c>
      <c r="H20" s="48">
        <v>1.3872000000000002</v>
      </c>
      <c r="I20" s="48">
        <v>1.3584000000000001</v>
      </c>
      <c r="J20" s="48">
        <v>1.3065599999999999</v>
      </c>
      <c r="L20" s="50">
        <v>23.904000000000003</v>
      </c>
      <c r="M20" s="48">
        <v>5.8559999999999999</v>
      </c>
      <c r="N20" s="48">
        <v>3.6</v>
      </c>
      <c r="O20" s="48">
        <v>2.472</v>
      </c>
      <c r="P20" s="48">
        <v>1.7951999999999999</v>
      </c>
      <c r="Q20" s="48">
        <v>1.5696000000000001</v>
      </c>
      <c r="R20" s="48">
        <v>1.4944000000000002</v>
      </c>
      <c r="S20" s="48">
        <v>1.4568000000000003</v>
      </c>
      <c r="T20" s="48">
        <v>1.3891200000000001</v>
      </c>
      <c r="V20" s="50">
        <v>24.263999999999999</v>
      </c>
      <c r="W20" s="48">
        <v>6.2159999999999993</v>
      </c>
      <c r="X20" s="48">
        <v>3.96</v>
      </c>
      <c r="Y20" s="48">
        <v>2.8319999999999999</v>
      </c>
      <c r="Z20" s="48">
        <v>2.1551999999999998</v>
      </c>
      <c r="AA20" s="48">
        <v>1.9295999999999998</v>
      </c>
      <c r="AB20" s="48">
        <v>1.8543999999999998</v>
      </c>
      <c r="AC20" s="48">
        <v>1.8168</v>
      </c>
      <c r="AD20" s="48">
        <v>1.74912</v>
      </c>
    </row>
    <row r="21" spans="1:30" x14ac:dyDescent="0.3">
      <c r="A21" s="49" t="s">
        <v>1658</v>
      </c>
      <c r="B21" s="50">
        <v>18.948</v>
      </c>
      <c r="C21" s="48">
        <v>5.1239999999999997</v>
      </c>
      <c r="D21" s="48">
        <v>3.3959999999999999</v>
      </c>
      <c r="E21" s="48">
        <v>2.532</v>
      </c>
      <c r="F21" s="48">
        <v>2.0135999999999998</v>
      </c>
      <c r="G21" s="48">
        <v>1.8407999999999998</v>
      </c>
      <c r="H21" s="48">
        <v>1.7831999999999999</v>
      </c>
      <c r="I21" s="48">
        <v>1.7544</v>
      </c>
      <c r="J21" s="48">
        <v>1.7025599999999999</v>
      </c>
      <c r="L21" s="50">
        <v>24.323999999999998</v>
      </c>
      <c r="M21" s="48">
        <v>6.2759999999999998</v>
      </c>
      <c r="N21" s="48">
        <v>4.0199999999999996</v>
      </c>
      <c r="O21" s="48">
        <v>2.8920000000000003</v>
      </c>
      <c r="P21" s="48">
        <v>2.2152000000000003</v>
      </c>
      <c r="Q21" s="48">
        <v>1.9895999999999998</v>
      </c>
      <c r="R21" s="48">
        <v>1.9143999999999999</v>
      </c>
      <c r="S21" s="48">
        <v>1.8768</v>
      </c>
      <c r="T21" s="48">
        <v>1.8091200000000001</v>
      </c>
      <c r="V21" s="50">
        <v>24.707999999999998</v>
      </c>
      <c r="W21" s="48">
        <v>6.66</v>
      </c>
      <c r="X21" s="48">
        <v>4.4039999999999999</v>
      </c>
      <c r="Y21" s="48">
        <v>3.2759999999999998</v>
      </c>
      <c r="Z21" s="48">
        <v>2.5991999999999997</v>
      </c>
      <c r="AA21" s="48">
        <v>2.3736000000000002</v>
      </c>
      <c r="AB21" s="48">
        <v>2.2984</v>
      </c>
      <c r="AC21" s="48">
        <v>2.2608000000000001</v>
      </c>
      <c r="AD21" s="48">
        <v>2.1931200000000004</v>
      </c>
    </row>
    <row r="22" spans="1:30" x14ac:dyDescent="0.3">
      <c r="A22" s="49" t="s">
        <v>1659</v>
      </c>
      <c r="B22" s="50">
        <v>21.732000000000003</v>
      </c>
      <c r="C22" s="48">
        <v>5.7960000000000003</v>
      </c>
      <c r="D22" s="48">
        <v>3.8039999999999998</v>
      </c>
      <c r="E22" s="48">
        <v>2.8079999999999998</v>
      </c>
      <c r="F22" s="48">
        <v>2.2103999999999999</v>
      </c>
      <c r="G22" s="48">
        <v>2.0112000000000001</v>
      </c>
      <c r="H22" s="48">
        <v>1.9448000000000001</v>
      </c>
      <c r="I22" s="48">
        <v>1.9116</v>
      </c>
      <c r="J22" s="48">
        <v>1.8518399999999999</v>
      </c>
      <c r="L22" s="50">
        <v>25.572000000000003</v>
      </c>
      <c r="M22" s="48">
        <v>6.7560000000000002</v>
      </c>
      <c r="N22" s="48">
        <v>4.4039999999999999</v>
      </c>
      <c r="O22" s="48">
        <v>3.2279999999999998</v>
      </c>
      <c r="P22" s="48">
        <v>2.5223999999999998</v>
      </c>
      <c r="Q22" s="48">
        <v>2.2871999999999999</v>
      </c>
      <c r="R22" s="48">
        <v>2.2088000000000001</v>
      </c>
      <c r="S22" s="48">
        <v>2.1696</v>
      </c>
      <c r="T22" s="48">
        <v>2.09904</v>
      </c>
      <c r="V22" s="50">
        <v>25.896000000000001</v>
      </c>
      <c r="W22" s="48">
        <v>7.08</v>
      </c>
      <c r="X22" s="48">
        <v>4.7279999999999998</v>
      </c>
      <c r="Y22" s="48">
        <v>3.552</v>
      </c>
      <c r="Z22" s="48">
        <v>2.8464</v>
      </c>
      <c r="AA22" s="48">
        <v>2.6112000000000002</v>
      </c>
      <c r="AB22" s="48">
        <v>2.5327999999999999</v>
      </c>
      <c r="AC22" s="48">
        <v>2.4935999999999998</v>
      </c>
      <c r="AD22" s="48">
        <v>2.4230400000000003</v>
      </c>
    </row>
    <row r="23" spans="1:30" x14ac:dyDescent="0.3">
      <c r="A23" s="49" t="s">
        <v>1660</v>
      </c>
      <c r="B23" s="51" t="s">
        <v>1662</v>
      </c>
      <c r="C23" s="52">
        <v>5.9639999999999995</v>
      </c>
      <c r="D23" s="52">
        <v>3.9719999999999995</v>
      </c>
      <c r="E23" s="52">
        <v>2.976</v>
      </c>
      <c r="F23" s="52">
        <v>2.3784000000000001</v>
      </c>
      <c r="G23" s="52">
        <v>2.1791999999999998</v>
      </c>
      <c r="H23" s="52">
        <v>2.1128</v>
      </c>
      <c r="I23" s="52">
        <v>2.0796000000000001</v>
      </c>
      <c r="J23" s="52">
        <v>2.0198399999999999</v>
      </c>
      <c r="L23" s="51">
        <v>25.692</v>
      </c>
      <c r="M23" s="52">
        <v>6.8760000000000003</v>
      </c>
      <c r="N23" s="52">
        <v>4.524</v>
      </c>
      <c r="O23" s="52">
        <v>3.3479999999999999</v>
      </c>
      <c r="P23" s="52">
        <v>2.6423999999999999</v>
      </c>
      <c r="Q23" s="52">
        <v>2.4072000000000005</v>
      </c>
      <c r="R23" s="52">
        <v>2.3288000000000002</v>
      </c>
      <c r="S23" s="52">
        <v>2.2896000000000001</v>
      </c>
      <c r="T23" s="52">
        <v>2.2190400000000001</v>
      </c>
      <c r="V23" s="51">
        <v>26.231999999999999</v>
      </c>
      <c r="W23" s="52">
        <v>7.4159999999999995</v>
      </c>
      <c r="X23" s="52">
        <v>5.0640000000000001</v>
      </c>
      <c r="Y23" s="52">
        <v>3.8879999999999999</v>
      </c>
      <c r="Z23" s="52">
        <v>3.1823999999999995</v>
      </c>
      <c r="AA23" s="52">
        <v>2.9472</v>
      </c>
      <c r="AB23" s="52">
        <v>2.8687999999999994</v>
      </c>
      <c r="AC23" s="52">
        <v>2.8295999999999997</v>
      </c>
      <c r="AD23" s="52">
        <v>2.7590399999999997</v>
      </c>
    </row>
    <row r="24" spans="1:30" x14ac:dyDescent="0.3">
      <c r="C24" s="27"/>
      <c r="D24" s="27"/>
      <c r="E24" s="27"/>
      <c r="F24" s="27"/>
      <c r="G24" s="27"/>
      <c r="H24" s="27"/>
      <c r="I24" s="27"/>
      <c r="J24" s="27"/>
    </row>
    <row r="25" spans="1:30" x14ac:dyDescent="0.3">
      <c r="A25" s="16" t="s">
        <v>1572</v>
      </c>
      <c r="C25" s="27"/>
      <c r="D25" s="27"/>
      <c r="E25" s="27"/>
      <c r="F25" s="27"/>
      <c r="G25" s="27"/>
      <c r="H25" s="27"/>
      <c r="I25" s="27"/>
      <c r="J25" s="27"/>
    </row>
  </sheetData>
  <mergeCells count="3">
    <mergeCell ref="B1:J1"/>
    <mergeCell ref="L1:T1"/>
    <mergeCell ref="V1:AD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A43C6-CF3D-435F-9D8B-E0191CF60EAD}">
  <dimension ref="A1:G17"/>
  <sheetViews>
    <sheetView workbookViewId="0">
      <selection activeCell="F18" sqref="F18"/>
    </sheetView>
  </sheetViews>
  <sheetFormatPr defaultRowHeight="14.4" x14ac:dyDescent="0.3"/>
  <cols>
    <col min="1" max="1" width="8.77734375" bestFit="1" customWidth="1"/>
    <col min="2" max="2" width="40.5546875" bestFit="1" customWidth="1"/>
    <col min="3" max="3" width="12" bestFit="1" customWidth="1"/>
    <col min="5" max="5" width="8.77734375" bestFit="1" customWidth="1"/>
    <col min="6" max="6" width="40.5546875" bestFit="1" customWidth="1"/>
    <col min="7" max="7" width="14.88671875" bestFit="1" customWidth="1"/>
  </cols>
  <sheetData>
    <row r="1" spans="1:7" x14ac:dyDescent="0.3">
      <c r="A1" s="33" t="s">
        <v>1597</v>
      </c>
      <c r="B1" s="34"/>
      <c r="C1" s="34"/>
      <c r="E1" s="33" t="s">
        <v>1598</v>
      </c>
      <c r="F1" s="34"/>
      <c r="G1" s="34"/>
    </row>
    <row r="2" spans="1:7" x14ac:dyDescent="0.3">
      <c r="A2" s="35" t="s">
        <v>1599</v>
      </c>
      <c r="B2" s="35" t="s">
        <v>585</v>
      </c>
      <c r="C2" s="35" t="s">
        <v>1600</v>
      </c>
      <c r="E2" s="36" t="s">
        <v>1601</v>
      </c>
      <c r="F2" s="36" t="s">
        <v>1602</v>
      </c>
      <c r="G2" s="36" t="s">
        <v>1600</v>
      </c>
    </row>
    <row r="3" spans="1:7" x14ac:dyDescent="0.3">
      <c r="A3" s="37" t="s">
        <v>1603</v>
      </c>
      <c r="B3" s="37" t="s">
        <v>1604</v>
      </c>
      <c r="C3" s="38">
        <v>48</v>
      </c>
      <c r="E3" s="37" t="s">
        <v>1603</v>
      </c>
      <c r="F3" s="37" t="s">
        <v>1605</v>
      </c>
      <c r="G3" s="38">
        <v>48</v>
      </c>
    </row>
    <row r="4" spans="1:7" x14ac:dyDescent="0.3">
      <c r="A4" s="37" t="s">
        <v>1606</v>
      </c>
      <c r="B4" s="37" t="s">
        <v>1607</v>
      </c>
      <c r="C4" s="38">
        <v>24</v>
      </c>
      <c r="E4" s="37" t="s">
        <v>1606</v>
      </c>
      <c r="F4" s="37" t="s">
        <v>1607</v>
      </c>
      <c r="G4" s="38">
        <v>24</v>
      </c>
    </row>
    <row r="5" spans="1:7" x14ac:dyDescent="0.3">
      <c r="A5" s="37" t="s">
        <v>1608</v>
      </c>
      <c r="B5" s="37" t="s">
        <v>1609</v>
      </c>
      <c r="C5" s="38">
        <v>0.14399999999999999</v>
      </c>
      <c r="E5" s="39" t="s">
        <v>1610</v>
      </c>
      <c r="F5" s="39" t="s">
        <v>1609</v>
      </c>
      <c r="G5" s="38">
        <v>0.26400000000000001</v>
      </c>
    </row>
    <row r="6" spans="1:7" x14ac:dyDescent="0.3">
      <c r="A6" s="39" t="s">
        <v>1611</v>
      </c>
      <c r="B6" s="39" t="s">
        <v>1612</v>
      </c>
      <c r="C6" s="38">
        <v>0.14399999999999999</v>
      </c>
      <c r="E6" s="39" t="s">
        <v>1613</v>
      </c>
      <c r="F6" s="39" t="s">
        <v>1614</v>
      </c>
      <c r="G6" s="38">
        <v>0.26400000000000001</v>
      </c>
    </row>
    <row r="7" spans="1:7" x14ac:dyDescent="0.3">
      <c r="A7" s="39" t="s">
        <v>1615</v>
      </c>
      <c r="B7" s="39" t="s">
        <v>1616</v>
      </c>
      <c r="C7" s="38">
        <v>0.42</v>
      </c>
      <c r="E7" s="39" t="s">
        <v>1615</v>
      </c>
      <c r="F7" s="39" t="s">
        <v>1617</v>
      </c>
      <c r="G7" s="38">
        <v>0.48000000000000004</v>
      </c>
    </row>
    <row r="8" spans="1:7" x14ac:dyDescent="0.3">
      <c r="A8" s="39" t="s">
        <v>1618</v>
      </c>
      <c r="B8" s="39" t="s">
        <v>1619</v>
      </c>
      <c r="C8" s="38">
        <v>0.66</v>
      </c>
      <c r="E8" s="39" t="s">
        <v>1620</v>
      </c>
      <c r="F8" s="39" t="s">
        <v>1621</v>
      </c>
      <c r="G8" s="38">
        <v>0.42</v>
      </c>
    </row>
    <row r="9" spans="1:7" x14ac:dyDescent="0.3">
      <c r="A9" s="39" t="s">
        <v>1622</v>
      </c>
      <c r="B9" s="39" t="s">
        <v>1623</v>
      </c>
      <c r="C9" s="38">
        <v>0.3</v>
      </c>
      <c r="E9" s="39" t="s">
        <v>1624</v>
      </c>
      <c r="F9" s="39" t="s">
        <v>1625</v>
      </c>
      <c r="G9" s="38">
        <v>1.5</v>
      </c>
    </row>
    <row r="10" spans="1:7" x14ac:dyDescent="0.3">
      <c r="A10" s="39" t="s">
        <v>1626</v>
      </c>
      <c r="B10" s="39" t="s">
        <v>1625</v>
      </c>
      <c r="C10" s="38">
        <v>1.56</v>
      </c>
      <c r="E10" s="39" t="s">
        <v>1627</v>
      </c>
      <c r="F10" s="39" t="s">
        <v>1628</v>
      </c>
      <c r="G10" s="38">
        <v>0.24000000000000002</v>
      </c>
    </row>
    <row r="11" spans="1:7" x14ac:dyDescent="0.3">
      <c r="A11" s="39" t="s">
        <v>1627</v>
      </c>
      <c r="B11" s="39" t="s">
        <v>1628</v>
      </c>
      <c r="C11" s="38">
        <v>0.3</v>
      </c>
      <c r="E11" s="39" t="s">
        <v>1629</v>
      </c>
      <c r="F11" s="39" t="s">
        <v>1630</v>
      </c>
      <c r="G11" s="38">
        <v>0.66</v>
      </c>
    </row>
    <row r="12" spans="1:7" x14ac:dyDescent="0.3">
      <c r="A12" s="39" t="s">
        <v>1631</v>
      </c>
      <c r="B12" s="39" t="s">
        <v>1630</v>
      </c>
      <c r="C12" s="38">
        <v>0.54</v>
      </c>
      <c r="E12" s="39" t="s">
        <v>1632</v>
      </c>
      <c r="F12" s="39" t="s">
        <v>1633</v>
      </c>
      <c r="G12" s="38">
        <v>0.58799999999999997</v>
      </c>
    </row>
    <row r="13" spans="1:7" x14ac:dyDescent="0.3">
      <c r="A13" s="39" t="s">
        <v>1634</v>
      </c>
      <c r="B13" s="39" t="s">
        <v>1633</v>
      </c>
      <c r="C13" s="38">
        <v>0.42</v>
      </c>
      <c r="E13" s="39" t="s">
        <v>1635</v>
      </c>
      <c r="F13" s="39" t="s">
        <v>1636</v>
      </c>
      <c r="G13" s="40" t="s">
        <v>1637</v>
      </c>
    </row>
    <row r="14" spans="1:7" x14ac:dyDescent="0.3">
      <c r="A14" s="39" t="s">
        <v>1638</v>
      </c>
      <c r="B14" s="39" t="s">
        <v>1639</v>
      </c>
      <c r="C14" s="38">
        <v>0.252</v>
      </c>
    </row>
    <row r="15" spans="1:7" x14ac:dyDescent="0.3">
      <c r="A15" s="41" t="s">
        <v>1635</v>
      </c>
      <c r="B15" s="41" t="s">
        <v>1636</v>
      </c>
      <c r="C15" s="42" t="s">
        <v>1640</v>
      </c>
    </row>
    <row r="16" spans="1:7" x14ac:dyDescent="0.3">
      <c r="A16" s="41" t="s">
        <v>1641</v>
      </c>
      <c r="B16" s="41" t="s">
        <v>1642</v>
      </c>
      <c r="C16" s="38" t="s">
        <v>1643</v>
      </c>
    </row>
    <row r="17" spans="1:3" x14ac:dyDescent="0.3">
      <c r="A17" s="41" t="s">
        <v>1644</v>
      </c>
      <c r="B17" s="41" t="s">
        <v>1645</v>
      </c>
      <c r="C17" s="42" t="s">
        <v>1646</v>
      </c>
    </row>
  </sheetData>
  <mergeCells count="2">
    <mergeCell ref="A1:C1"/>
    <mergeCell ref="E1:G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abbeygate_price_list</vt:lpstr>
      <vt:lpstr>product-export-27-8-2026</vt:lpstr>
      <vt:lpstr>Blocking Prices</vt:lpstr>
      <vt:lpstr>Special Matter</vt:lpstr>
      <vt:lpstr>Extras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dc:creator>
  <cp:lastModifiedBy>Nick</cp:lastModifiedBy>
  <dcterms:created xsi:type="dcterms:W3CDTF">2026-07-29T09:24:50Z</dcterms:created>
  <dcterms:modified xsi:type="dcterms:W3CDTF">2026-09-01T15:02:21Z</dcterms:modified>
</cp:coreProperties>
</file>